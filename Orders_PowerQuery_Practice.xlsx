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tcl\Downloads\"/>
    </mc:Choice>
  </mc:AlternateContent>
  <xr:revisionPtr revIDLastSave="0" documentId="13_ncr:1_{0016DD32-9477-4387-B2AA-863BF7CF435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blOrders" sheetId="2" r:id="rId1"/>
    <sheet name="RegionTargets" sheetId="3" r:id="rId2"/>
    <sheet name="NewOrders" sheetId="4" r:id="rId3"/>
    <sheet name="tblOrders_1" sheetId="6" r:id="rId4"/>
    <sheet name="Cleaned_Output" sheetId="7" r:id="rId5"/>
    <sheet name="WideSummary" sheetId="5" r:id="rId6"/>
    <sheet name="Orders_Raw" sheetId="1" r:id="rId7"/>
  </sheets>
  <definedNames>
    <definedName name="ExternalData_1" localSheetId="3" hidden="1">tblOrders_1!$A$1:$S$238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9" i="6" l="1"/>
  <c r="B10" i="7"/>
  <c r="B8" i="7"/>
  <c r="B7" i="7"/>
  <c r="B6" i="7"/>
  <c r="B5" i="7"/>
  <c r="B3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ADCA78-74EC-4E97-93C3-D7CD3C388846}" keepAlive="1" name="Query - Orders_Appended" description="Connection to the 'Orders_Appended' query in the workbook." type="5" refreshedVersion="0" background="1">
    <dbPr connection="Provider=Microsoft.Mashup.OleDb.1;Data Source=$Workbook$;Location=Orders_Appended;Extended Properties=&quot;&quot;" command="SELECT * FROM [Orders_Appended]"/>
  </connection>
  <connection id="2" xr16:uid="{F995E25C-4BC3-40B0-B813-4299951DD23C}" keepAlive="1" name="Query - Orders_ChannelStatus_GroupBy" description="Connection to the 'Orders_ChannelStatus_GroupBy' query in the workbook." type="5" refreshedVersion="0" background="1">
    <dbPr connection="Provider=Microsoft.Mashup.OleDb.1;Data Source=$Workbook$;Location=Orders_ChannelStatus_GroupBy;Extended Properties=&quot;&quot;" command="SELECT * FROM [Orders_ChannelStatus_GroupBy]"/>
  </connection>
  <connection id="3" xr16:uid="{0DDD743B-7811-4CA0-8605-2B99E556EEDB}" keepAlive="1" name="Query - Orders_GroupBy" description="Connection to the 'Orders_GroupBy' query in the workbook." type="5" refreshedVersion="0" background="1">
    <dbPr connection="Provider=Microsoft.Mashup.OleDb.1;Data Source=$Workbook$;Location=Orders_GroupBy;Extended Properties=&quot;&quot;" command="SELECT * FROM [Orders_GroupBy]"/>
  </connection>
  <connection id="4" xr16:uid="{A7508109-21D5-41AB-B8AA-4C990148F8F1}" keepAlive="1" name="Query - Orders_InStore" description="Connection to the 'Orders_InStore' query in the workbook." type="5" refreshedVersion="0" background="1">
    <dbPr connection="Provider=Microsoft.Mashup.OleDb.1;Data Source=$Workbook$;Location=Orders_InStore;Extended Properties=&quot;&quot;" command="SELECT * FROM [Orders_InStore]"/>
  </connection>
  <connection id="5" xr16:uid="{455A3160-CC58-49DA-88E7-E66E8A4A1B32}" keepAlive="1" name="Query - Orders_Online" description="Connection to the 'Orders_Online' query in the workbook." type="5" refreshedVersion="0" background="1">
    <dbPr connection="Provider=Microsoft.Mashup.OleDb.1;Data Source=$Workbook$;Location=Orders_Online;Extended Properties=&quot;&quot;" command="SELECT * FROM [Orders_Online]"/>
  </connection>
  <connection id="6" xr16:uid="{1DC5CEC6-5CAA-418A-8AD1-4584D205EE75}" keepAlive="1" name="Query - tblOrders_1" description="Connection to the 'tblOrders_1' query in the workbook." type="5" refreshedVersion="8" background="1" saveData="1">
    <dbPr connection="Provider=Microsoft.Mashup.OleDb.1;Data Source=$Workbook$;Location=tblOrders_1;Extended Properties=&quot;&quot;" command="SELECT * FROM [tblOrders_1]"/>
  </connection>
  <connection id="7" xr16:uid="{6097C499-A269-40FE-B454-7744ADF9ED7F}" keepAlive="1" name="Query - tblRegionTargets" description="Connection to the 'tblRegionTargets' query in the workbook." type="5" refreshedVersion="0" background="1">
    <dbPr connection="Provider=Microsoft.Mashup.OleDb.1;Data Source=$Workbook$;Location=tblRegionTargets;Extended Properties=&quot;&quot;" command="SELECT * FROM [tblRegionTargets]"/>
  </connection>
  <connection id="8" xr16:uid="{D46B4D88-1952-4E82-B159-FDB8982B4686}" keepAlive="1" name="Query - tblWideSummary" description="Connection to the 'tblWideSummary' query in the workbook." type="5" refreshedVersion="0" background="1">
    <dbPr connection="Provider=Microsoft.Mashup.OleDb.1;Data Source=$Workbook$;Location=tblWideSummary;Extended Properties=&quot;&quot;" command="SELECT * FROM [tblWideSummary]"/>
  </connection>
</connections>
</file>

<file path=xl/sharedStrings.xml><?xml version="1.0" encoding="utf-8"?>
<sst xmlns="http://schemas.openxmlformats.org/spreadsheetml/2006/main" count="11174" uniqueCount="1026">
  <si>
    <t>OrderID</t>
  </si>
  <si>
    <t>OrderDate</t>
  </si>
  <si>
    <t>CustomerName</t>
  </si>
  <si>
    <t>Region</t>
  </si>
  <si>
    <t>City</t>
  </si>
  <si>
    <t>Category</t>
  </si>
  <si>
    <t>Product</t>
  </si>
  <si>
    <t>Channel</t>
  </si>
  <si>
    <t>Quantity</t>
  </si>
  <si>
    <t>UnitPrice</t>
  </si>
  <si>
    <t>Discount</t>
  </si>
  <si>
    <t>PaymentMethod</t>
  </si>
  <si>
    <t>OrderStatus</t>
  </si>
  <si>
    <t>SalesRep</t>
  </si>
  <si>
    <t>Notes</t>
  </si>
  <si>
    <t>ORD-1223</t>
  </si>
  <si>
    <t>07/01/2024</t>
  </si>
  <si>
    <t>YUSUF MALIK</t>
  </si>
  <si>
    <t>EAST</t>
  </si>
  <si>
    <t>Multan</t>
  </si>
  <si>
    <t>clothing</t>
  </si>
  <si>
    <t>Denim Jacket</t>
  </si>
  <si>
    <t>instore</t>
  </si>
  <si>
    <t xml:space="preserve"> 12 </t>
  </si>
  <si>
    <t xml:space="preserve">Credit card </t>
  </si>
  <si>
    <t>Complete</t>
  </si>
  <si>
    <t>E. Tanaka</t>
  </si>
  <si>
    <t xml:space="preserve">  Customer called twice </t>
  </si>
  <si>
    <t>ORD-1072</t>
  </si>
  <si>
    <t>29-Jul-24</t>
  </si>
  <si>
    <t xml:space="preserve">Umar Farooq </t>
  </si>
  <si>
    <t xml:space="preserve">North </t>
  </si>
  <si>
    <t>Lahore</t>
  </si>
  <si>
    <t>stationery</t>
  </si>
  <si>
    <t>Highlighter Set</t>
  </si>
  <si>
    <t>In Store</t>
  </si>
  <si>
    <t xml:space="preserve"> 3 </t>
  </si>
  <si>
    <t>Bank Transfer</t>
  </si>
  <si>
    <t>CANCELLED</t>
  </si>
  <si>
    <t>A. Malik</t>
  </si>
  <si>
    <t>VIP customer</t>
  </si>
  <si>
    <t>ORD-1058</t>
  </si>
  <si>
    <t>08/19/2024</t>
  </si>
  <si>
    <t>sofia johnson</t>
  </si>
  <si>
    <t>South</t>
  </si>
  <si>
    <t>Karachi</t>
  </si>
  <si>
    <t>Stationary</t>
  </si>
  <si>
    <t>Desk Organizer</t>
  </si>
  <si>
    <t xml:space="preserve">In-store </t>
  </si>
  <si>
    <t>$304.69</t>
  </si>
  <si>
    <t>D. Iqbal</t>
  </si>
  <si>
    <t xml:space="preserve">  </t>
  </si>
  <si>
    <t>ORD-1194</t>
  </si>
  <si>
    <t>December 11, 2024</t>
  </si>
  <si>
    <t>Chen Brown</t>
  </si>
  <si>
    <t>north</t>
  </si>
  <si>
    <t>FURNITURE</t>
  </si>
  <si>
    <t>Bookshelf</t>
  </si>
  <si>
    <t>ONLINE</t>
  </si>
  <si>
    <t>Debit card</t>
  </si>
  <si>
    <t>completed</t>
  </si>
  <si>
    <t>ORD-1148</t>
  </si>
  <si>
    <t>2024-08-22</t>
  </si>
  <si>
    <t xml:space="preserve">Robert Smith </t>
  </si>
  <si>
    <t>WEST</t>
  </si>
  <si>
    <t>Quetta</t>
  </si>
  <si>
    <t xml:space="preserve"> Furniture</t>
  </si>
  <si>
    <t>Filing Cabinet</t>
  </si>
  <si>
    <t>Online</t>
  </si>
  <si>
    <t>debit card</t>
  </si>
  <si>
    <t>Refunded</t>
  </si>
  <si>
    <t>C. Osei</t>
  </si>
  <si>
    <t>ORD-1104</t>
  </si>
  <si>
    <t>04-Aug-24</t>
  </si>
  <si>
    <t>MICHAEL CLARK</t>
  </si>
  <si>
    <t>Nort</t>
  </si>
  <si>
    <t>Islamabad</t>
  </si>
  <si>
    <t>Groceries</t>
  </si>
  <si>
    <t>Honey Jar</t>
  </si>
  <si>
    <t>cash</t>
  </si>
  <si>
    <t>ORD-1185</t>
  </si>
  <si>
    <t>07/03/2024</t>
  </si>
  <si>
    <t>BILAL IQBAL</t>
  </si>
  <si>
    <t>electronics</t>
  </si>
  <si>
    <t>Wireless Mouse</t>
  </si>
  <si>
    <t>10%</t>
  </si>
  <si>
    <t>Completed</t>
  </si>
  <si>
    <t>Damaged on arrival - replaced</t>
  </si>
  <si>
    <t>ORD-1146</t>
  </si>
  <si>
    <t>2024-06-16</t>
  </si>
  <si>
    <t>ROBERT AHMED</t>
  </si>
  <si>
    <t xml:space="preserve">Electronics </t>
  </si>
  <si>
    <t>Cancelled</t>
  </si>
  <si>
    <t>Bulk order - business account</t>
  </si>
  <si>
    <t>ORD-1076</t>
  </si>
  <si>
    <t>September 20, 2024</t>
  </si>
  <si>
    <t xml:space="preserve"> Ahmed Brown</t>
  </si>
  <si>
    <t>West</t>
  </si>
  <si>
    <t>Peshawar</t>
  </si>
  <si>
    <t>Electronics</t>
  </si>
  <si>
    <t>USB-C Cable</t>
  </si>
  <si>
    <t>$231.27</t>
  </si>
  <si>
    <t>Cash</t>
  </si>
  <si>
    <t>ORD-1055</t>
  </si>
  <si>
    <t>29-Apr-24</t>
  </si>
  <si>
    <t>Chen  Wilson</t>
  </si>
  <si>
    <t>Stationery</t>
  </si>
  <si>
    <t>Notebook Pack</t>
  </si>
  <si>
    <t>in-store</t>
  </si>
  <si>
    <t xml:space="preserve"> 394.55 </t>
  </si>
  <si>
    <t>pending</t>
  </si>
  <si>
    <t>B. Fernandes</t>
  </si>
  <si>
    <t xml:space="preserve">Follow up needed	</t>
  </si>
  <si>
    <t>ORD-1230</t>
  </si>
  <si>
    <t>02/10/2024</t>
  </si>
  <si>
    <t xml:space="preserve">Robert Raza </t>
  </si>
  <si>
    <t xml:space="preserve"> East</t>
  </si>
  <si>
    <t>Sialkot</t>
  </si>
  <si>
    <t>CLOTHING</t>
  </si>
  <si>
    <t>Running Shoes</t>
  </si>
  <si>
    <t xml:space="preserve"> 66.89 </t>
  </si>
  <si>
    <t>ORD-1147</t>
  </si>
  <si>
    <t>04-Oct-24</t>
  </si>
  <si>
    <t>daniel smith</t>
  </si>
  <si>
    <t>SOUTH</t>
  </si>
  <si>
    <t>Hyderabad</t>
  </si>
  <si>
    <t>Gift wrap requested</t>
  </si>
  <si>
    <t>ORD-1228</t>
  </si>
  <si>
    <t>October 22, 2024</t>
  </si>
  <si>
    <t>sarah garcia</t>
  </si>
  <si>
    <t>Cloth ing</t>
  </si>
  <si>
    <t>Formal Shirt</t>
  </si>
  <si>
    <t xml:space="preserve">Cash </t>
  </si>
  <si>
    <t>ORD-1174</t>
  </si>
  <si>
    <t>April 23, 2024</t>
  </si>
  <si>
    <t>Kevin Ahmed</t>
  </si>
  <si>
    <t>Grocery</t>
  </si>
  <si>
    <t>Green Tea Pack</t>
  </si>
  <si>
    <t>5%</t>
  </si>
  <si>
    <t>Debit Card</t>
  </si>
  <si>
    <t>ORD-1098</t>
  </si>
  <si>
    <t>November 29, 2024</t>
  </si>
  <si>
    <t xml:space="preserve">Olivia Taylor </t>
  </si>
  <si>
    <t>Credit Card</t>
  </si>
  <si>
    <t>refunded</t>
  </si>
  <si>
    <t>ORD-1045</t>
  </si>
  <si>
    <t>September 14, 2024</t>
  </si>
  <si>
    <t>UMAR FAROOQ</t>
  </si>
  <si>
    <t>Study Desk</t>
  </si>
  <si>
    <t>ORD-1007</t>
  </si>
  <si>
    <t>2024-10-17</t>
  </si>
  <si>
    <t xml:space="preserve">Yusuf Ali </t>
  </si>
  <si>
    <t>east</t>
  </si>
  <si>
    <t>Furniture</t>
  </si>
  <si>
    <t>Sofa Set</t>
  </si>
  <si>
    <t>ORD-1015</t>
  </si>
  <si>
    <t>2024-06-02</t>
  </si>
  <si>
    <t xml:space="preserve"> Grace Garcia</t>
  </si>
  <si>
    <t>PENDING</t>
  </si>
  <si>
    <t>ORD-1118</t>
  </si>
  <si>
    <t>April 05, 2024</t>
  </si>
  <si>
    <t xml:space="preserve"> Nida Johnson</t>
  </si>
  <si>
    <t>East</t>
  </si>
  <si>
    <t>ELECTRONICS</t>
  </si>
  <si>
    <t>Power Bank</t>
  </si>
  <si>
    <t>Canceled</t>
  </si>
  <si>
    <t>ORD-1142</t>
  </si>
  <si>
    <t>2024-10-27</t>
  </si>
  <si>
    <t>YUSUF KHAN</t>
  </si>
  <si>
    <t xml:space="preserve"> 5 </t>
  </si>
  <si>
    <t>cancelled</t>
  </si>
  <si>
    <t xml:space="preserve">Leave at front desk  </t>
  </si>
  <si>
    <t>ORD-1036</t>
  </si>
  <si>
    <t>12/10/2024</t>
  </si>
  <si>
    <t>Daniel  Taylor</t>
  </si>
  <si>
    <t>NORTH</t>
  </si>
  <si>
    <t>Electronic</t>
  </si>
  <si>
    <t>LED Monitor</t>
  </si>
  <si>
    <t>online</t>
  </si>
  <si>
    <t>$31.54</t>
  </si>
  <si>
    <t>credit card</t>
  </si>
  <si>
    <t>ORD-1203</t>
  </si>
  <si>
    <t>03/13/2024</t>
  </si>
  <si>
    <t>Hina Sheikh</t>
  </si>
  <si>
    <t>STATIONERY</t>
  </si>
  <si>
    <t>ORD-1127</t>
  </si>
  <si>
    <t>05/04/2024</t>
  </si>
  <si>
    <t>Michael Raza</t>
  </si>
  <si>
    <t>North</t>
  </si>
  <si>
    <t>furniture</t>
  </si>
  <si>
    <t xml:space="preserve"> 9 </t>
  </si>
  <si>
    <t>ORD-1171</t>
  </si>
  <si>
    <t>04/23/2024</t>
  </si>
  <si>
    <t xml:space="preserve"> Fatima Iqbal</t>
  </si>
  <si>
    <t>west</t>
  </si>
  <si>
    <t>In-Store</t>
  </si>
  <si>
    <t>ORD-1165</t>
  </si>
  <si>
    <t>December 12, 2024</t>
  </si>
  <si>
    <t>Olivia  Lewis</t>
  </si>
  <si>
    <t>Faisalabad</t>
  </si>
  <si>
    <t xml:space="preserve">Online </t>
  </si>
  <si>
    <t>Pending</t>
  </si>
  <si>
    <t>ORD-1212</t>
  </si>
  <si>
    <t>03/28/2024</t>
  </si>
  <si>
    <t>David Clark</t>
  </si>
  <si>
    <t>ORD-1205</t>
  </si>
  <si>
    <t>06/09/2024</t>
  </si>
  <si>
    <t>Hina Ahmed</t>
  </si>
  <si>
    <t>COMPLETED</t>
  </si>
  <si>
    <t>ORD-1081</t>
  </si>
  <si>
    <t>July 05, 2024</t>
  </si>
  <si>
    <t>hina raza</t>
  </si>
  <si>
    <t xml:space="preserve">West </t>
  </si>
  <si>
    <t>Cotton T-Shirt</t>
  </si>
  <si>
    <t>ORD-1053</t>
  </si>
  <si>
    <t>20-Aug-24</t>
  </si>
  <si>
    <t>Robert  Qureshi</t>
  </si>
  <si>
    <t>ORD-1138</t>
  </si>
  <si>
    <t>September 28, 2024</t>
  </si>
  <si>
    <t>BILAL BROWN</t>
  </si>
  <si>
    <t>Bluetooth Speaker</t>
  </si>
  <si>
    <t>ORD-1087</t>
  </si>
  <si>
    <t>August 01, 2024</t>
  </si>
  <si>
    <t>Zara Farooq</t>
  </si>
  <si>
    <t xml:space="preserve"> South</t>
  </si>
  <si>
    <t xml:space="preserve"> 1 </t>
  </si>
  <si>
    <t>ORD-1140</t>
  </si>
  <si>
    <t>2024-10-31</t>
  </si>
  <si>
    <t xml:space="preserve"> Laura Farooq</t>
  </si>
  <si>
    <t>ORD-1198</t>
  </si>
  <si>
    <t>08/16/2024</t>
  </si>
  <si>
    <t>GRACE ANDERSON</t>
  </si>
  <si>
    <t>ORD-1190</t>
  </si>
  <si>
    <t>2024-06-22</t>
  </si>
  <si>
    <t xml:space="preserve"> Fatima Raza</t>
  </si>
  <si>
    <t>groceries</t>
  </si>
  <si>
    <t>Almonds 500g</t>
  </si>
  <si>
    <t>bank transfer</t>
  </si>
  <si>
    <t>ORD-1082</t>
  </si>
  <si>
    <t>06/07/2024</t>
  </si>
  <si>
    <t xml:space="preserve"> John Brown</t>
  </si>
  <si>
    <t xml:space="preserve"> 10 </t>
  </si>
  <si>
    <t>ORD-1095</t>
  </si>
  <si>
    <t>06-May-24</t>
  </si>
  <si>
    <t xml:space="preserve"> Kevin Garcia</t>
  </si>
  <si>
    <t>ORD-1210</t>
  </si>
  <si>
    <t>03/25/2024</t>
  </si>
  <si>
    <t>NOAH MALIK</t>
  </si>
  <si>
    <t>ORD-1093</t>
  </si>
  <si>
    <t>December 01, 2024</t>
  </si>
  <si>
    <t xml:space="preserve">Chen Qureshi </t>
  </si>
  <si>
    <t>ORD-1063</t>
  </si>
  <si>
    <t>11-Mar-24</t>
  </si>
  <si>
    <t>ZARA LEE</t>
  </si>
  <si>
    <t>0%</t>
  </si>
  <si>
    <t>ORD-1218</t>
  </si>
  <si>
    <t>01/30/2024</t>
  </si>
  <si>
    <t>Chen Smith</t>
  </si>
  <si>
    <t xml:space="preserve">South </t>
  </si>
  <si>
    <t>20%</t>
  </si>
  <si>
    <t>CC</t>
  </si>
  <si>
    <t>ORD-1065</t>
  </si>
  <si>
    <t>10/02/2024</t>
  </si>
  <si>
    <t xml:space="preserve">Noah Anderson </t>
  </si>
  <si>
    <t>Winter Coat</t>
  </si>
  <si>
    <t>ORD-1031</t>
  </si>
  <si>
    <t xml:space="preserve">Grace Hussain </t>
  </si>
  <si>
    <t>GROCERIES</t>
  </si>
  <si>
    <t>Basmati Rice 5kg</t>
  </si>
  <si>
    <t>ORD-1088</t>
  </si>
  <si>
    <t>12-Jun-24</t>
  </si>
  <si>
    <t>aisha farooq</t>
  </si>
  <si>
    <t>ORD-1172</t>
  </si>
  <si>
    <t>23-Aug-24</t>
  </si>
  <si>
    <t xml:space="preserve"> James Hussain</t>
  </si>
  <si>
    <t>ORD-1052</t>
  </si>
  <si>
    <t>2024-08-29</t>
  </si>
  <si>
    <t>Daniel  Johnson</t>
  </si>
  <si>
    <t>ORD-1105</t>
  </si>
  <si>
    <t>03/01/2024</t>
  </si>
  <si>
    <t>Grace Khan</t>
  </si>
  <si>
    <t>CREDIT CARD</t>
  </si>
  <si>
    <t>ORD-1107</t>
  </si>
  <si>
    <t>21-Oct-24</t>
  </si>
  <si>
    <t>Laura Garcia</t>
  </si>
  <si>
    <t xml:space="preserve"> North</t>
  </si>
  <si>
    <t>ORD-1066</t>
  </si>
  <si>
    <t>04/11/2024</t>
  </si>
  <si>
    <t>Sana  Taylor</t>
  </si>
  <si>
    <t>ORD-1038</t>
  </si>
  <si>
    <t>04/25/2024</t>
  </si>
  <si>
    <t>Michael Malik</t>
  </si>
  <si>
    <t>ORD-1143</t>
  </si>
  <si>
    <t>24/03/2024</t>
  </si>
  <si>
    <t xml:space="preserve">Bilal Hussain </t>
  </si>
  <si>
    <t>$330.74</t>
  </si>
  <si>
    <t>ORD-1157</t>
  </si>
  <si>
    <t>05/12/2024</t>
  </si>
  <si>
    <t>Clothing</t>
  </si>
  <si>
    <t>$75.12</t>
  </si>
  <si>
    <t>ORD-1183</t>
  </si>
  <si>
    <t>03-Jul-24</t>
  </si>
  <si>
    <t xml:space="preserve">Kate Lewis </t>
  </si>
  <si>
    <t>ORD-1071</t>
  </si>
  <si>
    <t>2024-05-31</t>
  </si>
  <si>
    <t>Chen  Taylor</t>
  </si>
  <si>
    <t>ORD-1113</t>
  </si>
  <si>
    <t>01/05/2024</t>
  </si>
  <si>
    <t>Priya  Sheikh</t>
  </si>
  <si>
    <t>ORD-1041</t>
  </si>
  <si>
    <t>04/10/2024</t>
  </si>
  <si>
    <t>fatima hussain</t>
  </si>
  <si>
    <t>ORD-1154</t>
  </si>
  <si>
    <t>05/18/2024</t>
  </si>
  <si>
    <t>Aisha Khan</t>
  </si>
  <si>
    <t>ORD-1099</t>
  </si>
  <si>
    <t>25/09/2024</t>
  </si>
  <si>
    <t>Grace  Khan</t>
  </si>
  <si>
    <t>Olive Oil 1L</t>
  </si>
  <si>
    <t>$286.14</t>
  </si>
  <si>
    <t>ORD-1201</t>
  </si>
  <si>
    <t>2024-11-12</t>
  </si>
  <si>
    <t>Sarah Johnson</t>
  </si>
  <si>
    <t>Sticky Notes</t>
  </si>
  <si>
    <t>ORD-1209</t>
  </si>
  <si>
    <t>May 14, 2024</t>
  </si>
  <si>
    <t>Umar  Iqbal</t>
  </si>
  <si>
    <t>ORD-1056</t>
  </si>
  <si>
    <t>August 03, 2024</t>
  </si>
  <si>
    <t>Nida Qureshi</t>
  </si>
  <si>
    <t>Office Chair</t>
  </si>
  <si>
    <t>ORD-1004</t>
  </si>
  <si>
    <t>18/04/2024</t>
  </si>
  <si>
    <t xml:space="preserve"> Zara Malik</t>
  </si>
  <si>
    <t>south</t>
  </si>
  <si>
    <t>ORD-1150</t>
  </si>
  <si>
    <t>17-Dec-24</t>
  </si>
  <si>
    <t>Umar Lewis</t>
  </si>
  <si>
    <t>ORD-1091</t>
  </si>
  <si>
    <t xml:space="preserve">Sofia Wilson </t>
  </si>
  <si>
    <t>ORD-1197</t>
  </si>
  <si>
    <t>22/03/2024</t>
  </si>
  <si>
    <t>sarah brown</t>
  </si>
  <si>
    <t xml:space="preserve"> 6 </t>
  </si>
  <si>
    <t>ORD-1131</t>
  </si>
  <si>
    <t>2024-10-20</t>
  </si>
  <si>
    <t>OLIVIA IQBAL</t>
  </si>
  <si>
    <t>15%</t>
  </si>
  <si>
    <t>ORD-1151</t>
  </si>
  <si>
    <t>2024-03-12</t>
  </si>
  <si>
    <t>Ahmed  Taylor</t>
  </si>
  <si>
    <t>ORD-1180</t>
  </si>
  <si>
    <t>2024-11-30</t>
  </si>
  <si>
    <t xml:space="preserve">Laura Ahmed </t>
  </si>
  <si>
    <t>ORD-1086</t>
  </si>
  <si>
    <t>05/20/2024</t>
  </si>
  <si>
    <t>UMAR BROWN</t>
  </si>
  <si>
    <t>ORD-1173</t>
  </si>
  <si>
    <t>06/01/2024</t>
  </si>
  <si>
    <t xml:space="preserve">Daniel Raza </t>
  </si>
  <si>
    <t xml:space="preserve"> 8 </t>
  </si>
  <si>
    <t>ORD-1129</t>
  </si>
  <si>
    <t>17/07/2024</t>
  </si>
  <si>
    <t xml:space="preserve"> Tom Taylor</t>
  </si>
  <si>
    <t xml:space="preserve"> 11 </t>
  </si>
  <si>
    <t>ORD-1169</t>
  </si>
  <si>
    <t>03-Feb-24</t>
  </si>
  <si>
    <t xml:space="preserve">David Raza </t>
  </si>
  <si>
    <t>Ballpoint Pens</t>
  </si>
  <si>
    <t>ORD-1158</t>
  </si>
  <si>
    <t>18-Dec-24</t>
  </si>
  <si>
    <t>robert raza</t>
  </si>
  <si>
    <t>ORD-1110</t>
  </si>
  <si>
    <t>2024-04-07</t>
  </si>
  <si>
    <t xml:space="preserve">Michael Farooq </t>
  </si>
  <si>
    <t>ORD-1220</t>
  </si>
  <si>
    <t>03-Jan-24</t>
  </si>
  <si>
    <t xml:space="preserve"> Noah Garcia</t>
  </si>
  <si>
    <t>ORD-1219</t>
  </si>
  <si>
    <t>29/06/2024</t>
  </si>
  <si>
    <t>Daniel  Smith</t>
  </si>
  <si>
    <t>ORD-1022</t>
  </si>
  <si>
    <t>CHEN FAROOQ</t>
  </si>
  <si>
    <t>ORD-1187</t>
  </si>
  <si>
    <t>25/11/2024</t>
  </si>
  <si>
    <t xml:space="preserve"> David Farooq</t>
  </si>
  <si>
    <t>ORD-1130</t>
  </si>
  <si>
    <t>October 14, 2024</t>
  </si>
  <si>
    <t>NOAH ANDERSON</t>
  </si>
  <si>
    <t>ORD-1193</t>
  </si>
  <si>
    <t>2024-09-24</t>
  </si>
  <si>
    <t xml:space="preserve"> Ahmed Garcia</t>
  </si>
  <si>
    <t>ORD-1026</t>
  </si>
  <si>
    <t>2024-09-01</t>
  </si>
  <si>
    <t xml:space="preserve">Bilal Brown </t>
  </si>
  <si>
    <t>ORD-1108</t>
  </si>
  <si>
    <t>07/28/2024</t>
  </si>
  <si>
    <t>Laura  Raza</t>
  </si>
  <si>
    <t>ORD-1085</t>
  </si>
  <si>
    <t>November 23, 2024</t>
  </si>
  <si>
    <t>Daniel  Farooq</t>
  </si>
  <si>
    <t>ORD-1178</t>
  </si>
  <si>
    <t>21-Dec-24</t>
  </si>
  <si>
    <t>TOM HUSSAIN</t>
  </si>
  <si>
    <t>ORD-1050</t>
  </si>
  <si>
    <t>2024-11-26</t>
  </si>
  <si>
    <t>john anderson</t>
  </si>
  <si>
    <t>ORD-1032</t>
  </si>
  <si>
    <t>May 23, 2024</t>
  </si>
  <si>
    <t>olivia lewis</t>
  </si>
  <si>
    <t xml:space="preserve"> 426.22 </t>
  </si>
  <si>
    <t>ORD-1016</t>
  </si>
  <si>
    <t>07-Mar-24</t>
  </si>
  <si>
    <t>James Ali</t>
  </si>
  <si>
    <t>$454.54</t>
  </si>
  <si>
    <t>ORD-1115</t>
  </si>
  <si>
    <t>17/02/2024</t>
  </si>
  <si>
    <t xml:space="preserve"> Laura Garcia</t>
  </si>
  <si>
    <t>ORD-1182</t>
  </si>
  <si>
    <t>2024-01-07</t>
  </si>
  <si>
    <t>EMILY ALI</t>
  </si>
  <si>
    <t>ORD-1229</t>
  </si>
  <si>
    <t>06/24/2024</t>
  </si>
  <si>
    <t>priya raza</t>
  </si>
  <si>
    <t>ORD-1025</t>
  </si>
  <si>
    <t>03/18/2024</t>
  </si>
  <si>
    <t xml:space="preserve">Sofia Malik </t>
  </si>
  <si>
    <t>ORD-1024</t>
  </si>
  <si>
    <t>August 06, 2024</t>
  </si>
  <si>
    <t>Umar  Hussain</t>
  </si>
  <si>
    <t>ORD-1061</t>
  </si>
  <si>
    <t>2024-07-24</t>
  </si>
  <si>
    <t xml:space="preserve"> Nida Hussain</t>
  </si>
  <si>
    <t>ORD-1136</t>
  </si>
  <si>
    <t>2024-05-20</t>
  </si>
  <si>
    <t xml:space="preserve">Nida Taylor </t>
  </si>
  <si>
    <t>ORD-1010</t>
  </si>
  <si>
    <t xml:space="preserve">Grace Brown </t>
  </si>
  <si>
    <t>ORD-1051</t>
  </si>
  <si>
    <t>31-May-24</t>
  </si>
  <si>
    <t>Nida Lee</t>
  </si>
  <si>
    <t>ORD-1195</t>
  </si>
  <si>
    <t>25-Apr-24</t>
  </si>
  <si>
    <t>SANA FAROOQ</t>
  </si>
  <si>
    <t>ORD-1224</t>
  </si>
  <si>
    <t>04/08/2024</t>
  </si>
  <si>
    <t xml:space="preserve">Emily Johnson </t>
  </si>
  <si>
    <t>ORD-1019</t>
  </si>
  <si>
    <t>December 13, 2024</t>
  </si>
  <si>
    <t>Liam  Iqbal</t>
  </si>
  <si>
    <t>ORD-1156</t>
  </si>
  <si>
    <t>26/09/2024</t>
  </si>
  <si>
    <t xml:space="preserve"> Priya Ahmed</t>
  </si>
  <si>
    <t>ORD-1011</t>
  </si>
  <si>
    <t>26/03/2024</t>
  </si>
  <si>
    <t>ORD-1043</t>
  </si>
  <si>
    <t>April 07, 2024</t>
  </si>
  <si>
    <t>JOHN FAROOQ</t>
  </si>
  <si>
    <t>ORD-1132</t>
  </si>
  <si>
    <t>April 17, 2024</t>
  </si>
  <si>
    <t>umar farooq</t>
  </si>
  <si>
    <t>ORD-1160</t>
  </si>
  <si>
    <t>21/02/2024</t>
  </si>
  <si>
    <t>John  Wilson</t>
  </si>
  <si>
    <t>ORD-1090</t>
  </si>
  <si>
    <t>25/02/2024</t>
  </si>
  <si>
    <t>AISHA CLARK</t>
  </si>
  <si>
    <t>YUSUF ALI</t>
  </si>
  <si>
    <t>ORD-1128</t>
  </si>
  <si>
    <t>09/12/2024</t>
  </si>
  <si>
    <t>John  Qureshi</t>
  </si>
  <si>
    <t xml:space="preserve"> 436.63 </t>
  </si>
  <si>
    <t>ORD-1191</t>
  </si>
  <si>
    <t>2024-03-06</t>
  </si>
  <si>
    <t>Sarah Lewis</t>
  </si>
  <si>
    <t>ORD-1103</t>
  </si>
  <si>
    <t>02/29/2024</t>
  </si>
  <si>
    <t>Nida  Garcia</t>
  </si>
  <si>
    <t xml:space="preserve"> 451.93 </t>
  </si>
  <si>
    <t>ORD-1101</t>
  </si>
  <si>
    <t xml:space="preserve">Michael Anderson </t>
  </si>
  <si>
    <t>ORD-1186</t>
  </si>
  <si>
    <t>03-Sep-24</t>
  </si>
  <si>
    <t>EMILY HUSSAIN</t>
  </si>
  <si>
    <t>ORD-1054</t>
  </si>
  <si>
    <t>26-Nov-24</t>
  </si>
  <si>
    <t xml:space="preserve">Olivia Lewis </t>
  </si>
  <si>
    <t>ORD-1225</t>
  </si>
  <si>
    <t>01-May-24</t>
  </si>
  <si>
    <t>sarah clark</t>
  </si>
  <si>
    <t>$192.82</t>
  </si>
  <si>
    <t>ORD-1028</t>
  </si>
  <si>
    <t>2024-10-03</t>
  </si>
  <si>
    <t>Michael  Hussain</t>
  </si>
  <si>
    <t>ORD-1135</t>
  </si>
  <si>
    <t>10/22/2024</t>
  </si>
  <si>
    <t>AISHA TAYLOR</t>
  </si>
  <si>
    <t xml:space="preserve"> 217.67 </t>
  </si>
  <si>
    <t>ORD-1119</t>
  </si>
  <si>
    <t>michael qureshi</t>
  </si>
  <si>
    <t>ORD-1020</t>
  </si>
  <si>
    <t>January 01, 2024</t>
  </si>
  <si>
    <t>john ali</t>
  </si>
  <si>
    <t>ORD-1012</t>
  </si>
  <si>
    <t>2024-04-21</t>
  </si>
  <si>
    <t>AISHA GARCIA</t>
  </si>
  <si>
    <t>ORD-1030</t>
  </si>
  <si>
    <t>2024-10-16</t>
  </si>
  <si>
    <t>umar malik</t>
  </si>
  <si>
    <t>ORD-1167</t>
  </si>
  <si>
    <t>01/12/2024</t>
  </si>
  <si>
    <t xml:space="preserve"> Liam Wilson</t>
  </si>
  <si>
    <t>ORD-1155</t>
  </si>
  <si>
    <t>17-Jul-24</t>
  </si>
  <si>
    <t>ORD-1221</t>
  </si>
  <si>
    <t>14/12/2024</t>
  </si>
  <si>
    <t>Olivia Clark</t>
  </si>
  <si>
    <t>ORD-1017</t>
  </si>
  <si>
    <t>2024-05-07</t>
  </si>
  <si>
    <t xml:space="preserve"> Sana Lee</t>
  </si>
  <si>
    <t>ORD-1166</t>
  </si>
  <si>
    <t>July 22, 2024</t>
  </si>
  <si>
    <t>Emily  Lee</t>
  </si>
  <si>
    <t>ORD-1037</t>
  </si>
  <si>
    <t>05/02/2024</t>
  </si>
  <si>
    <t>UMAR CLARK</t>
  </si>
  <si>
    <t>ORD-1014</t>
  </si>
  <si>
    <t>2024-10-15</t>
  </si>
  <si>
    <t>ZARA JOHNSON</t>
  </si>
  <si>
    <t>ORD-1125</t>
  </si>
  <si>
    <t>19/07/2024</t>
  </si>
  <si>
    <t xml:space="preserve">Emily Ahmed </t>
  </si>
  <si>
    <t>ORD-1048</t>
  </si>
  <si>
    <t>10/05/2024</t>
  </si>
  <si>
    <t>FATIMA SHEIKH</t>
  </si>
  <si>
    <t>ORD-1006</t>
  </si>
  <si>
    <t>09/13/2024</t>
  </si>
  <si>
    <t>$150.28</t>
  </si>
  <si>
    <t>ORD-1013</t>
  </si>
  <si>
    <t>October 23, 2024</t>
  </si>
  <si>
    <t>Sarah Taylor</t>
  </si>
  <si>
    <t>$38.92</t>
  </si>
  <si>
    <t>ORD-1039</t>
  </si>
  <si>
    <t>21/01/2024</t>
  </si>
  <si>
    <t>Kate Brown</t>
  </si>
  <si>
    <t>ORD-1005</t>
  </si>
  <si>
    <t>03/19/2024</t>
  </si>
  <si>
    <t>Sofia  Lee</t>
  </si>
  <si>
    <t>ORD-1083</t>
  </si>
  <si>
    <t>07/02/2024</t>
  </si>
  <si>
    <t>Tom  Wilson</t>
  </si>
  <si>
    <t xml:space="preserve"> 353.50 </t>
  </si>
  <si>
    <t>ORD-1206</t>
  </si>
  <si>
    <t>2024-11-16</t>
  </si>
  <si>
    <t>bilal hussain</t>
  </si>
  <si>
    <t>ORD-1175</t>
  </si>
  <si>
    <t>03-Aug-24</t>
  </si>
  <si>
    <t xml:space="preserve"> Yusuf Sheikh</t>
  </si>
  <si>
    <t>ORD-1149</t>
  </si>
  <si>
    <t>02/08/2024</t>
  </si>
  <si>
    <t xml:space="preserve">Kevin Brown </t>
  </si>
  <si>
    <t>ORD-1116</t>
  </si>
  <si>
    <t>31-Aug-24</t>
  </si>
  <si>
    <t>ORD-1207</t>
  </si>
  <si>
    <t>05/28/2024</t>
  </si>
  <si>
    <t xml:space="preserve"> Sofia Smith</t>
  </si>
  <si>
    <t>ORD-1029</t>
  </si>
  <si>
    <t>November 06, 2024</t>
  </si>
  <si>
    <t xml:space="preserve">Laura Johnson </t>
  </si>
  <si>
    <t>ORD-1222</t>
  </si>
  <si>
    <t>2024-06-24</t>
  </si>
  <si>
    <t>aisha ali</t>
  </si>
  <si>
    <t>ORD-1181</t>
  </si>
  <si>
    <t>BILAL ALI</t>
  </si>
  <si>
    <t>ORD-1047</t>
  </si>
  <si>
    <t>2024-06-15</t>
  </si>
  <si>
    <t>Liam Farooq</t>
  </si>
  <si>
    <t>$353.43</t>
  </si>
  <si>
    <t>ORD-1018</t>
  </si>
  <si>
    <t>ORD-1199</t>
  </si>
  <si>
    <t>02/19/2024</t>
  </si>
  <si>
    <t>SARAH TAYLOR</t>
  </si>
  <si>
    <t>ORD-1204</t>
  </si>
  <si>
    <t>18-Jun-24</t>
  </si>
  <si>
    <t>laura qureshi</t>
  </si>
  <si>
    <t>$148.87</t>
  </si>
  <si>
    <t>ORD-1069</t>
  </si>
  <si>
    <t>28-Jul-24</t>
  </si>
  <si>
    <t>Kevin Brown</t>
  </si>
  <si>
    <t>ORD-1177</t>
  </si>
  <si>
    <t>March 07, 2024</t>
  </si>
  <si>
    <t xml:space="preserve">David Taylor </t>
  </si>
  <si>
    <t>$381.79</t>
  </si>
  <si>
    <t>ORD-1027</t>
  </si>
  <si>
    <t>July 20, 2024</t>
  </si>
  <si>
    <t>MARIA ANDERSON</t>
  </si>
  <si>
    <t>$205.14</t>
  </si>
  <si>
    <t>ORD-1216</t>
  </si>
  <si>
    <t>09/04/2024</t>
  </si>
  <si>
    <t>BILAL TAYLOR</t>
  </si>
  <si>
    <t>ORD-1133</t>
  </si>
  <si>
    <t>2024-12-13</t>
  </si>
  <si>
    <t xml:space="preserve">Liam Qureshi </t>
  </si>
  <si>
    <t>ORD-1062</t>
  </si>
  <si>
    <t>14/08/2024</t>
  </si>
  <si>
    <t>Sana Smith</t>
  </si>
  <si>
    <t>$442.25</t>
  </si>
  <si>
    <t>ORD-1109</t>
  </si>
  <si>
    <t xml:space="preserve"> Chen Malik</t>
  </si>
  <si>
    <t>$280.86</t>
  </si>
  <si>
    <t>ORD-1021</t>
  </si>
  <si>
    <t>12/12/2024</t>
  </si>
  <si>
    <t>hina garcia</t>
  </si>
  <si>
    <t>ORD-1196</t>
  </si>
  <si>
    <t>18/06/2024</t>
  </si>
  <si>
    <t>SANA  QURESHI</t>
  </si>
  <si>
    <t>ORD-1057</t>
  </si>
  <si>
    <t>30/12/2024</t>
  </si>
  <si>
    <t>SANA JOHNSON</t>
  </si>
  <si>
    <t>ORD-1097</t>
  </si>
  <si>
    <t>2024-04-29</t>
  </si>
  <si>
    <t xml:space="preserve">Yusuf Lee </t>
  </si>
  <si>
    <t xml:space="preserve"> 371.74 </t>
  </si>
  <si>
    <t>ORD-1141</t>
  </si>
  <si>
    <t>05/14/2024</t>
  </si>
  <si>
    <t>sofia smith</t>
  </si>
  <si>
    <t>ORD-1042</t>
  </si>
  <si>
    <t>22-Mar-24</t>
  </si>
  <si>
    <t xml:space="preserve"> Sarah Garcia</t>
  </si>
  <si>
    <t>$350.63</t>
  </si>
  <si>
    <t>ORD-1102</t>
  </si>
  <si>
    <t>08/10/2024</t>
  </si>
  <si>
    <t>HINA ALI</t>
  </si>
  <si>
    <t>ORD-1202</t>
  </si>
  <si>
    <t>05/31/2024</t>
  </si>
  <si>
    <t>bilal johnson</t>
  </si>
  <si>
    <t>$20.26</t>
  </si>
  <si>
    <t>ORD-1144</t>
  </si>
  <si>
    <t>2024-07-03</t>
  </si>
  <si>
    <t xml:space="preserve">Kevin Clark </t>
  </si>
  <si>
    <t>ORD-1188</t>
  </si>
  <si>
    <t>November 05, 2024</t>
  </si>
  <si>
    <t>Kate Ahmed</t>
  </si>
  <si>
    <t>ORD-1049</t>
  </si>
  <si>
    <t>HINA SMITH</t>
  </si>
  <si>
    <t>ORD-1096</t>
  </si>
  <si>
    <t>2024-12-31</t>
  </si>
  <si>
    <t>maria ahmed</t>
  </si>
  <si>
    <t>ORD-1226</t>
  </si>
  <si>
    <t>April 30, 2024</t>
  </si>
  <si>
    <t>zara taylor</t>
  </si>
  <si>
    <t>ORD-1002</t>
  </si>
  <si>
    <t>August 23, 2024</t>
  </si>
  <si>
    <t xml:space="preserve"> Laura Lee</t>
  </si>
  <si>
    <t>ORD-1060</t>
  </si>
  <si>
    <t>28-Feb-24</t>
  </si>
  <si>
    <t xml:space="preserve">Grace Taylor </t>
  </si>
  <si>
    <t>$256.17</t>
  </si>
  <si>
    <t>ORD-1208</t>
  </si>
  <si>
    <t>2024-07-02</t>
  </si>
  <si>
    <t>Kevin Clark</t>
  </si>
  <si>
    <t>ORD-1075</t>
  </si>
  <si>
    <t>2024-02-10</t>
  </si>
  <si>
    <t>Kevin  Sheikh</t>
  </si>
  <si>
    <t>ORD-1111</t>
  </si>
  <si>
    <t>06/12/2024</t>
  </si>
  <si>
    <t xml:space="preserve">Yusuf Ahmed </t>
  </si>
  <si>
    <t>ORD-1176</t>
  </si>
  <si>
    <t>July 28, 2024</t>
  </si>
  <si>
    <t>james lewis</t>
  </si>
  <si>
    <t>ORD-1077</t>
  </si>
  <si>
    <t>23/01/2024</t>
  </si>
  <si>
    <t>bilal brown</t>
  </si>
  <si>
    <t>ORD-1123</t>
  </si>
  <si>
    <t>10/12/2024</t>
  </si>
  <si>
    <t>robert anderson</t>
  </si>
  <si>
    <t>ORD-1126</t>
  </si>
  <si>
    <t>22/12/2024</t>
  </si>
  <si>
    <t>David Sheikh</t>
  </si>
  <si>
    <t>ORD-1184</t>
  </si>
  <si>
    <t>21-Aug-24</t>
  </si>
  <si>
    <t>Sana Ali</t>
  </si>
  <si>
    <t>Grace Anderson</t>
  </si>
  <si>
    <t>ORD-1121</t>
  </si>
  <si>
    <t>david wilson</t>
  </si>
  <si>
    <t>ORD-1074</t>
  </si>
  <si>
    <t>2024-07-31</t>
  </si>
  <si>
    <t>tom iqbal</t>
  </si>
  <si>
    <t>Sana  Qureshi</t>
  </si>
  <si>
    <t>ORD-1213</t>
  </si>
  <si>
    <t>2024-11-06</t>
  </si>
  <si>
    <t xml:space="preserve"> Zara Brown</t>
  </si>
  <si>
    <t>ORD-1134</t>
  </si>
  <si>
    <t>22-May-24</t>
  </si>
  <si>
    <t>Umar Hussain</t>
  </si>
  <si>
    <t>ORD-1001</t>
  </si>
  <si>
    <t>December 25, 2024</t>
  </si>
  <si>
    <t>Tom Ali</t>
  </si>
  <si>
    <t>ORD-1003</t>
  </si>
  <si>
    <t>09-Dec-24</t>
  </si>
  <si>
    <t>Yusuf Anderson</t>
  </si>
  <si>
    <t>ORD-1078</t>
  </si>
  <si>
    <t>04/03/2024</t>
  </si>
  <si>
    <t>james smith</t>
  </si>
  <si>
    <t>ORD-1067</t>
  </si>
  <si>
    <t>07-Feb-24</t>
  </si>
  <si>
    <t>Umar  Johnson</t>
  </si>
  <si>
    <t>ORD-1106</t>
  </si>
  <si>
    <t>August 02, 2024</t>
  </si>
  <si>
    <t>Chen  Clark</t>
  </si>
  <si>
    <t>ORD-1094</t>
  </si>
  <si>
    <t xml:space="preserve"> Sana Khan</t>
  </si>
  <si>
    <t>$160.28</t>
  </si>
  <si>
    <t>ORD-1079</t>
  </si>
  <si>
    <t>01-Dec-24</t>
  </si>
  <si>
    <t>Bilal Lee</t>
  </si>
  <si>
    <t>ORD-1214</t>
  </si>
  <si>
    <t>08/07/2024</t>
  </si>
  <si>
    <t xml:space="preserve"> Aisha Qureshi</t>
  </si>
  <si>
    <t>ORD-1023</t>
  </si>
  <si>
    <t>2024-12-01</t>
  </si>
  <si>
    <t xml:space="preserve">Michael Ahmed </t>
  </si>
  <si>
    <t xml:space="preserve"> 316.73 </t>
  </si>
  <si>
    <t>ORD-1211</t>
  </si>
  <si>
    <t>March 06, 2024</t>
  </si>
  <si>
    <t>Kevin  Wilson</t>
  </si>
  <si>
    <t>ORD-1124</t>
  </si>
  <si>
    <t>Tom  Raza</t>
  </si>
  <si>
    <t>ORD-1089</t>
  </si>
  <si>
    <t xml:space="preserve"> David Sheikh</t>
  </si>
  <si>
    <t>ORD-1122</t>
  </si>
  <si>
    <t>20/11/2024</t>
  </si>
  <si>
    <t>MARIA SMITH</t>
  </si>
  <si>
    <t>ORD-1137</t>
  </si>
  <si>
    <t>james johnson</t>
  </si>
  <si>
    <t>ORD-1200</t>
  </si>
  <si>
    <t>13/01/2024</t>
  </si>
  <si>
    <t xml:space="preserve">Grace Smith </t>
  </si>
  <si>
    <t>ORD-1164</t>
  </si>
  <si>
    <t>13-Feb-24</t>
  </si>
  <si>
    <t>MICHAEL FAROOQ</t>
  </si>
  <si>
    <t>ORD-1112</t>
  </si>
  <si>
    <t>24/11/2024</t>
  </si>
  <si>
    <t>Robert Hussain</t>
  </si>
  <si>
    <t>ORD-1145</t>
  </si>
  <si>
    <t>10/10/2024</t>
  </si>
  <si>
    <t>Liam  Lewis</t>
  </si>
  <si>
    <t>ORD-1163</t>
  </si>
  <si>
    <t>29/08/2024</t>
  </si>
  <si>
    <t>david khan</t>
  </si>
  <si>
    <t>ORD-1192</t>
  </si>
  <si>
    <t>June 09, 2024</t>
  </si>
  <si>
    <t xml:space="preserve"> Hina Qureshi</t>
  </si>
  <si>
    <t>ORD-1162</t>
  </si>
  <si>
    <t>October 19, 2024</t>
  </si>
  <si>
    <t xml:space="preserve"> Tom Malik</t>
  </si>
  <si>
    <t>ORD-1117</t>
  </si>
  <si>
    <t xml:space="preserve">Yusuf Johnson </t>
  </si>
  <si>
    <t>ORD-1153</t>
  </si>
  <si>
    <t>12/09/2024</t>
  </si>
  <si>
    <t xml:space="preserve"> Sarah Malik</t>
  </si>
  <si>
    <t>$225.78</t>
  </si>
  <si>
    <t>ORD-1152</t>
  </si>
  <si>
    <t>2024-03-03</t>
  </si>
  <si>
    <t>Sarah  Ahmed</t>
  </si>
  <si>
    <t>ORD-1046</t>
  </si>
  <si>
    <t>13-Jul-24</t>
  </si>
  <si>
    <t>LIAM ALI</t>
  </si>
  <si>
    <t>ORD-1217</t>
  </si>
  <si>
    <t>2024-12-22</t>
  </si>
  <si>
    <t>GRACE FAROOQ</t>
  </si>
  <si>
    <t>$474.88</t>
  </si>
  <si>
    <t>ORD-1179</t>
  </si>
  <si>
    <t>25/03/2024</t>
  </si>
  <si>
    <t>DAVID ALI</t>
  </si>
  <si>
    <t>ORD-1035</t>
  </si>
  <si>
    <t>25/05/2024</t>
  </si>
  <si>
    <t>Zara Raza</t>
  </si>
  <si>
    <t>ORD-1070</t>
  </si>
  <si>
    <t>Nida Taylor</t>
  </si>
  <si>
    <t>ORD-1139</t>
  </si>
  <si>
    <t>ZARA MALIK</t>
  </si>
  <si>
    <t xml:space="preserve"> 2 </t>
  </si>
  <si>
    <t>ORD-1120</t>
  </si>
  <si>
    <t>27/03/2024</t>
  </si>
  <si>
    <t xml:space="preserve"> Grace Farooq</t>
  </si>
  <si>
    <t>ORD-1084</t>
  </si>
  <si>
    <t>July 03, 2024</t>
  </si>
  <si>
    <t>Sofia Lee</t>
  </si>
  <si>
    <t xml:space="preserve"> 65.07 </t>
  </si>
  <si>
    <t>ORD-1092</t>
  </si>
  <si>
    <t>09-Nov-24</t>
  </si>
  <si>
    <t>chen sheikh</t>
  </si>
  <si>
    <t>ORD-1170</t>
  </si>
  <si>
    <t>2024-03-04</t>
  </si>
  <si>
    <t xml:space="preserve"> Chen Brown</t>
  </si>
  <si>
    <t xml:space="preserve"> 183.39 </t>
  </si>
  <si>
    <t>ORD-1009</t>
  </si>
  <si>
    <t>08/12/2024</t>
  </si>
  <si>
    <t>Emily  Ahmed</t>
  </si>
  <si>
    <t>ORD-1008</t>
  </si>
  <si>
    <t>August 12, 2024</t>
  </si>
  <si>
    <t>Sana Iqbal</t>
  </si>
  <si>
    <t>ORD-1044</t>
  </si>
  <si>
    <t>25-Jun-24</t>
  </si>
  <si>
    <t>Sana Brown</t>
  </si>
  <si>
    <t>ORD-1215</t>
  </si>
  <si>
    <t>04/01/2024</t>
  </si>
  <si>
    <t>nida anderson</t>
  </si>
  <si>
    <t>ORD-1034</t>
  </si>
  <si>
    <t>May 21, 2024</t>
  </si>
  <si>
    <t xml:space="preserve">Fatima Hussain </t>
  </si>
  <si>
    <t>ORD-1033</t>
  </si>
  <si>
    <t>August 30, 2024</t>
  </si>
  <si>
    <t xml:space="preserve"> Grace Smith</t>
  </si>
  <si>
    <t xml:space="preserve"> 51.06 </t>
  </si>
  <si>
    <t>ORD-1161</t>
  </si>
  <si>
    <t>2024-12-26</t>
  </si>
  <si>
    <t>Priya Lee</t>
  </si>
  <si>
    <t xml:space="preserve"> 7 </t>
  </si>
  <si>
    <t>ORD-1114</t>
  </si>
  <si>
    <t>February 19, 2024</t>
  </si>
  <si>
    <t>Daniel Sheikh</t>
  </si>
  <si>
    <t>ORD-1073</t>
  </si>
  <si>
    <t>daniel qureshi</t>
  </si>
  <si>
    <t>ORD-1189</t>
  </si>
  <si>
    <t>2024-04-23</t>
  </si>
  <si>
    <t xml:space="preserve"> Sofia Clark</t>
  </si>
  <si>
    <t>ORD-1064</t>
  </si>
  <si>
    <t>Robert Ali</t>
  </si>
  <si>
    <t>ORD-1059</t>
  </si>
  <si>
    <t>January 31, 2024</t>
  </si>
  <si>
    <t>ROBERT LEE</t>
  </si>
  <si>
    <t>ORD-1080</t>
  </si>
  <si>
    <t>2024-02-22</t>
  </si>
  <si>
    <t>EMILY SHEIKH</t>
  </si>
  <si>
    <t>ORD-1100</t>
  </si>
  <si>
    <t>LIAM CLARK</t>
  </si>
  <si>
    <t>ORD-1227</t>
  </si>
  <si>
    <t>2024-07-22</t>
  </si>
  <si>
    <t>Liam  Anderson</t>
  </si>
  <si>
    <t>ORD-1168</t>
  </si>
  <si>
    <t>2024-12-16</t>
  </si>
  <si>
    <t>sarah malik</t>
  </si>
  <si>
    <t>Chen Farooq</t>
  </si>
  <si>
    <t>ORD-1040</t>
  </si>
  <si>
    <t>2024-09-08</t>
  </si>
  <si>
    <t>Zara Wilson</t>
  </si>
  <si>
    <t>ORD-1159</t>
  </si>
  <si>
    <t xml:space="preserve">Priya Smith </t>
  </si>
  <si>
    <t xml:space="preserve"> 373.94 </t>
  </si>
  <si>
    <t>ORD-1068</t>
  </si>
  <si>
    <t>06-Apr-24</t>
  </si>
  <si>
    <t>Daniel Khan</t>
  </si>
  <si>
    <t xml:space="preserve"> Aisha Tayloris</t>
  </si>
  <si>
    <t>MonthlyTarget</t>
  </si>
  <si>
    <t>Jan</t>
  </si>
  <si>
    <t>Feb</t>
  </si>
  <si>
    <t>Mar</t>
  </si>
  <si>
    <t>OrderDate_Fixed</t>
  </si>
  <si>
    <t>Revenue</t>
  </si>
  <si>
    <t>Yusuf Malik</t>
  </si>
  <si>
    <t>Customer called twice</t>
  </si>
  <si>
    <t>Umar Farooq</t>
  </si>
  <si>
    <t>Sofia Johnson</t>
  </si>
  <si>
    <t/>
  </si>
  <si>
    <t>Robert Smith</t>
  </si>
  <si>
    <t>Michael Clark</t>
  </si>
  <si>
    <t>Bilal Iqbal</t>
  </si>
  <si>
    <t>Robert Ahmed</t>
  </si>
  <si>
    <t>Ahmed Brown</t>
  </si>
  <si>
    <t>Follow up needed</t>
  </si>
  <si>
    <t>Robert Raza</t>
  </si>
  <si>
    <t>Daniel Smith</t>
  </si>
  <si>
    <t>Sarah Garcia</t>
  </si>
  <si>
    <t>Olivia Taylor</t>
  </si>
  <si>
    <t>Yusuf Ali</t>
  </si>
  <si>
    <t>Grace Garcia</t>
  </si>
  <si>
    <t>Nida Johnson</t>
  </si>
  <si>
    <t>Yusuf Khan</t>
  </si>
  <si>
    <t>Leave at front desk</t>
  </si>
  <si>
    <t>Fatima Iqbal</t>
  </si>
  <si>
    <t>Hina Raza</t>
  </si>
  <si>
    <t>Bilal Brown</t>
  </si>
  <si>
    <t>Laura Farooq</t>
  </si>
  <si>
    <t>Fatima Raza</t>
  </si>
  <si>
    <t>John Brown</t>
  </si>
  <si>
    <t>Kevin Garcia</t>
  </si>
  <si>
    <t>Noah Malik</t>
  </si>
  <si>
    <t>Chen Qureshi</t>
  </si>
  <si>
    <t>Zara Lee</t>
  </si>
  <si>
    <t>Noah Anderson</t>
  </si>
  <si>
    <t>Grace Hussain</t>
  </si>
  <si>
    <t>Aisha Farooq</t>
  </si>
  <si>
    <t>James Hussain</t>
  </si>
  <si>
    <t>Bilal Hussain</t>
  </si>
  <si>
    <t>Kate Lewis</t>
  </si>
  <si>
    <t>Fatima Hussain</t>
  </si>
  <si>
    <t>Zara Malik</t>
  </si>
  <si>
    <t>Sofia Wilson</t>
  </si>
  <si>
    <t>Sarah Brown</t>
  </si>
  <si>
    <t>Olivia Iqbal</t>
  </si>
  <si>
    <t>Laura Ahmed</t>
  </si>
  <si>
    <t>Umar Brown</t>
  </si>
  <si>
    <t>Daniel Raza</t>
  </si>
  <si>
    <t>Tom Taylor</t>
  </si>
  <si>
    <t>David Raza</t>
  </si>
  <si>
    <t>Michael Farooq</t>
  </si>
  <si>
    <t>Noah Garcia</t>
  </si>
  <si>
    <t>David Farooq</t>
  </si>
  <si>
    <t>Ahmed Garcia</t>
  </si>
  <si>
    <t>Tom Hussain</t>
  </si>
  <si>
    <t>John Anderson</t>
  </si>
  <si>
    <t>Olivia Lewis</t>
  </si>
  <si>
    <t>Emily Ali</t>
  </si>
  <si>
    <t>Priya Raza</t>
  </si>
  <si>
    <t>Sofia Malik</t>
  </si>
  <si>
    <t>Nida Hussain</t>
  </si>
  <si>
    <t>Grace Brown</t>
  </si>
  <si>
    <t>Sana Farooq</t>
  </si>
  <si>
    <t>Emily Johnson</t>
  </si>
  <si>
    <t>Priya Ahmed</t>
  </si>
  <si>
    <t>John Farooq</t>
  </si>
  <si>
    <t>Aisha Clark</t>
  </si>
  <si>
    <t>Michael Anderson</t>
  </si>
  <si>
    <t>Emily Hussain</t>
  </si>
  <si>
    <t>Sarah Clark</t>
  </si>
  <si>
    <t>Aisha Taylor</t>
  </si>
  <si>
    <t>Michael Qureshi</t>
  </si>
  <si>
    <t>John Ali</t>
  </si>
  <si>
    <t>Aisha Garcia</t>
  </si>
  <si>
    <t>Umar Malik</t>
  </si>
  <si>
    <t>Liam Wilson</t>
  </si>
  <si>
    <t>Sana Lee</t>
  </si>
  <si>
    <t>Umar Clark</t>
  </si>
  <si>
    <t>Zara Johnson</t>
  </si>
  <si>
    <t>Emily Ahmed</t>
  </si>
  <si>
    <t>Fatima Sheikh</t>
  </si>
  <si>
    <t>Yusuf Sheikh</t>
  </si>
  <si>
    <t>Sofia Smith</t>
  </si>
  <si>
    <t>Laura Johnson</t>
  </si>
  <si>
    <t>Aisha Ali</t>
  </si>
  <si>
    <t>Bilal Ali</t>
  </si>
  <si>
    <t>Laura Qureshi</t>
  </si>
  <si>
    <t>David Taylor</t>
  </si>
  <si>
    <t>Maria Anderson</t>
  </si>
  <si>
    <t>Bilal Taylor</t>
  </si>
  <si>
    <t>Liam Qureshi</t>
  </si>
  <si>
    <t>Chen Malik</t>
  </si>
  <si>
    <t>Hina Garcia</t>
  </si>
  <si>
    <t>Sana Johnson</t>
  </si>
  <si>
    <t>Yusuf Lee</t>
  </si>
  <si>
    <t>Hina Ali</t>
  </si>
  <si>
    <t>Bilal Johnson</t>
  </si>
  <si>
    <t>Hina Smith</t>
  </si>
  <si>
    <t>Maria Ahmed</t>
  </si>
  <si>
    <t>Zara Taylor</t>
  </si>
  <si>
    <t>Laura Lee</t>
  </si>
  <si>
    <t>Grace Taylor</t>
  </si>
  <si>
    <t>Yusuf Ahmed</t>
  </si>
  <si>
    <t>James Lewis</t>
  </si>
  <si>
    <t>Robert Anderson</t>
  </si>
  <si>
    <t>David Wilson</t>
  </si>
  <si>
    <t>Tom Iqbal</t>
  </si>
  <si>
    <t>Zara Brown</t>
  </si>
  <si>
    <t>James Smith</t>
  </si>
  <si>
    <t>Sana Khan</t>
  </si>
  <si>
    <t>Aisha Qureshi</t>
  </si>
  <si>
    <t>Michael Ahmed</t>
  </si>
  <si>
    <t>Maria Smith</t>
  </si>
  <si>
    <t>James Johnson</t>
  </si>
  <si>
    <t>Grace Smith</t>
  </si>
  <si>
    <t>David Khan</t>
  </si>
  <si>
    <t>Hina Qureshi</t>
  </si>
  <si>
    <t>Tom Malik</t>
  </si>
  <si>
    <t>Yusuf Johnson</t>
  </si>
  <si>
    <t>Sarah Malik</t>
  </si>
  <si>
    <t>Liam Ali</t>
  </si>
  <si>
    <t>Grace Farooq</t>
  </si>
  <si>
    <t>David Ali</t>
  </si>
  <si>
    <t>Chen Sheikh</t>
  </si>
  <si>
    <t>Nida Anderson</t>
  </si>
  <si>
    <t>Aisha Tayloris</t>
  </si>
  <si>
    <t>Daniel Qureshi</t>
  </si>
  <si>
    <t>Sofia Clark</t>
  </si>
  <si>
    <t>Robert Lee</t>
  </si>
  <si>
    <t>Emily Sheikh</t>
  </si>
  <si>
    <t>Liam Clark</t>
  </si>
  <si>
    <t>Priya Smith</t>
  </si>
  <si>
    <t>ASLAM KHAN</t>
  </si>
  <si>
    <t>Crockries</t>
  </si>
  <si>
    <t>ORD-1903</t>
  </si>
  <si>
    <t>Sukkur</t>
  </si>
  <si>
    <t>Cups and Glass</t>
  </si>
  <si>
    <t>Glass wrap request</t>
  </si>
  <si>
    <t>Aslam Khan</t>
  </si>
  <si>
    <t>QA Check</t>
  </si>
  <si>
    <t>Raw Row Count</t>
  </si>
  <si>
    <t>Cleaned Row Count</t>
  </si>
  <si>
    <t>Blank Quantity</t>
  </si>
  <si>
    <t>Blank UnitPrice</t>
  </si>
  <si>
    <t>Distinct Regions</t>
  </si>
  <si>
    <t>Distinct Statuses</t>
  </si>
  <si>
    <t>Manual Revenue Total</t>
  </si>
  <si>
    <t>PercentOfTarget</t>
  </si>
  <si>
    <t>HASHIM KHAN</t>
  </si>
  <si>
    <t>RABIA zAHeeR</t>
  </si>
  <si>
    <t>ANUM Buksh</t>
  </si>
  <si>
    <t>KHAULA ZAFAR</t>
  </si>
  <si>
    <t>NAEEMA BUTT</t>
  </si>
  <si>
    <t>stationary</t>
  </si>
  <si>
    <t>hhjjjkjh</t>
  </si>
  <si>
    <t>fhgfyjkh</t>
  </si>
  <si>
    <t>olklfx</t>
  </si>
  <si>
    <t>esrec</t>
  </si>
  <si>
    <t>jniolplk</t>
  </si>
  <si>
    <t>Cc</t>
  </si>
  <si>
    <t>ORD-2222</t>
  </si>
  <si>
    <t>ORD-2223</t>
  </si>
  <si>
    <t>ORD-2224</t>
  </si>
  <si>
    <t>ORD-2225</t>
  </si>
  <si>
    <t>Hashim Khan</t>
  </si>
  <si>
    <t>Rabia Zaheer</t>
  </si>
  <si>
    <t>Anum Buksh</t>
  </si>
  <si>
    <t>Khaula Zafar</t>
  </si>
  <si>
    <t>Naeema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</si>
</sst>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2" fillId="0" borderId="0" xfId="0" applyNumberFormat="1" applyFont="1"/>
    <xf numFmtId="6" fontId="0" fillId="0" borderId="0" xfId="0" applyNumberForma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67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53932DB-59C2-4A65-93A2-4231E79A5770}" autoFormatId="16" applyNumberFormats="0" applyBorderFormats="0" applyFontFormats="0" applyPatternFormats="0" applyAlignmentFormats="0" applyWidthHeightFormats="0">
  <queryTableRefresh nextId="20">
    <queryTableFields count="19">
      <queryTableField id="1" name="OrderID" tableColumnId="1"/>
      <queryTableField id="2" name="OrderDate" tableColumnId="2"/>
      <queryTableField id="3" name="CustomerName" tableColumnId="3"/>
      <queryTableField id="4" name="Region" tableColumnId="4"/>
      <queryTableField id="5" name="City" tableColumnId="5"/>
      <queryTableField id="6" name="Category" tableColumnId="6"/>
      <queryTableField id="7" name="Product" tableColumnId="7"/>
      <queryTableField id="8" name="Channel" tableColumnId="8"/>
      <queryTableField id="9" name="Quantity" tableColumnId="9"/>
      <queryTableField id="10" name="UnitPrice" tableColumnId="10"/>
      <queryTableField id="11" name="Discount" tableColumnId="11"/>
      <queryTableField id="12" name="PaymentMethod" tableColumnId="12"/>
      <queryTableField id="13" name="OrderStatus" tableColumnId="13"/>
      <queryTableField id="14" name="SalesRep" tableColumnId="14"/>
      <queryTableField id="15" name="Notes" tableColumnId="15"/>
      <queryTableField id="16" name="OrderDate_Fixed" tableColumnId="16"/>
      <queryTableField id="17" name="MonthlyTarget" tableColumnId="17"/>
      <queryTableField id="18" name="Revenue" tableColumnId="18"/>
      <queryTableField id="19" name="PercentOfTarget" tableColumnId="19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491AAB-CB02-45E0-B43F-700F1D1DE89C}" name="tblOrders_1" displayName="tblOrders_1" ref="A1:O251" totalsRowShown="0">
  <autoFilter ref="A1:O251" xr:uid="{16491AAB-CB02-45E0-B43F-700F1D1DE89C}"/>
  <tableColumns count="15">
    <tableColumn id="1" xr3:uid="{F6930F4E-9B69-4F7F-A712-C012925972D6}" name="OrderID" dataDxfId="66"/>
    <tableColumn id="2" xr3:uid="{0596F099-D342-4D20-A9DA-63F50026EACA}" name="OrderDate" dataDxfId="65"/>
    <tableColumn id="3" xr3:uid="{07779C11-C98E-4DB3-901E-4B7801D9C882}" name="CustomerName" dataDxfId="64"/>
    <tableColumn id="4" xr3:uid="{136F150A-59C4-4E9A-85AB-CFD369653CE8}" name="Region" dataDxfId="63"/>
    <tableColumn id="5" xr3:uid="{BFC80DFB-9142-42FC-955F-7DEF0B243FCB}" name="City" dataDxfId="62"/>
    <tableColumn id="6" xr3:uid="{687A7ECB-5BD0-4C83-8895-7031A0E05B4B}" name="Category" dataDxfId="61"/>
    <tableColumn id="7" xr3:uid="{A90CAC00-E26D-492B-9F24-EAF8E8CB94C7}" name="Product" dataDxfId="60"/>
    <tableColumn id="8" xr3:uid="{A5FCDDF6-56DC-4CC5-A6E1-46642559D56A}" name="Channel" dataDxfId="59"/>
    <tableColumn id="9" xr3:uid="{B572AD50-47F1-4852-ADA6-B24FA4C5AA22}" name="Quantity"/>
    <tableColumn id="10" xr3:uid="{52CB1D52-54CE-4A33-8C92-F1E38F083DA8}" name="UnitPrice"/>
    <tableColumn id="11" xr3:uid="{42017F4F-8969-41AC-A757-A1D38A44F193}" name="Discount"/>
    <tableColumn id="12" xr3:uid="{C5AA5E93-0585-42A9-B532-0DB51FAA3A3D}" name="PaymentMethod" dataDxfId="58"/>
    <tableColumn id="13" xr3:uid="{4F19C41F-CCB4-45E4-AF1D-61B5632EAC79}" name="OrderStatus" dataDxfId="57"/>
    <tableColumn id="14" xr3:uid="{05C1AAA8-FC07-414F-BFC8-A4DD69DC35C6}" name="SalesRep" dataDxfId="56"/>
    <tableColumn id="15" xr3:uid="{3D584940-A04A-490A-92DB-B110C0F9E738}" name="Notes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554D37-819E-48E1-9878-D56156B8919C}" name="tblRegionTargets" displayName="tblRegionTargets" ref="A1:B5" totalsRowShown="0">
  <autoFilter ref="A1:B5" xr:uid="{48554D37-819E-48E1-9878-D56156B8919C}"/>
  <tableColumns count="2">
    <tableColumn id="1" xr3:uid="{4EDB3053-CA05-45DF-B111-105EAFE9E17C}" name="Region" dataDxfId="54"/>
    <tableColumn id="2" xr3:uid="{DB2D9CED-D006-4174-A188-4B175279FF16}" name="MonthlyTarget" dataDxfId="5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1D43E-2CB2-444B-A793-F57C3A24F356}" name="tblOrders5" displayName="tblOrders5" ref="A1:O245" totalsRowShown="0" headerRowDxfId="52" dataDxfId="51">
  <autoFilter ref="A1:O245" xr:uid="{DA51D43E-2CB2-444B-A793-F57C3A24F356}"/>
  <tableColumns count="15">
    <tableColumn id="1" xr3:uid="{F2A41320-9FBA-4236-926C-5828E652D3F3}" name="OrderID" dataDxfId="50"/>
    <tableColumn id="2" xr3:uid="{8E088D51-F5BA-4444-ACD5-C7101045F8F2}" name="OrderDate" dataDxfId="49"/>
    <tableColumn id="3" xr3:uid="{41679140-94A2-48AA-8BF3-5676988CB2BF}" name="CustomerName" dataDxfId="48"/>
    <tableColumn id="4" xr3:uid="{88474A5D-4A9C-40F9-9592-D170CD2A6319}" name="Region" dataDxfId="47"/>
    <tableColumn id="5" xr3:uid="{937CFFA4-5C40-4237-AE5F-A02287FDE9BB}" name="City" dataDxfId="46"/>
    <tableColumn id="6" xr3:uid="{93E3FBC6-8BEB-49E8-8F4B-B6764BC204E2}" name="Category" dataDxfId="45"/>
    <tableColumn id="7" xr3:uid="{C5A03E73-690A-4CD8-8357-C16A0818D348}" name="Product" dataDxfId="44"/>
    <tableColumn id="8" xr3:uid="{FC13B31A-8785-4304-880B-A07F15E0D5E7}" name="Channel" dataDxfId="43"/>
    <tableColumn id="9" xr3:uid="{CBEDD60C-B357-4A82-A7BF-32C9B585F811}" name="Quantity" dataDxfId="42"/>
    <tableColumn id="10" xr3:uid="{EE0A49EA-B27A-4A06-B4C3-21D1A76DF9C5}" name="UnitPrice" dataDxfId="41"/>
    <tableColumn id="11" xr3:uid="{671C1E20-3952-42FF-8D6F-9E932EA2F66C}" name="Discount" dataDxfId="40"/>
    <tableColumn id="12" xr3:uid="{E20AD9C5-40B7-479A-978F-10508AED0B83}" name="PaymentMethod" dataDxfId="39"/>
    <tableColumn id="13" xr3:uid="{205FB0B4-9990-4106-93F6-D2C24B870D28}" name="OrderStatus" dataDxfId="38"/>
    <tableColumn id="14" xr3:uid="{BF59063A-B152-4BA6-8103-F0DB84E69AC8}" name="SalesRep" dataDxfId="37"/>
    <tableColumn id="15" xr3:uid="{31AF47C4-46B7-4810-A433-867A96902342}" name="Notes" dataDxfId="3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12C85D-334E-4CA1-A9A8-CA33F7CC6AE1}" name="tblOrders_2" displayName="tblOrders_2" ref="A1:S239" tableType="queryTable" totalsRowCount="1">
  <autoFilter ref="A1:S238" xr:uid="{5212C85D-334E-4CA1-A9A8-CA33F7CC6AE1}"/>
  <tableColumns count="19">
    <tableColumn id="1" xr3:uid="{94C879C7-1753-417B-9311-00B547133BB7}" uniqueName="1" name="OrderID" queryTableFieldId="1" dataDxfId="12"/>
    <tableColumn id="2" xr3:uid="{E6CDC86A-B53F-47AF-8BF1-B0D991970458}" uniqueName="2" name="OrderDate" queryTableFieldId="2" dataDxfId="11"/>
    <tableColumn id="3" xr3:uid="{10944069-7924-4F37-806C-C6EF48C342B6}" uniqueName="3" name="CustomerName" queryTableFieldId="3" dataDxfId="10"/>
    <tableColumn id="4" xr3:uid="{760F905E-907E-4BC9-910A-A4F5A2CD8061}" uniqueName="4" name="Region" queryTableFieldId="4" dataDxfId="9"/>
    <tableColumn id="5" xr3:uid="{D2F60240-776C-4DEA-8882-3999FB0A0BFC}" uniqueName="5" name="City" queryTableFieldId="5" dataDxfId="8"/>
    <tableColumn id="6" xr3:uid="{0673D9B8-A58F-4788-AD5E-A840FD434801}" uniqueName="6" name="Category" queryTableFieldId="6" dataDxfId="7"/>
    <tableColumn id="7" xr3:uid="{C061C32C-A1BF-450F-AEDC-D09214639171}" uniqueName="7" name="Product" queryTableFieldId="7" dataDxfId="6"/>
    <tableColumn id="8" xr3:uid="{64FF820A-7599-4168-9840-AFAE7E1FB120}" uniqueName="8" name="Channel" queryTableFieldId="8" dataDxfId="5"/>
    <tableColumn id="9" xr3:uid="{B44A90A2-1976-4B23-86BC-6B8025A2FC31}" uniqueName="9" name="Quantity" queryTableFieldId="9"/>
    <tableColumn id="10" xr3:uid="{9BB67DDC-D057-4680-98D1-13C244289CB8}" uniqueName="10" name="UnitPrice" queryTableFieldId="10"/>
    <tableColumn id="11" xr3:uid="{97A760C9-3E54-4E28-8EE6-7E9FB1CB6A7E}" uniqueName="11" name="Discount" queryTableFieldId="11"/>
    <tableColumn id="12" xr3:uid="{70D2938C-6DCE-4B6D-9148-CFF21D06C9FB}" uniqueName="12" name="PaymentMethod" queryTableFieldId="12" dataDxfId="4"/>
    <tableColumn id="13" xr3:uid="{6D51A23E-36A8-4C2C-A013-81A46CC9501C}" uniqueName="13" name="OrderStatus" queryTableFieldId="13" dataDxfId="3"/>
    <tableColumn id="14" xr3:uid="{0EEE42B9-CAF6-46DC-9506-834186CBB999}" uniqueName="14" name="SalesRep" queryTableFieldId="14" dataDxfId="2"/>
    <tableColumn id="15" xr3:uid="{9941C94C-A155-42D7-A0C2-B2C507E1D6F3}" uniqueName="15" name="Notes" queryTableFieldId="15" dataDxfId="1"/>
    <tableColumn id="16" xr3:uid="{E428E140-532C-4B32-BDED-D79539FD3C0F}" uniqueName="16" name="OrderDate_Fixed" queryTableFieldId="16" dataDxfId="0"/>
    <tableColumn id="17" xr3:uid="{E18F33E8-0CA6-4975-92B3-0BCEBB9049B3}" uniqueName="17" name="MonthlyTarget" queryTableFieldId="17"/>
    <tableColumn id="18" xr3:uid="{A5BB8A90-0D47-4FBB-829E-E5AD8C14BC32}" uniqueName="18" name="Revenue" totalsRowFunction="sum" queryTableFieldId="18"/>
    <tableColumn id="19" xr3:uid="{286C3889-9724-4E8F-B83B-B15A2DA9BAD7}" uniqueName="19" name="PercentOfTarget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4B8907-33B2-45C3-8859-77812496ADAD}" name="tblWideSummary" displayName="tblWideSummary" ref="A1:D4" totalsRowShown="0" headerRowDxfId="35" dataDxfId="34">
  <autoFilter ref="A1:D4" xr:uid="{2B4B8907-33B2-45C3-8859-77812496ADAD}"/>
  <tableColumns count="4">
    <tableColumn id="1" xr3:uid="{11B25857-4F95-45E5-B04C-BD4E544B2036}" name="Category" dataDxfId="33"/>
    <tableColumn id="2" xr3:uid="{CB9D723D-869D-411A-80BD-84665A8129D2}" name="Jan" dataDxfId="32"/>
    <tableColumn id="3" xr3:uid="{4EE8F78F-BB83-4A67-992F-CBBEE4E20E50}" name="Feb" dataDxfId="31"/>
    <tableColumn id="4" xr3:uid="{518E6363-735C-4B48-889E-D49065FEC21C}" name="Mar" dataDxfId="30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A96F2-C062-4FA9-8E78-F2DCD8FE04EC}" name="tblOrders" displayName="tblOrders" ref="A1:O246" totalsRowShown="0" headerRowDxfId="29" dataDxfId="28">
  <autoFilter ref="A1:O246" xr:uid="{A2FA96F2-C062-4FA9-8E78-F2DCD8FE04EC}"/>
  <tableColumns count="15">
    <tableColumn id="1" xr3:uid="{05571510-5824-4C98-93C7-AD26B758FC59}" name="OrderID" dataDxfId="27"/>
    <tableColumn id="2" xr3:uid="{465ABD97-E5CA-496B-B83B-5DD6038010BC}" name="OrderDate" dataDxfId="26"/>
    <tableColumn id="3" xr3:uid="{416385C6-8770-42CF-8243-24FD9C01696F}" name="CustomerName" dataDxfId="25"/>
    <tableColumn id="4" xr3:uid="{BFEF9AAF-1387-4952-B34A-CB351014CFE2}" name="Region" dataDxfId="24"/>
    <tableColumn id="5" xr3:uid="{82C72F8E-0212-4B30-8424-28EDDBCD2D69}" name="City" dataDxfId="23"/>
    <tableColumn id="6" xr3:uid="{68D2CF98-B425-4635-A16C-8AE26AC6897F}" name="Category" dataDxfId="22"/>
    <tableColumn id="7" xr3:uid="{5DFDBA0E-4881-4F91-B0F9-1939AE40061E}" name="Product" dataDxfId="21"/>
    <tableColumn id="8" xr3:uid="{458D86D3-37A4-495C-A9E6-ACABDAC371D4}" name="Channel" dataDxfId="20"/>
    <tableColumn id="9" xr3:uid="{4F0175B1-C421-4964-BCAA-CACBF5F6E75D}" name="Quantity" dataDxfId="19"/>
    <tableColumn id="10" xr3:uid="{AA2D57F4-666B-4417-8403-54DD99B4BFE0}" name="UnitPrice" dataDxfId="18"/>
    <tableColumn id="11" xr3:uid="{579A2980-578B-40E0-A426-E75BB921C642}" name="Discount" dataDxfId="17"/>
    <tableColumn id="12" xr3:uid="{38B0358C-6111-4BE8-B07C-95786AEE469F}" name="PaymentMethod" dataDxfId="16"/>
    <tableColumn id="13" xr3:uid="{DBB15538-FC80-4522-869B-06B76CFCAA53}" name="OrderStatus" dataDxfId="15"/>
    <tableColumn id="14" xr3:uid="{E20C787A-190F-455E-9ED3-C27AEC5039A8}" name="SalesRep" dataDxfId="14"/>
    <tableColumn id="15" xr3:uid="{88375D46-BED1-4C42-B7D4-E4CA14DE474C}" name="Notes" dataDxfId="1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6FC7-B065-4629-A618-606D7C8716E2}">
  <dimension ref="A1:O251"/>
  <sheetViews>
    <sheetView topLeftCell="A235" workbookViewId="0">
      <selection activeCell="H253" sqref="H253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7.7109375" bestFit="1" customWidth="1"/>
    <col min="4" max="4" width="9.42578125" bestFit="1" customWidth="1"/>
    <col min="5" max="5" width="10.5703125" bestFit="1" customWidth="1"/>
    <col min="6" max="6" width="12.7109375" bestFit="1" customWidth="1"/>
    <col min="7" max="7" width="17.7109375" bestFit="1" customWidth="1"/>
    <col min="8" max="8" width="10.5703125" bestFit="1" customWidth="1"/>
    <col min="9" max="9" width="11" bestFit="1" customWidth="1"/>
    <col min="10" max="10" width="11.5703125" bestFit="1" customWidth="1"/>
    <col min="11" max="11" width="11" bestFit="1" customWidth="1"/>
    <col min="12" max="12" width="18.42578125" bestFit="1" customWidth="1"/>
    <col min="13" max="13" width="13.85546875" bestFit="1" customWidth="1"/>
    <col min="14" max="14" width="12.42578125" bestFit="1" customWidth="1"/>
    <col min="15" max="15" width="27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3">
        <v>45474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12</v>
      </c>
      <c r="J2">
        <v>369.04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s="3">
        <v>45502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3</v>
      </c>
      <c r="J3">
        <v>416.52</v>
      </c>
      <c r="K3">
        <v>0.05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41</v>
      </c>
      <c r="B4" s="3">
        <v>45523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>
        <v>5</v>
      </c>
      <c r="J4">
        <v>304.69</v>
      </c>
      <c r="K4">
        <v>0.2</v>
      </c>
      <c r="L4" t="s">
        <v>37</v>
      </c>
      <c r="M4" t="s">
        <v>25</v>
      </c>
      <c r="N4" t="s">
        <v>50</v>
      </c>
      <c r="O4" t="s">
        <v>51</v>
      </c>
    </row>
    <row r="5" spans="1:15" x14ac:dyDescent="0.25">
      <c r="A5" t="s">
        <v>52</v>
      </c>
      <c r="B5" s="3">
        <v>45637</v>
      </c>
      <c r="C5" t="s">
        <v>54</v>
      </c>
      <c r="D5" t="s">
        <v>55</v>
      </c>
      <c r="E5" t="s">
        <v>32</v>
      </c>
      <c r="F5" t="s">
        <v>56</v>
      </c>
      <c r="G5" t="s">
        <v>57</v>
      </c>
      <c r="H5" t="s">
        <v>58</v>
      </c>
      <c r="I5">
        <v>1</v>
      </c>
      <c r="J5">
        <v>151.09</v>
      </c>
      <c r="L5" t="s">
        <v>59</v>
      </c>
      <c r="M5" t="s">
        <v>60</v>
      </c>
      <c r="N5" t="s">
        <v>26</v>
      </c>
      <c r="O5" t="s">
        <v>40</v>
      </c>
    </row>
    <row r="6" spans="1:15" x14ac:dyDescent="0.25">
      <c r="A6" t="s">
        <v>61</v>
      </c>
      <c r="B6" s="3">
        <v>45526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>
        <v>3</v>
      </c>
      <c r="J6">
        <v>51.05</v>
      </c>
      <c r="K6">
        <v>0.2</v>
      </c>
      <c r="L6" t="s">
        <v>69</v>
      </c>
      <c r="M6" t="s">
        <v>70</v>
      </c>
      <c r="N6" t="s">
        <v>71</v>
      </c>
      <c r="O6" t="s">
        <v>27</v>
      </c>
    </row>
    <row r="7" spans="1:15" x14ac:dyDescent="0.25">
      <c r="A7" t="s">
        <v>72</v>
      </c>
      <c r="B7" s="3">
        <v>45508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22</v>
      </c>
      <c r="I7">
        <v>11</v>
      </c>
      <c r="J7">
        <v>363.02</v>
      </c>
      <c r="K7">
        <v>0.05</v>
      </c>
      <c r="L7" t="s">
        <v>79</v>
      </c>
      <c r="M7" t="s">
        <v>60</v>
      </c>
      <c r="N7" t="s">
        <v>39</v>
      </c>
      <c r="O7" t="s">
        <v>27</v>
      </c>
    </row>
    <row r="8" spans="1:15" x14ac:dyDescent="0.25">
      <c r="A8" t="s">
        <v>80</v>
      </c>
      <c r="B8" s="3">
        <v>45476</v>
      </c>
      <c r="C8" t="s">
        <v>82</v>
      </c>
      <c r="D8" t="s">
        <v>44</v>
      </c>
      <c r="E8" t="s">
        <v>45</v>
      </c>
      <c r="F8" t="s">
        <v>83</v>
      </c>
      <c r="G8" t="s">
        <v>84</v>
      </c>
      <c r="H8" t="s">
        <v>35</v>
      </c>
      <c r="I8">
        <v>10</v>
      </c>
      <c r="J8">
        <v>286.63</v>
      </c>
      <c r="K8">
        <v>0.1</v>
      </c>
      <c r="L8" t="s">
        <v>79</v>
      </c>
      <c r="M8" t="s">
        <v>86</v>
      </c>
      <c r="O8" t="s">
        <v>87</v>
      </c>
    </row>
    <row r="9" spans="1:15" x14ac:dyDescent="0.25">
      <c r="A9" t="s">
        <v>88</v>
      </c>
      <c r="B9" s="3">
        <v>45459</v>
      </c>
      <c r="C9" t="s">
        <v>90</v>
      </c>
      <c r="D9" t="s">
        <v>18</v>
      </c>
      <c r="E9" t="s">
        <v>19</v>
      </c>
      <c r="F9" t="s">
        <v>91</v>
      </c>
      <c r="G9" t="s">
        <v>84</v>
      </c>
      <c r="H9" t="s">
        <v>58</v>
      </c>
      <c r="I9">
        <v>4</v>
      </c>
      <c r="J9">
        <v>490.8</v>
      </c>
      <c r="L9" t="s">
        <v>59</v>
      </c>
      <c r="M9" t="s">
        <v>92</v>
      </c>
      <c r="N9" t="s">
        <v>71</v>
      </c>
      <c r="O9" t="s">
        <v>93</v>
      </c>
    </row>
    <row r="10" spans="1:15" x14ac:dyDescent="0.25">
      <c r="A10" t="s">
        <v>94</v>
      </c>
      <c r="B10" s="3">
        <v>45555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35</v>
      </c>
      <c r="I10">
        <v>11</v>
      </c>
      <c r="J10">
        <v>231.27</v>
      </c>
      <c r="K10">
        <v>0.2</v>
      </c>
      <c r="L10" t="s">
        <v>102</v>
      </c>
      <c r="M10" t="s">
        <v>86</v>
      </c>
      <c r="O10" t="s">
        <v>40</v>
      </c>
    </row>
    <row r="11" spans="1:15" x14ac:dyDescent="0.25">
      <c r="A11" t="s">
        <v>103</v>
      </c>
      <c r="B11" s="3">
        <v>45411</v>
      </c>
      <c r="C11" t="s">
        <v>105</v>
      </c>
      <c r="D11" t="s">
        <v>75</v>
      </c>
      <c r="E11" t="s">
        <v>76</v>
      </c>
      <c r="F11" t="s">
        <v>106</v>
      </c>
      <c r="G11" t="s">
        <v>107</v>
      </c>
      <c r="H11" t="s">
        <v>108</v>
      </c>
      <c r="I11">
        <v>4</v>
      </c>
      <c r="J11">
        <v>394.55</v>
      </c>
      <c r="K11">
        <v>0.2</v>
      </c>
      <c r="L11" t="s">
        <v>24</v>
      </c>
      <c r="M11" t="s">
        <v>110</v>
      </c>
      <c r="N11" t="s">
        <v>111</v>
      </c>
      <c r="O11" t="s">
        <v>112</v>
      </c>
    </row>
    <row r="12" spans="1:15" x14ac:dyDescent="0.25">
      <c r="A12" t="s">
        <v>113</v>
      </c>
      <c r="B12" s="3">
        <v>45332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58</v>
      </c>
      <c r="I12">
        <v>3</v>
      </c>
      <c r="J12">
        <v>66.89</v>
      </c>
      <c r="L12" t="s">
        <v>37</v>
      </c>
      <c r="M12" t="s">
        <v>70</v>
      </c>
      <c r="O12" t="s">
        <v>112</v>
      </c>
    </row>
    <row r="13" spans="1:15" x14ac:dyDescent="0.25">
      <c r="A13" t="s">
        <v>121</v>
      </c>
      <c r="B13" s="3">
        <v>45569</v>
      </c>
      <c r="C13" t="s">
        <v>123</v>
      </c>
      <c r="D13" t="s">
        <v>124</v>
      </c>
      <c r="E13" t="s">
        <v>125</v>
      </c>
      <c r="F13" t="s">
        <v>66</v>
      </c>
      <c r="G13" t="s">
        <v>57</v>
      </c>
      <c r="H13" t="s">
        <v>22</v>
      </c>
      <c r="I13">
        <v>4</v>
      </c>
      <c r="J13">
        <v>275.55</v>
      </c>
      <c r="L13" t="s">
        <v>69</v>
      </c>
      <c r="M13" t="s">
        <v>86</v>
      </c>
      <c r="N13" t="s">
        <v>111</v>
      </c>
      <c r="O13" t="s">
        <v>126</v>
      </c>
    </row>
    <row r="14" spans="1:15" x14ac:dyDescent="0.25">
      <c r="A14" t="s">
        <v>127</v>
      </c>
      <c r="B14" s="3">
        <v>45587</v>
      </c>
      <c r="C14" t="s">
        <v>129</v>
      </c>
      <c r="D14" t="s">
        <v>97</v>
      </c>
      <c r="E14" t="s">
        <v>98</v>
      </c>
      <c r="F14" t="s">
        <v>130</v>
      </c>
      <c r="G14" t="s">
        <v>131</v>
      </c>
      <c r="H14" t="s">
        <v>48</v>
      </c>
      <c r="I14">
        <v>9</v>
      </c>
      <c r="L14" t="s">
        <v>132</v>
      </c>
      <c r="M14" t="s">
        <v>110</v>
      </c>
      <c r="N14" t="s">
        <v>111</v>
      </c>
      <c r="O14" t="s">
        <v>93</v>
      </c>
    </row>
    <row r="15" spans="1:15" x14ac:dyDescent="0.25">
      <c r="A15" t="s">
        <v>133</v>
      </c>
      <c r="B15" s="3">
        <v>45405</v>
      </c>
      <c r="C15" t="s">
        <v>135</v>
      </c>
      <c r="D15" t="s">
        <v>64</v>
      </c>
      <c r="E15" t="s">
        <v>65</v>
      </c>
      <c r="F15" t="s">
        <v>136</v>
      </c>
      <c r="G15" t="s">
        <v>137</v>
      </c>
      <c r="H15" t="s">
        <v>35</v>
      </c>
      <c r="I15">
        <v>7</v>
      </c>
      <c r="J15">
        <v>22.48</v>
      </c>
      <c r="K15">
        <v>0.05</v>
      </c>
      <c r="L15" t="s">
        <v>139</v>
      </c>
      <c r="M15" t="s">
        <v>70</v>
      </c>
      <c r="O15" t="s">
        <v>87</v>
      </c>
    </row>
    <row r="16" spans="1:15" x14ac:dyDescent="0.25">
      <c r="A16" t="s">
        <v>140</v>
      </c>
      <c r="B16" s="3">
        <v>45625</v>
      </c>
      <c r="C16" t="s">
        <v>142</v>
      </c>
      <c r="D16" t="s">
        <v>97</v>
      </c>
      <c r="F16" t="s">
        <v>33</v>
      </c>
      <c r="G16" t="s">
        <v>47</v>
      </c>
      <c r="H16" t="s">
        <v>22</v>
      </c>
      <c r="I16">
        <v>8</v>
      </c>
      <c r="J16">
        <v>379.18</v>
      </c>
      <c r="L16" t="s">
        <v>143</v>
      </c>
      <c r="M16" t="s">
        <v>144</v>
      </c>
      <c r="N16" t="s">
        <v>39</v>
      </c>
      <c r="O16" t="s">
        <v>40</v>
      </c>
    </row>
    <row r="17" spans="1:15" x14ac:dyDescent="0.25">
      <c r="A17" t="s">
        <v>145</v>
      </c>
      <c r="B17" s="3">
        <v>45549</v>
      </c>
      <c r="C17" t="s">
        <v>147</v>
      </c>
      <c r="D17" t="s">
        <v>64</v>
      </c>
      <c r="E17" t="s">
        <v>65</v>
      </c>
      <c r="F17" t="s">
        <v>66</v>
      </c>
      <c r="G17" t="s">
        <v>148</v>
      </c>
      <c r="H17" t="s">
        <v>35</v>
      </c>
      <c r="I17">
        <v>1</v>
      </c>
      <c r="J17">
        <v>239.12</v>
      </c>
      <c r="K17">
        <v>0.05</v>
      </c>
      <c r="L17" t="s">
        <v>59</v>
      </c>
      <c r="M17" t="s">
        <v>86</v>
      </c>
      <c r="N17" t="s">
        <v>111</v>
      </c>
    </row>
    <row r="18" spans="1:15" x14ac:dyDescent="0.25">
      <c r="A18" t="s">
        <v>149</v>
      </c>
      <c r="B18" s="3">
        <v>45582</v>
      </c>
      <c r="C18" t="s">
        <v>151</v>
      </c>
      <c r="D18" t="s">
        <v>152</v>
      </c>
      <c r="E18" t="s">
        <v>19</v>
      </c>
      <c r="F18" t="s">
        <v>153</v>
      </c>
      <c r="G18" t="s">
        <v>154</v>
      </c>
      <c r="H18" t="s">
        <v>108</v>
      </c>
      <c r="J18">
        <v>464.9</v>
      </c>
      <c r="K18">
        <v>0.1</v>
      </c>
      <c r="L18" t="s">
        <v>24</v>
      </c>
      <c r="M18" t="s">
        <v>86</v>
      </c>
      <c r="N18" t="s">
        <v>111</v>
      </c>
      <c r="O18" t="s">
        <v>27</v>
      </c>
    </row>
    <row r="19" spans="1:15" x14ac:dyDescent="0.25">
      <c r="A19" t="s">
        <v>155</v>
      </c>
      <c r="B19" s="3">
        <v>45445</v>
      </c>
      <c r="C19" t="s">
        <v>157</v>
      </c>
      <c r="D19" t="s">
        <v>152</v>
      </c>
      <c r="E19" t="s">
        <v>117</v>
      </c>
      <c r="F19" t="s">
        <v>56</v>
      </c>
      <c r="G19" t="s">
        <v>57</v>
      </c>
      <c r="H19" t="s">
        <v>58</v>
      </c>
      <c r="I19">
        <v>8</v>
      </c>
      <c r="J19">
        <v>353.25</v>
      </c>
      <c r="K19">
        <v>0.2</v>
      </c>
      <c r="L19" t="s">
        <v>143</v>
      </c>
      <c r="M19" t="s">
        <v>158</v>
      </c>
      <c r="N19" t="s">
        <v>26</v>
      </c>
      <c r="O19" t="s">
        <v>112</v>
      </c>
    </row>
    <row r="20" spans="1:15" x14ac:dyDescent="0.25">
      <c r="A20" t="s">
        <v>159</v>
      </c>
      <c r="B20" s="3">
        <v>45387</v>
      </c>
      <c r="C20" t="s">
        <v>161</v>
      </c>
      <c r="D20" t="s">
        <v>162</v>
      </c>
      <c r="E20" t="s">
        <v>19</v>
      </c>
      <c r="F20" t="s">
        <v>163</v>
      </c>
      <c r="G20" t="s">
        <v>164</v>
      </c>
      <c r="H20" t="s">
        <v>35</v>
      </c>
      <c r="J20">
        <v>140.30000000000001</v>
      </c>
      <c r="K20">
        <v>0.1</v>
      </c>
      <c r="L20" t="s">
        <v>102</v>
      </c>
      <c r="M20" t="s">
        <v>165</v>
      </c>
      <c r="N20" t="s">
        <v>50</v>
      </c>
      <c r="O20" t="s">
        <v>51</v>
      </c>
    </row>
    <row r="21" spans="1:15" x14ac:dyDescent="0.25">
      <c r="A21" t="s">
        <v>166</v>
      </c>
      <c r="B21" s="3">
        <v>45592</v>
      </c>
      <c r="C21" t="s">
        <v>168</v>
      </c>
      <c r="D21" t="s">
        <v>116</v>
      </c>
      <c r="E21" t="s">
        <v>117</v>
      </c>
      <c r="F21" t="s">
        <v>91</v>
      </c>
      <c r="G21" t="s">
        <v>164</v>
      </c>
      <c r="H21" t="s">
        <v>58</v>
      </c>
      <c r="I21">
        <v>5</v>
      </c>
      <c r="J21">
        <v>44.12</v>
      </c>
      <c r="K21">
        <v>0.05</v>
      </c>
      <c r="L21" t="s">
        <v>102</v>
      </c>
      <c r="M21" t="s">
        <v>170</v>
      </c>
      <c r="N21" t="s">
        <v>50</v>
      </c>
      <c r="O21" t="s">
        <v>171</v>
      </c>
    </row>
    <row r="22" spans="1:15" x14ac:dyDescent="0.25">
      <c r="A22" t="s">
        <v>172</v>
      </c>
      <c r="B22" s="3">
        <v>45636</v>
      </c>
      <c r="C22" t="s">
        <v>174</v>
      </c>
      <c r="D22" t="s">
        <v>175</v>
      </c>
      <c r="E22" t="s">
        <v>32</v>
      </c>
      <c r="F22" t="s">
        <v>176</v>
      </c>
      <c r="G22" t="s">
        <v>177</v>
      </c>
      <c r="H22" t="s">
        <v>178</v>
      </c>
      <c r="I22">
        <v>10</v>
      </c>
      <c r="J22">
        <v>31.54</v>
      </c>
      <c r="K22">
        <v>0.1</v>
      </c>
      <c r="L22" t="s">
        <v>180</v>
      </c>
      <c r="M22" t="s">
        <v>25</v>
      </c>
      <c r="N22" t="s">
        <v>39</v>
      </c>
      <c r="O22" t="s">
        <v>40</v>
      </c>
    </row>
    <row r="23" spans="1:15" x14ac:dyDescent="0.25">
      <c r="A23" t="s">
        <v>181</v>
      </c>
      <c r="B23" s="3">
        <v>45364</v>
      </c>
      <c r="C23" t="s">
        <v>183</v>
      </c>
      <c r="D23" t="s">
        <v>44</v>
      </c>
      <c r="F23" t="s">
        <v>184</v>
      </c>
      <c r="G23" t="s">
        <v>34</v>
      </c>
      <c r="H23" t="s">
        <v>48</v>
      </c>
      <c r="I23">
        <v>2</v>
      </c>
      <c r="J23">
        <v>375.41</v>
      </c>
      <c r="L23" t="s">
        <v>69</v>
      </c>
      <c r="M23" t="s">
        <v>158</v>
      </c>
      <c r="N23" t="s">
        <v>26</v>
      </c>
      <c r="O23" t="s">
        <v>112</v>
      </c>
    </row>
    <row r="24" spans="1:15" x14ac:dyDescent="0.25">
      <c r="A24" t="s">
        <v>185</v>
      </c>
      <c r="B24" s="3">
        <v>45416</v>
      </c>
      <c r="C24" t="s">
        <v>187</v>
      </c>
      <c r="D24" t="s">
        <v>188</v>
      </c>
      <c r="E24" t="s">
        <v>32</v>
      </c>
      <c r="F24" t="s">
        <v>189</v>
      </c>
      <c r="G24" t="s">
        <v>154</v>
      </c>
      <c r="H24" t="s">
        <v>58</v>
      </c>
      <c r="I24">
        <v>9</v>
      </c>
      <c r="J24">
        <v>282.13</v>
      </c>
      <c r="L24" t="s">
        <v>69</v>
      </c>
      <c r="M24" t="s">
        <v>158</v>
      </c>
      <c r="N24" t="s">
        <v>111</v>
      </c>
      <c r="O24" t="s">
        <v>51</v>
      </c>
    </row>
    <row r="25" spans="1:15" x14ac:dyDescent="0.25">
      <c r="A25" t="s">
        <v>191</v>
      </c>
      <c r="B25" s="3">
        <v>45405</v>
      </c>
      <c r="C25" t="s">
        <v>193</v>
      </c>
      <c r="D25" t="s">
        <v>194</v>
      </c>
      <c r="E25" t="s">
        <v>98</v>
      </c>
      <c r="F25" t="s">
        <v>130</v>
      </c>
      <c r="G25" t="s">
        <v>21</v>
      </c>
      <c r="H25" t="s">
        <v>195</v>
      </c>
      <c r="I25">
        <v>12</v>
      </c>
      <c r="L25" t="s">
        <v>79</v>
      </c>
      <c r="M25" t="s">
        <v>144</v>
      </c>
      <c r="N25" t="s">
        <v>111</v>
      </c>
      <c r="O25" t="s">
        <v>40</v>
      </c>
    </row>
    <row r="26" spans="1:15" x14ac:dyDescent="0.25">
      <c r="A26" t="s">
        <v>196</v>
      </c>
      <c r="B26" s="3">
        <v>45638</v>
      </c>
      <c r="C26" t="s">
        <v>198</v>
      </c>
      <c r="D26" t="s">
        <v>75</v>
      </c>
      <c r="E26" t="s">
        <v>199</v>
      </c>
      <c r="F26" t="s">
        <v>184</v>
      </c>
      <c r="G26" t="s">
        <v>34</v>
      </c>
      <c r="H26" t="s">
        <v>200</v>
      </c>
      <c r="I26">
        <v>8</v>
      </c>
      <c r="J26">
        <v>200.43</v>
      </c>
      <c r="L26" t="s">
        <v>79</v>
      </c>
      <c r="M26" t="s">
        <v>201</v>
      </c>
      <c r="N26" t="s">
        <v>26</v>
      </c>
      <c r="O26" t="s">
        <v>112</v>
      </c>
    </row>
    <row r="27" spans="1:15" x14ac:dyDescent="0.25">
      <c r="A27" t="s">
        <v>202</v>
      </c>
      <c r="B27" s="3">
        <v>45379</v>
      </c>
      <c r="C27" t="s">
        <v>204</v>
      </c>
      <c r="D27" t="s">
        <v>44</v>
      </c>
      <c r="E27" t="s">
        <v>45</v>
      </c>
      <c r="F27" t="s">
        <v>66</v>
      </c>
      <c r="G27" t="s">
        <v>154</v>
      </c>
      <c r="H27" t="s">
        <v>68</v>
      </c>
      <c r="I27">
        <v>12</v>
      </c>
      <c r="J27">
        <v>411.55</v>
      </c>
      <c r="L27" t="s">
        <v>79</v>
      </c>
      <c r="M27" t="s">
        <v>38</v>
      </c>
      <c r="N27" t="s">
        <v>50</v>
      </c>
      <c r="O27" t="s">
        <v>51</v>
      </c>
    </row>
    <row r="28" spans="1:15" x14ac:dyDescent="0.25">
      <c r="A28" t="s">
        <v>205</v>
      </c>
      <c r="B28" s="3">
        <v>45452</v>
      </c>
      <c r="C28" t="s">
        <v>207</v>
      </c>
      <c r="D28" t="s">
        <v>162</v>
      </c>
      <c r="E28" t="s">
        <v>19</v>
      </c>
      <c r="F28" t="s">
        <v>136</v>
      </c>
      <c r="G28" t="s">
        <v>78</v>
      </c>
      <c r="H28" t="s">
        <v>195</v>
      </c>
      <c r="I28">
        <v>12</v>
      </c>
      <c r="J28">
        <v>284.95</v>
      </c>
      <c r="L28" t="s">
        <v>69</v>
      </c>
      <c r="M28" t="s">
        <v>208</v>
      </c>
      <c r="N28" t="s">
        <v>39</v>
      </c>
      <c r="O28" t="s">
        <v>40</v>
      </c>
    </row>
    <row r="29" spans="1:15" x14ac:dyDescent="0.25">
      <c r="A29" t="s">
        <v>209</v>
      </c>
      <c r="B29" s="3">
        <v>45478</v>
      </c>
      <c r="C29" t="s">
        <v>211</v>
      </c>
      <c r="D29" t="s">
        <v>212</v>
      </c>
      <c r="E29" t="s">
        <v>65</v>
      </c>
      <c r="F29" t="s">
        <v>118</v>
      </c>
      <c r="G29" t="s">
        <v>213</v>
      </c>
      <c r="H29" t="s">
        <v>108</v>
      </c>
      <c r="I29">
        <v>10</v>
      </c>
      <c r="J29">
        <v>140.9</v>
      </c>
      <c r="K29">
        <v>0</v>
      </c>
      <c r="L29" t="s">
        <v>132</v>
      </c>
      <c r="M29" t="s">
        <v>158</v>
      </c>
      <c r="N29" t="s">
        <v>50</v>
      </c>
      <c r="O29" t="s">
        <v>112</v>
      </c>
    </row>
    <row r="30" spans="1:15" x14ac:dyDescent="0.25">
      <c r="A30" t="s">
        <v>214</v>
      </c>
      <c r="B30" s="3">
        <v>45524</v>
      </c>
      <c r="C30" t="s">
        <v>216</v>
      </c>
      <c r="D30" t="s">
        <v>31</v>
      </c>
      <c r="E30" t="s">
        <v>32</v>
      </c>
      <c r="F30" t="s">
        <v>118</v>
      </c>
      <c r="G30" t="s">
        <v>213</v>
      </c>
      <c r="H30" t="s">
        <v>58</v>
      </c>
      <c r="I30">
        <v>1</v>
      </c>
      <c r="J30">
        <v>155.66</v>
      </c>
      <c r="L30" t="s">
        <v>102</v>
      </c>
      <c r="M30" t="s">
        <v>208</v>
      </c>
      <c r="N30" t="s">
        <v>50</v>
      </c>
      <c r="O30" t="s">
        <v>93</v>
      </c>
    </row>
    <row r="31" spans="1:15" x14ac:dyDescent="0.25">
      <c r="A31" t="s">
        <v>217</v>
      </c>
      <c r="B31" s="3">
        <v>45563</v>
      </c>
      <c r="C31" t="s">
        <v>219</v>
      </c>
      <c r="D31" t="s">
        <v>55</v>
      </c>
      <c r="E31" t="s">
        <v>32</v>
      </c>
      <c r="F31" t="s">
        <v>99</v>
      </c>
      <c r="G31" t="s">
        <v>220</v>
      </c>
      <c r="H31" t="s">
        <v>108</v>
      </c>
      <c r="I31">
        <v>5</v>
      </c>
      <c r="J31">
        <v>387.86</v>
      </c>
      <c r="L31" t="s">
        <v>132</v>
      </c>
      <c r="M31" t="s">
        <v>208</v>
      </c>
      <c r="N31" t="s">
        <v>39</v>
      </c>
      <c r="O31" t="s">
        <v>126</v>
      </c>
    </row>
    <row r="32" spans="1:15" x14ac:dyDescent="0.25">
      <c r="A32" t="s">
        <v>221</v>
      </c>
      <c r="B32" s="3">
        <v>45505</v>
      </c>
      <c r="C32" t="s">
        <v>223</v>
      </c>
      <c r="D32" t="s">
        <v>224</v>
      </c>
      <c r="E32" t="s">
        <v>45</v>
      </c>
      <c r="F32" t="s">
        <v>46</v>
      </c>
      <c r="G32" t="s">
        <v>34</v>
      </c>
      <c r="H32" t="s">
        <v>68</v>
      </c>
      <c r="I32">
        <v>1</v>
      </c>
      <c r="J32">
        <v>474.53</v>
      </c>
      <c r="L32" t="s">
        <v>24</v>
      </c>
      <c r="M32" t="s">
        <v>144</v>
      </c>
      <c r="N32" t="s">
        <v>26</v>
      </c>
      <c r="O32" t="s">
        <v>126</v>
      </c>
    </row>
    <row r="33" spans="1:15" x14ac:dyDescent="0.25">
      <c r="A33" t="s">
        <v>226</v>
      </c>
      <c r="B33" s="3">
        <v>45596</v>
      </c>
      <c r="C33" t="s">
        <v>228</v>
      </c>
      <c r="D33" t="s">
        <v>162</v>
      </c>
      <c r="E33" t="s">
        <v>117</v>
      </c>
      <c r="F33" t="s">
        <v>33</v>
      </c>
      <c r="G33" t="s">
        <v>47</v>
      </c>
      <c r="H33" t="s">
        <v>195</v>
      </c>
      <c r="J33">
        <v>449.47</v>
      </c>
      <c r="K33">
        <v>0</v>
      </c>
      <c r="L33" t="s">
        <v>24</v>
      </c>
      <c r="M33" t="s">
        <v>38</v>
      </c>
      <c r="O33" t="s">
        <v>93</v>
      </c>
    </row>
    <row r="34" spans="1:15" x14ac:dyDescent="0.25">
      <c r="A34" t="s">
        <v>229</v>
      </c>
      <c r="B34" s="3">
        <v>45520</v>
      </c>
      <c r="C34" t="s">
        <v>231</v>
      </c>
      <c r="D34" t="s">
        <v>152</v>
      </c>
      <c r="E34" t="s">
        <v>19</v>
      </c>
      <c r="F34" t="s">
        <v>130</v>
      </c>
      <c r="G34" t="s">
        <v>131</v>
      </c>
      <c r="H34" t="s">
        <v>200</v>
      </c>
      <c r="I34">
        <v>10</v>
      </c>
      <c r="J34">
        <v>498.33</v>
      </c>
      <c r="K34">
        <v>0</v>
      </c>
      <c r="L34" t="s">
        <v>180</v>
      </c>
      <c r="M34" t="s">
        <v>158</v>
      </c>
      <c r="N34" t="s">
        <v>71</v>
      </c>
      <c r="O34" t="s">
        <v>40</v>
      </c>
    </row>
    <row r="35" spans="1:15" x14ac:dyDescent="0.25">
      <c r="A35" t="s">
        <v>232</v>
      </c>
      <c r="B35" s="3">
        <v>45465</v>
      </c>
      <c r="C35" t="s">
        <v>234</v>
      </c>
      <c r="D35" t="s">
        <v>162</v>
      </c>
      <c r="E35" t="s">
        <v>19</v>
      </c>
      <c r="F35" t="s">
        <v>235</v>
      </c>
      <c r="G35" t="s">
        <v>236</v>
      </c>
      <c r="H35" t="s">
        <v>178</v>
      </c>
      <c r="I35">
        <v>5</v>
      </c>
      <c r="J35">
        <v>97.83</v>
      </c>
      <c r="K35">
        <v>0.15</v>
      </c>
      <c r="L35" t="s">
        <v>237</v>
      </c>
      <c r="M35" t="s">
        <v>25</v>
      </c>
      <c r="O35" t="s">
        <v>51</v>
      </c>
    </row>
    <row r="36" spans="1:15" x14ac:dyDescent="0.25">
      <c r="A36" t="s">
        <v>238</v>
      </c>
      <c r="B36" s="3">
        <v>45450</v>
      </c>
      <c r="C36" t="s">
        <v>240</v>
      </c>
      <c r="D36" t="s">
        <v>97</v>
      </c>
      <c r="E36" t="s">
        <v>65</v>
      </c>
      <c r="F36" t="s">
        <v>130</v>
      </c>
      <c r="G36" t="s">
        <v>119</v>
      </c>
      <c r="H36" t="s">
        <v>68</v>
      </c>
      <c r="I36">
        <v>10</v>
      </c>
      <c r="J36">
        <v>227.71</v>
      </c>
      <c r="K36">
        <v>0</v>
      </c>
      <c r="L36" t="s">
        <v>79</v>
      </c>
      <c r="M36" t="s">
        <v>208</v>
      </c>
      <c r="N36" t="s">
        <v>26</v>
      </c>
    </row>
    <row r="37" spans="1:15" x14ac:dyDescent="0.25">
      <c r="A37" t="s">
        <v>242</v>
      </c>
      <c r="B37" s="3">
        <v>45418</v>
      </c>
      <c r="C37" t="s">
        <v>244</v>
      </c>
      <c r="D37" t="s">
        <v>116</v>
      </c>
      <c r="E37" t="s">
        <v>117</v>
      </c>
      <c r="F37" t="s">
        <v>66</v>
      </c>
      <c r="G37" t="s">
        <v>154</v>
      </c>
      <c r="H37" t="s">
        <v>108</v>
      </c>
      <c r="I37">
        <v>9</v>
      </c>
      <c r="J37">
        <v>387.13</v>
      </c>
      <c r="K37">
        <v>0.1</v>
      </c>
      <c r="L37" t="s">
        <v>79</v>
      </c>
      <c r="M37" t="s">
        <v>38</v>
      </c>
      <c r="N37" t="s">
        <v>111</v>
      </c>
      <c r="O37" t="s">
        <v>93</v>
      </c>
    </row>
    <row r="38" spans="1:15" x14ac:dyDescent="0.25">
      <c r="A38" t="s">
        <v>245</v>
      </c>
      <c r="B38" s="3">
        <v>45376</v>
      </c>
      <c r="C38" t="s">
        <v>247</v>
      </c>
      <c r="D38" t="s">
        <v>64</v>
      </c>
      <c r="E38" t="s">
        <v>65</v>
      </c>
      <c r="F38" t="s">
        <v>235</v>
      </c>
      <c r="G38" t="s">
        <v>78</v>
      </c>
      <c r="H38" t="s">
        <v>35</v>
      </c>
      <c r="I38">
        <v>6</v>
      </c>
      <c r="J38">
        <v>175.79</v>
      </c>
      <c r="K38">
        <v>0</v>
      </c>
      <c r="L38" t="s">
        <v>102</v>
      </c>
      <c r="M38" t="s">
        <v>208</v>
      </c>
      <c r="N38" t="s">
        <v>50</v>
      </c>
      <c r="O38" t="s">
        <v>27</v>
      </c>
    </row>
    <row r="39" spans="1:15" x14ac:dyDescent="0.25">
      <c r="A39" t="s">
        <v>248</v>
      </c>
      <c r="B39" s="3">
        <v>45627</v>
      </c>
      <c r="C39" t="s">
        <v>250</v>
      </c>
      <c r="D39" t="s">
        <v>18</v>
      </c>
      <c r="E39" t="s">
        <v>117</v>
      </c>
      <c r="F39" t="s">
        <v>118</v>
      </c>
      <c r="G39" t="s">
        <v>213</v>
      </c>
      <c r="H39" t="s">
        <v>108</v>
      </c>
      <c r="I39">
        <v>6</v>
      </c>
      <c r="J39">
        <v>490.05</v>
      </c>
      <c r="K39">
        <v>0</v>
      </c>
      <c r="L39" t="s">
        <v>79</v>
      </c>
      <c r="M39" t="s">
        <v>38</v>
      </c>
      <c r="N39" t="s">
        <v>71</v>
      </c>
      <c r="O39" t="s">
        <v>40</v>
      </c>
    </row>
    <row r="40" spans="1:15" x14ac:dyDescent="0.25">
      <c r="A40" t="s">
        <v>251</v>
      </c>
      <c r="B40" s="3">
        <v>45362</v>
      </c>
      <c r="C40" t="s">
        <v>253</v>
      </c>
      <c r="D40" t="s">
        <v>152</v>
      </c>
      <c r="E40" t="s">
        <v>19</v>
      </c>
      <c r="F40" t="s">
        <v>163</v>
      </c>
      <c r="G40" t="s">
        <v>164</v>
      </c>
      <c r="H40" t="s">
        <v>22</v>
      </c>
      <c r="I40">
        <v>9</v>
      </c>
      <c r="J40">
        <v>27.48</v>
      </c>
      <c r="K40">
        <v>0</v>
      </c>
      <c r="L40" t="s">
        <v>24</v>
      </c>
      <c r="M40" t="s">
        <v>92</v>
      </c>
      <c r="N40" t="s">
        <v>111</v>
      </c>
      <c r="O40" t="s">
        <v>171</v>
      </c>
    </row>
    <row r="41" spans="1:15" x14ac:dyDescent="0.25">
      <c r="A41" t="s">
        <v>255</v>
      </c>
      <c r="B41" s="3">
        <v>45321</v>
      </c>
      <c r="C41" t="s">
        <v>257</v>
      </c>
      <c r="D41" t="s">
        <v>258</v>
      </c>
      <c r="E41" t="s">
        <v>125</v>
      </c>
      <c r="F41" t="s">
        <v>20</v>
      </c>
      <c r="G41" t="s">
        <v>131</v>
      </c>
      <c r="H41" t="s">
        <v>178</v>
      </c>
      <c r="J41">
        <v>195.24</v>
      </c>
      <c r="K41">
        <v>0.2</v>
      </c>
      <c r="L41" t="s">
        <v>260</v>
      </c>
      <c r="M41" t="s">
        <v>70</v>
      </c>
      <c r="N41" t="s">
        <v>26</v>
      </c>
      <c r="O41" t="s">
        <v>87</v>
      </c>
    </row>
    <row r="42" spans="1:15" x14ac:dyDescent="0.25">
      <c r="A42" t="s">
        <v>261</v>
      </c>
      <c r="B42" s="3">
        <v>45567</v>
      </c>
      <c r="C42" t="s">
        <v>263</v>
      </c>
      <c r="D42" t="s">
        <v>64</v>
      </c>
      <c r="E42" t="s">
        <v>65</v>
      </c>
      <c r="F42" t="s">
        <v>20</v>
      </c>
      <c r="G42" t="s">
        <v>264</v>
      </c>
      <c r="H42" t="s">
        <v>22</v>
      </c>
      <c r="I42">
        <v>12</v>
      </c>
      <c r="J42">
        <v>48.62</v>
      </c>
      <c r="L42" t="s">
        <v>79</v>
      </c>
      <c r="M42" t="s">
        <v>165</v>
      </c>
      <c r="N42" t="s">
        <v>26</v>
      </c>
      <c r="O42" t="s">
        <v>171</v>
      </c>
    </row>
    <row r="43" spans="1:15" x14ac:dyDescent="0.25">
      <c r="A43" t="s">
        <v>265</v>
      </c>
      <c r="B43" s="3">
        <v>45332</v>
      </c>
      <c r="C43" t="s">
        <v>266</v>
      </c>
      <c r="D43" t="s">
        <v>162</v>
      </c>
      <c r="F43" t="s">
        <v>267</v>
      </c>
      <c r="G43" t="s">
        <v>268</v>
      </c>
      <c r="H43" t="s">
        <v>35</v>
      </c>
      <c r="I43">
        <v>6</v>
      </c>
      <c r="J43">
        <v>415.21</v>
      </c>
      <c r="K43">
        <v>0.2</v>
      </c>
      <c r="L43" t="s">
        <v>132</v>
      </c>
      <c r="M43" t="s">
        <v>92</v>
      </c>
      <c r="N43" t="s">
        <v>26</v>
      </c>
      <c r="O43" t="s">
        <v>87</v>
      </c>
    </row>
    <row r="44" spans="1:15" x14ac:dyDescent="0.25">
      <c r="A44" t="s">
        <v>269</v>
      </c>
      <c r="B44" s="3">
        <v>45455</v>
      </c>
      <c r="C44" t="s">
        <v>271</v>
      </c>
      <c r="D44" t="s">
        <v>116</v>
      </c>
      <c r="E44" t="s">
        <v>19</v>
      </c>
      <c r="F44" t="s">
        <v>136</v>
      </c>
      <c r="G44" t="s">
        <v>236</v>
      </c>
      <c r="H44" t="s">
        <v>178</v>
      </c>
      <c r="J44">
        <v>222.6</v>
      </c>
      <c r="L44" t="s">
        <v>79</v>
      </c>
      <c r="M44" t="s">
        <v>208</v>
      </c>
      <c r="N44" t="s">
        <v>71</v>
      </c>
      <c r="O44" t="s">
        <v>51</v>
      </c>
    </row>
    <row r="45" spans="1:15" x14ac:dyDescent="0.25">
      <c r="A45" t="s">
        <v>272</v>
      </c>
      <c r="B45" s="3">
        <v>45527</v>
      </c>
      <c r="C45" t="s">
        <v>274</v>
      </c>
      <c r="D45" t="s">
        <v>31</v>
      </c>
      <c r="E45" t="s">
        <v>76</v>
      </c>
      <c r="F45" t="s">
        <v>189</v>
      </c>
      <c r="G45" t="s">
        <v>154</v>
      </c>
      <c r="H45" t="s">
        <v>68</v>
      </c>
      <c r="I45">
        <v>4</v>
      </c>
      <c r="J45">
        <v>403.52</v>
      </c>
      <c r="K45">
        <v>0.1</v>
      </c>
      <c r="L45" t="s">
        <v>69</v>
      </c>
      <c r="M45" t="s">
        <v>165</v>
      </c>
      <c r="N45" t="s">
        <v>71</v>
      </c>
      <c r="O45" t="s">
        <v>40</v>
      </c>
    </row>
    <row r="46" spans="1:15" x14ac:dyDescent="0.25">
      <c r="A46" t="s">
        <v>275</v>
      </c>
      <c r="B46" s="3">
        <v>45533</v>
      </c>
      <c r="C46" t="s">
        <v>277</v>
      </c>
      <c r="D46" t="s">
        <v>258</v>
      </c>
      <c r="E46" t="s">
        <v>125</v>
      </c>
      <c r="F46" t="s">
        <v>77</v>
      </c>
      <c r="G46" t="s">
        <v>137</v>
      </c>
      <c r="H46" t="s">
        <v>48</v>
      </c>
      <c r="I46">
        <v>2</v>
      </c>
      <c r="J46">
        <v>338.05</v>
      </c>
      <c r="K46">
        <v>0.1</v>
      </c>
      <c r="L46" t="s">
        <v>180</v>
      </c>
      <c r="M46" t="s">
        <v>158</v>
      </c>
      <c r="N46" t="s">
        <v>111</v>
      </c>
      <c r="O46" t="s">
        <v>93</v>
      </c>
    </row>
    <row r="47" spans="1:15" x14ac:dyDescent="0.25">
      <c r="A47" t="s">
        <v>278</v>
      </c>
      <c r="B47" s="3">
        <v>45352</v>
      </c>
      <c r="C47" t="s">
        <v>280</v>
      </c>
      <c r="D47" t="s">
        <v>97</v>
      </c>
      <c r="E47" t="s">
        <v>98</v>
      </c>
      <c r="F47" t="s">
        <v>66</v>
      </c>
      <c r="G47" t="s">
        <v>57</v>
      </c>
      <c r="H47" t="s">
        <v>35</v>
      </c>
      <c r="I47">
        <v>8</v>
      </c>
      <c r="J47">
        <v>453.85</v>
      </c>
      <c r="K47">
        <v>0.2</v>
      </c>
      <c r="L47" t="s">
        <v>281</v>
      </c>
      <c r="M47" t="s">
        <v>158</v>
      </c>
      <c r="N47" t="s">
        <v>71</v>
      </c>
      <c r="O47" t="s">
        <v>93</v>
      </c>
    </row>
    <row r="48" spans="1:15" x14ac:dyDescent="0.25">
      <c r="A48" t="s">
        <v>282</v>
      </c>
      <c r="B48" s="3">
        <v>45586</v>
      </c>
      <c r="C48" t="s">
        <v>284</v>
      </c>
      <c r="D48" t="s">
        <v>285</v>
      </c>
      <c r="E48" t="s">
        <v>76</v>
      </c>
      <c r="F48" t="s">
        <v>83</v>
      </c>
      <c r="G48" t="s">
        <v>84</v>
      </c>
      <c r="H48" t="s">
        <v>35</v>
      </c>
      <c r="I48">
        <v>8</v>
      </c>
      <c r="J48">
        <v>112.55</v>
      </c>
      <c r="L48" t="s">
        <v>102</v>
      </c>
      <c r="M48" t="s">
        <v>92</v>
      </c>
      <c r="N48" t="s">
        <v>111</v>
      </c>
    </row>
    <row r="49" spans="1:15" x14ac:dyDescent="0.25">
      <c r="A49" t="s">
        <v>286</v>
      </c>
      <c r="B49" s="3">
        <v>45393</v>
      </c>
      <c r="C49" t="s">
        <v>288</v>
      </c>
      <c r="D49" t="s">
        <v>152</v>
      </c>
      <c r="E49" t="s">
        <v>19</v>
      </c>
      <c r="F49" t="s">
        <v>91</v>
      </c>
      <c r="G49" t="s">
        <v>164</v>
      </c>
      <c r="H49" t="s">
        <v>200</v>
      </c>
      <c r="I49">
        <v>6</v>
      </c>
      <c r="J49">
        <v>479.32</v>
      </c>
      <c r="L49" t="s">
        <v>180</v>
      </c>
      <c r="M49" t="s">
        <v>208</v>
      </c>
      <c r="N49" t="s">
        <v>71</v>
      </c>
      <c r="O49" t="s">
        <v>112</v>
      </c>
    </row>
    <row r="50" spans="1:15" x14ac:dyDescent="0.25">
      <c r="A50" t="s">
        <v>289</v>
      </c>
      <c r="B50" s="3">
        <v>45407</v>
      </c>
      <c r="C50" t="s">
        <v>291</v>
      </c>
      <c r="D50" t="s">
        <v>212</v>
      </c>
      <c r="E50" t="s">
        <v>98</v>
      </c>
      <c r="F50" t="s">
        <v>56</v>
      </c>
      <c r="G50" t="s">
        <v>57</v>
      </c>
      <c r="H50" t="s">
        <v>22</v>
      </c>
      <c r="I50">
        <v>2</v>
      </c>
      <c r="J50">
        <v>462.34</v>
      </c>
      <c r="K50">
        <v>0.05</v>
      </c>
      <c r="L50" t="s">
        <v>69</v>
      </c>
      <c r="M50" t="s">
        <v>60</v>
      </c>
      <c r="N50" t="s">
        <v>26</v>
      </c>
      <c r="O50" t="s">
        <v>171</v>
      </c>
    </row>
    <row r="51" spans="1:15" x14ac:dyDescent="0.25">
      <c r="A51" t="s">
        <v>292</v>
      </c>
      <c r="B51" s="3"/>
      <c r="C51" t="s">
        <v>294</v>
      </c>
      <c r="D51" t="s">
        <v>44</v>
      </c>
      <c r="E51" t="s">
        <v>45</v>
      </c>
      <c r="F51" t="s">
        <v>77</v>
      </c>
      <c r="G51" t="s">
        <v>236</v>
      </c>
      <c r="H51" t="s">
        <v>68</v>
      </c>
      <c r="I51">
        <v>5</v>
      </c>
      <c r="J51">
        <v>330.74</v>
      </c>
      <c r="L51" t="s">
        <v>281</v>
      </c>
      <c r="M51" t="s">
        <v>70</v>
      </c>
      <c r="N51" t="s">
        <v>39</v>
      </c>
    </row>
    <row r="52" spans="1:15" x14ac:dyDescent="0.25">
      <c r="A52" t="s">
        <v>296</v>
      </c>
      <c r="B52" s="3">
        <v>45424</v>
      </c>
      <c r="C52" t="s">
        <v>216</v>
      </c>
      <c r="D52" t="s">
        <v>124</v>
      </c>
      <c r="E52" t="s">
        <v>45</v>
      </c>
      <c r="F52" t="s">
        <v>298</v>
      </c>
      <c r="G52" t="s">
        <v>213</v>
      </c>
      <c r="H52" t="s">
        <v>58</v>
      </c>
      <c r="I52">
        <v>10</v>
      </c>
      <c r="J52">
        <v>75.12</v>
      </c>
      <c r="K52">
        <v>0.1</v>
      </c>
      <c r="L52" t="s">
        <v>180</v>
      </c>
      <c r="M52" t="s">
        <v>170</v>
      </c>
      <c r="O52" t="s">
        <v>27</v>
      </c>
    </row>
    <row r="53" spans="1:15" x14ac:dyDescent="0.25">
      <c r="A53" t="s">
        <v>300</v>
      </c>
      <c r="B53" s="3">
        <v>45476</v>
      </c>
      <c r="C53" t="s">
        <v>302</v>
      </c>
      <c r="D53" t="s">
        <v>194</v>
      </c>
      <c r="E53" t="s">
        <v>65</v>
      </c>
      <c r="F53" t="s">
        <v>99</v>
      </c>
      <c r="G53" t="s">
        <v>220</v>
      </c>
      <c r="H53" t="s">
        <v>200</v>
      </c>
      <c r="I53">
        <v>8</v>
      </c>
      <c r="J53">
        <v>151.53</v>
      </c>
      <c r="L53" t="s">
        <v>281</v>
      </c>
      <c r="M53" t="s">
        <v>86</v>
      </c>
      <c r="N53" t="s">
        <v>71</v>
      </c>
      <c r="O53" t="s">
        <v>51</v>
      </c>
    </row>
    <row r="54" spans="1:15" x14ac:dyDescent="0.25">
      <c r="A54" t="s">
        <v>303</v>
      </c>
      <c r="B54" s="3">
        <v>45443</v>
      </c>
      <c r="C54" t="s">
        <v>305</v>
      </c>
      <c r="D54" t="s">
        <v>31</v>
      </c>
      <c r="E54" t="s">
        <v>199</v>
      </c>
      <c r="F54" t="s">
        <v>298</v>
      </c>
      <c r="G54" t="s">
        <v>131</v>
      </c>
      <c r="H54" t="s">
        <v>195</v>
      </c>
      <c r="I54">
        <v>3</v>
      </c>
      <c r="J54">
        <v>174.16</v>
      </c>
      <c r="L54" t="s">
        <v>281</v>
      </c>
      <c r="M54" t="s">
        <v>208</v>
      </c>
      <c r="N54" t="s">
        <v>39</v>
      </c>
      <c r="O54" t="s">
        <v>93</v>
      </c>
    </row>
    <row r="55" spans="1:15" x14ac:dyDescent="0.25">
      <c r="A55" t="s">
        <v>306</v>
      </c>
      <c r="B55" s="3">
        <v>45296</v>
      </c>
      <c r="C55" t="s">
        <v>308</v>
      </c>
      <c r="D55" t="s">
        <v>224</v>
      </c>
      <c r="E55" t="s">
        <v>125</v>
      </c>
      <c r="F55" t="s">
        <v>106</v>
      </c>
      <c r="G55" t="s">
        <v>34</v>
      </c>
      <c r="H55" t="s">
        <v>68</v>
      </c>
      <c r="I55">
        <v>2</v>
      </c>
      <c r="J55">
        <v>335.77</v>
      </c>
      <c r="K55">
        <v>0.05</v>
      </c>
      <c r="L55" t="s">
        <v>180</v>
      </c>
      <c r="M55" t="s">
        <v>70</v>
      </c>
      <c r="N55" t="s">
        <v>111</v>
      </c>
      <c r="O55" t="s">
        <v>93</v>
      </c>
    </row>
    <row r="56" spans="1:15" x14ac:dyDescent="0.25">
      <c r="A56" t="s">
        <v>309</v>
      </c>
      <c r="B56" s="3">
        <v>45392</v>
      </c>
      <c r="C56" t="s">
        <v>311</v>
      </c>
      <c r="D56" t="s">
        <v>162</v>
      </c>
      <c r="E56" t="s">
        <v>19</v>
      </c>
      <c r="F56" t="s">
        <v>136</v>
      </c>
      <c r="G56" t="s">
        <v>236</v>
      </c>
      <c r="H56" t="s">
        <v>48</v>
      </c>
      <c r="I56">
        <v>1</v>
      </c>
      <c r="J56">
        <v>160.69</v>
      </c>
      <c r="K56">
        <v>0.15</v>
      </c>
      <c r="L56" t="s">
        <v>102</v>
      </c>
      <c r="M56" t="s">
        <v>86</v>
      </c>
      <c r="O56" t="s">
        <v>51</v>
      </c>
    </row>
    <row r="57" spans="1:15" x14ac:dyDescent="0.25">
      <c r="A57" t="s">
        <v>312</v>
      </c>
      <c r="B57" s="3">
        <v>45430</v>
      </c>
      <c r="C57" t="s">
        <v>314</v>
      </c>
      <c r="D57" t="s">
        <v>116</v>
      </c>
      <c r="E57" t="s">
        <v>19</v>
      </c>
      <c r="F57" t="s">
        <v>33</v>
      </c>
      <c r="G57" t="s">
        <v>34</v>
      </c>
      <c r="H57" t="s">
        <v>68</v>
      </c>
      <c r="I57">
        <v>7</v>
      </c>
      <c r="J57">
        <v>182.76</v>
      </c>
      <c r="K57">
        <v>0.2</v>
      </c>
      <c r="L57" t="s">
        <v>102</v>
      </c>
      <c r="M57" t="s">
        <v>170</v>
      </c>
      <c r="N57" t="s">
        <v>50</v>
      </c>
      <c r="O57" t="s">
        <v>126</v>
      </c>
    </row>
    <row r="58" spans="1:15" x14ac:dyDescent="0.25">
      <c r="A58" t="s">
        <v>315</v>
      </c>
      <c r="B58" s="3"/>
      <c r="C58" t="s">
        <v>317</v>
      </c>
      <c r="D58" t="s">
        <v>194</v>
      </c>
      <c r="E58" t="s">
        <v>65</v>
      </c>
      <c r="F58" t="s">
        <v>267</v>
      </c>
      <c r="G58" t="s">
        <v>318</v>
      </c>
      <c r="H58" t="s">
        <v>195</v>
      </c>
      <c r="J58">
        <v>286.14</v>
      </c>
      <c r="K58">
        <v>0.1</v>
      </c>
      <c r="L58" t="s">
        <v>59</v>
      </c>
      <c r="M58" t="s">
        <v>158</v>
      </c>
      <c r="N58" t="s">
        <v>26</v>
      </c>
      <c r="O58" t="s">
        <v>112</v>
      </c>
    </row>
    <row r="59" spans="1:15" x14ac:dyDescent="0.25">
      <c r="A59" t="s">
        <v>320</v>
      </c>
      <c r="B59" s="3">
        <v>45608</v>
      </c>
      <c r="C59" t="s">
        <v>322</v>
      </c>
      <c r="D59" t="s">
        <v>55</v>
      </c>
      <c r="E59" t="s">
        <v>32</v>
      </c>
      <c r="F59" t="s">
        <v>33</v>
      </c>
      <c r="G59" t="s">
        <v>323</v>
      </c>
      <c r="H59" t="s">
        <v>35</v>
      </c>
      <c r="I59">
        <v>7</v>
      </c>
      <c r="J59">
        <v>205.2</v>
      </c>
      <c r="K59">
        <v>0</v>
      </c>
      <c r="L59" t="s">
        <v>102</v>
      </c>
      <c r="M59" t="s">
        <v>86</v>
      </c>
      <c r="O59" t="s">
        <v>126</v>
      </c>
    </row>
    <row r="60" spans="1:15" x14ac:dyDescent="0.25">
      <c r="A60" t="s">
        <v>324</v>
      </c>
      <c r="B60" s="3">
        <v>45426</v>
      </c>
      <c r="C60" t="s">
        <v>326</v>
      </c>
      <c r="D60" t="s">
        <v>175</v>
      </c>
      <c r="E60" t="s">
        <v>32</v>
      </c>
      <c r="F60" t="s">
        <v>56</v>
      </c>
      <c r="G60" t="s">
        <v>67</v>
      </c>
      <c r="H60" t="s">
        <v>22</v>
      </c>
      <c r="I60">
        <v>8</v>
      </c>
      <c r="J60">
        <v>24.75</v>
      </c>
      <c r="L60" t="s">
        <v>102</v>
      </c>
      <c r="M60" t="s">
        <v>158</v>
      </c>
      <c r="N60" t="s">
        <v>71</v>
      </c>
      <c r="O60" t="s">
        <v>93</v>
      </c>
    </row>
    <row r="61" spans="1:15" x14ac:dyDescent="0.25">
      <c r="A61" t="s">
        <v>327</v>
      </c>
      <c r="B61" s="3">
        <v>45507</v>
      </c>
      <c r="C61" t="s">
        <v>329</v>
      </c>
      <c r="D61" t="s">
        <v>152</v>
      </c>
      <c r="E61" t="s">
        <v>19</v>
      </c>
      <c r="F61" t="s">
        <v>153</v>
      </c>
      <c r="G61" t="s">
        <v>330</v>
      </c>
      <c r="H61" t="s">
        <v>58</v>
      </c>
      <c r="I61">
        <v>1</v>
      </c>
      <c r="J61">
        <v>395.27</v>
      </c>
      <c r="L61" t="s">
        <v>260</v>
      </c>
      <c r="M61" t="s">
        <v>86</v>
      </c>
      <c r="N61" t="s">
        <v>111</v>
      </c>
      <c r="O61" t="s">
        <v>27</v>
      </c>
    </row>
    <row r="62" spans="1:15" x14ac:dyDescent="0.25">
      <c r="A62" t="s">
        <v>331</v>
      </c>
      <c r="B62" s="3"/>
      <c r="C62" t="s">
        <v>333</v>
      </c>
      <c r="D62" t="s">
        <v>334</v>
      </c>
      <c r="E62" t="s">
        <v>125</v>
      </c>
      <c r="F62" t="s">
        <v>33</v>
      </c>
      <c r="G62" t="s">
        <v>323</v>
      </c>
      <c r="H62" t="s">
        <v>68</v>
      </c>
      <c r="I62">
        <v>4</v>
      </c>
      <c r="J62">
        <v>403.5</v>
      </c>
      <c r="L62" t="s">
        <v>79</v>
      </c>
      <c r="M62" t="s">
        <v>70</v>
      </c>
      <c r="N62" t="s">
        <v>71</v>
      </c>
      <c r="O62" t="s">
        <v>51</v>
      </c>
    </row>
    <row r="63" spans="1:15" x14ac:dyDescent="0.25">
      <c r="A63" t="s">
        <v>335</v>
      </c>
      <c r="B63" s="3">
        <v>45643</v>
      </c>
      <c r="C63" t="s">
        <v>337</v>
      </c>
      <c r="D63" t="s">
        <v>44</v>
      </c>
      <c r="E63" t="s">
        <v>45</v>
      </c>
      <c r="F63" t="s">
        <v>118</v>
      </c>
      <c r="G63" t="s">
        <v>213</v>
      </c>
      <c r="H63" t="s">
        <v>48</v>
      </c>
      <c r="I63">
        <v>6</v>
      </c>
      <c r="J63">
        <v>107.78</v>
      </c>
      <c r="L63" t="s">
        <v>180</v>
      </c>
      <c r="M63" t="s">
        <v>60</v>
      </c>
      <c r="N63" t="s">
        <v>111</v>
      </c>
      <c r="O63" t="s">
        <v>126</v>
      </c>
    </row>
    <row r="64" spans="1:15" x14ac:dyDescent="0.25">
      <c r="A64" t="s">
        <v>338</v>
      </c>
      <c r="B64" s="3">
        <v>45352</v>
      </c>
      <c r="C64" t="s">
        <v>339</v>
      </c>
      <c r="D64" t="s">
        <v>116</v>
      </c>
      <c r="E64" t="s">
        <v>117</v>
      </c>
      <c r="F64" t="s">
        <v>91</v>
      </c>
      <c r="G64" t="s">
        <v>164</v>
      </c>
      <c r="H64" t="s">
        <v>200</v>
      </c>
      <c r="I64">
        <v>6</v>
      </c>
      <c r="J64">
        <v>41.4</v>
      </c>
      <c r="K64">
        <v>0.1</v>
      </c>
      <c r="L64" t="s">
        <v>79</v>
      </c>
      <c r="M64" t="s">
        <v>158</v>
      </c>
      <c r="N64" t="s">
        <v>26</v>
      </c>
      <c r="O64" t="s">
        <v>27</v>
      </c>
    </row>
    <row r="65" spans="1:15" x14ac:dyDescent="0.25">
      <c r="A65" t="s">
        <v>340</v>
      </c>
      <c r="B65" s="3"/>
      <c r="C65" t="s">
        <v>342</v>
      </c>
      <c r="D65" t="s">
        <v>31</v>
      </c>
      <c r="E65" t="s">
        <v>199</v>
      </c>
      <c r="F65" t="s">
        <v>118</v>
      </c>
      <c r="G65" t="s">
        <v>264</v>
      </c>
      <c r="H65" t="s">
        <v>48</v>
      </c>
      <c r="I65">
        <v>6</v>
      </c>
      <c r="J65">
        <v>355.3</v>
      </c>
      <c r="K65">
        <v>0.2</v>
      </c>
      <c r="L65" t="s">
        <v>180</v>
      </c>
      <c r="M65" t="s">
        <v>144</v>
      </c>
      <c r="N65" t="s">
        <v>26</v>
      </c>
      <c r="O65" t="s">
        <v>93</v>
      </c>
    </row>
    <row r="66" spans="1:15" x14ac:dyDescent="0.25">
      <c r="A66" t="s">
        <v>344</v>
      </c>
      <c r="B66" s="3">
        <v>45585</v>
      </c>
      <c r="C66" t="s">
        <v>346</v>
      </c>
      <c r="D66" t="s">
        <v>212</v>
      </c>
      <c r="E66" t="s">
        <v>65</v>
      </c>
      <c r="F66" t="s">
        <v>83</v>
      </c>
      <c r="G66" t="s">
        <v>220</v>
      </c>
      <c r="H66" t="s">
        <v>68</v>
      </c>
      <c r="I66">
        <v>5</v>
      </c>
      <c r="J66">
        <v>147.88999999999999</v>
      </c>
      <c r="K66">
        <v>0.15</v>
      </c>
      <c r="L66" t="s">
        <v>102</v>
      </c>
      <c r="M66" t="s">
        <v>201</v>
      </c>
      <c r="N66" t="s">
        <v>39</v>
      </c>
      <c r="O66" t="s">
        <v>171</v>
      </c>
    </row>
    <row r="67" spans="1:15" x14ac:dyDescent="0.25">
      <c r="A67" t="s">
        <v>348</v>
      </c>
      <c r="B67" s="3">
        <v>45363</v>
      </c>
      <c r="C67" t="s">
        <v>350</v>
      </c>
      <c r="D67" t="s">
        <v>31</v>
      </c>
      <c r="E67" t="s">
        <v>76</v>
      </c>
      <c r="F67" t="s">
        <v>77</v>
      </c>
      <c r="G67" t="s">
        <v>137</v>
      </c>
      <c r="H67" t="s">
        <v>195</v>
      </c>
      <c r="J67">
        <v>205.17</v>
      </c>
      <c r="K67">
        <v>0.05</v>
      </c>
      <c r="L67" t="s">
        <v>180</v>
      </c>
      <c r="M67" t="s">
        <v>38</v>
      </c>
      <c r="N67" t="s">
        <v>39</v>
      </c>
      <c r="O67" t="s">
        <v>126</v>
      </c>
    </row>
    <row r="68" spans="1:15" x14ac:dyDescent="0.25">
      <c r="A68" t="s">
        <v>351</v>
      </c>
      <c r="B68" s="3">
        <v>45626</v>
      </c>
      <c r="C68" t="s">
        <v>353</v>
      </c>
      <c r="D68" t="s">
        <v>334</v>
      </c>
      <c r="E68" t="s">
        <v>45</v>
      </c>
      <c r="F68" t="s">
        <v>153</v>
      </c>
      <c r="G68" t="s">
        <v>57</v>
      </c>
      <c r="H68" t="s">
        <v>68</v>
      </c>
      <c r="I68">
        <v>7</v>
      </c>
      <c r="J68">
        <v>131.62</v>
      </c>
      <c r="L68" t="s">
        <v>143</v>
      </c>
      <c r="M68" t="s">
        <v>158</v>
      </c>
      <c r="N68" t="s">
        <v>39</v>
      </c>
      <c r="O68" t="s">
        <v>126</v>
      </c>
    </row>
    <row r="69" spans="1:15" x14ac:dyDescent="0.25">
      <c r="A69" t="s">
        <v>354</v>
      </c>
      <c r="B69" s="3">
        <v>45432</v>
      </c>
      <c r="C69" t="s">
        <v>356</v>
      </c>
      <c r="D69" t="s">
        <v>188</v>
      </c>
      <c r="E69" t="s">
        <v>199</v>
      </c>
      <c r="F69" t="s">
        <v>189</v>
      </c>
      <c r="G69" t="s">
        <v>57</v>
      </c>
      <c r="H69" t="s">
        <v>200</v>
      </c>
      <c r="I69">
        <v>6</v>
      </c>
      <c r="J69">
        <v>261.85000000000002</v>
      </c>
      <c r="L69" t="s">
        <v>24</v>
      </c>
      <c r="M69" t="s">
        <v>158</v>
      </c>
      <c r="N69" t="s">
        <v>26</v>
      </c>
      <c r="O69" t="s">
        <v>171</v>
      </c>
    </row>
    <row r="70" spans="1:15" x14ac:dyDescent="0.25">
      <c r="A70" t="s">
        <v>357</v>
      </c>
      <c r="B70" s="3">
        <v>45444</v>
      </c>
      <c r="C70" t="s">
        <v>359</v>
      </c>
      <c r="D70" t="s">
        <v>97</v>
      </c>
      <c r="E70" t="s">
        <v>65</v>
      </c>
      <c r="F70" t="s">
        <v>130</v>
      </c>
      <c r="G70" t="s">
        <v>131</v>
      </c>
      <c r="H70" t="s">
        <v>178</v>
      </c>
      <c r="I70">
        <v>8</v>
      </c>
      <c r="J70">
        <v>494.24</v>
      </c>
      <c r="K70">
        <v>0.1</v>
      </c>
      <c r="L70" t="s">
        <v>132</v>
      </c>
      <c r="M70" t="s">
        <v>70</v>
      </c>
      <c r="O70" t="s">
        <v>112</v>
      </c>
    </row>
    <row r="71" spans="1:15" x14ac:dyDescent="0.25">
      <c r="A71" t="s">
        <v>361</v>
      </c>
      <c r="B71" s="3"/>
      <c r="C71" t="s">
        <v>363</v>
      </c>
      <c r="D71" t="s">
        <v>212</v>
      </c>
      <c r="E71" t="s">
        <v>65</v>
      </c>
      <c r="F71" t="s">
        <v>235</v>
      </c>
      <c r="G71" t="s">
        <v>137</v>
      </c>
      <c r="H71" t="s">
        <v>178</v>
      </c>
      <c r="I71">
        <v>11</v>
      </c>
      <c r="J71">
        <v>63.34</v>
      </c>
      <c r="L71" t="s">
        <v>37</v>
      </c>
      <c r="M71" t="s">
        <v>208</v>
      </c>
      <c r="N71" t="s">
        <v>26</v>
      </c>
      <c r="O71" t="s">
        <v>112</v>
      </c>
    </row>
    <row r="72" spans="1:15" x14ac:dyDescent="0.25">
      <c r="A72" t="s">
        <v>365</v>
      </c>
      <c r="B72" s="3">
        <v>45325</v>
      </c>
      <c r="C72" t="s">
        <v>367</v>
      </c>
      <c r="D72" t="s">
        <v>64</v>
      </c>
      <c r="E72" t="s">
        <v>98</v>
      </c>
      <c r="F72" t="s">
        <v>106</v>
      </c>
      <c r="G72" t="s">
        <v>368</v>
      </c>
      <c r="H72" t="s">
        <v>22</v>
      </c>
      <c r="I72">
        <v>4</v>
      </c>
      <c r="J72">
        <v>206.55</v>
      </c>
      <c r="K72">
        <v>0.1</v>
      </c>
      <c r="L72" t="s">
        <v>143</v>
      </c>
      <c r="M72" t="s">
        <v>201</v>
      </c>
      <c r="N72" t="s">
        <v>111</v>
      </c>
      <c r="O72" t="s">
        <v>93</v>
      </c>
    </row>
    <row r="73" spans="1:15" x14ac:dyDescent="0.25">
      <c r="A73" t="s">
        <v>369</v>
      </c>
      <c r="B73" s="3">
        <v>45644</v>
      </c>
      <c r="C73" t="s">
        <v>371</v>
      </c>
      <c r="D73" t="s">
        <v>334</v>
      </c>
      <c r="E73" t="s">
        <v>125</v>
      </c>
      <c r="F73" t="s">
        <v>136</v>
      </c>
      <c r="G73" t="s">
        <v>318</v>
      </c>
      <c r="H73" t="s">
        <v>48</v>
      </c>
      <c r="I73">
        <v>12</v>
      </c>
      <c r="J73">
        <v>308.79000000000002</v>
      </c>
      <c r="K73">
        <v>0.05</v>
      </c>
      <c r="L73" t="s">
        <v>69</v>
      </c>
      <c r="M73" t="s">
        <v>92</v>
      </c>
      <c r="O73" t="s">
        <v>112</v>
      </c>
    </row>
    <row r="74" spans="1:15" x14ac:dyDescent="0.25">
      <c r="A74" t="s">
        <v>372</v>
      </c>
      <c r="B74" s="3">
        <v>45389</v>
      </c>
      <c r="C74" t="s">
        <v>374</v>
      </c>
      <c r="D74" t="s">
        <v>44</v>
      </c>
      <c r="E74" t="s">
        <v>125</v>
      </c>
      <c r="F74" t="s">
        <v>106</v>
      </c>
      <c r="G74" t="s">
        <v>107</v>
      </c>
      <c r="H74" t="s">
        <v>200</v>
      </c>
      <c r="I74">
        <v>10</v>
      </c>
      <c r="J74">
        <v>281.63</v>
      </c>
      <c r="K74">
        <v>0.1</v>
      </c>
      <c r="L74" t="s">
        <v>260</v>
      </c>
      <c r="M74" t="s">
        <v>86</v>
      </c>
      <c r="N74" t="s">
        <v>111</v>
      </c>
      <c r="O74" t="s">
        <v>87</v>
      </c>
    </row>
    <row r="75" spans="1:15" x14ac:dyDescent="0.25">
      <c r="A75" t="s">
        <v>375</v>
      </c>
      <c r="B75" s="3">
        <v>45294</v>
      </c>
      <c r="C75" t="s">
        <v>377</v>
      </c>
      <c r="D75" t="s">
        <v>31</v>
      </c>
      <c r="E75" t="s">
        <v>199</v>
      </c>
      <c r="F75" t="s">
        <v>91</v>
      </c>
      <c r="G75" t="s">
        <v>220</v>
      </c>
      <c r="H75" t="s">
        <v>48</v>
      </c>
      <c r="I75">
        <v>10</v>
      </c>
      <c r="J75">
        <v>481.83</v>
      </c>
      <c r="K75">
        <v>0.05</v>
      </c>
      <c r="L75" t="s">
        <v>59</v>
      </c>
      <c r="M75" t="s">
        <v>165</v>
      </c>
      <c r="N75" t="s">
        <v>26</v>
      </c>
      <c r="O75" t="s">
        <v>112</v>
      </c>
    </row>
    <row r="76" spans="1:15" x14ac:dyDescent="0.25">
      <c r="A76" t="s">
        <v>378</v>
      </c>
      <c r="B76" s="3"/>
      <c r="C76" t="s">
        <v>380</v>
      </c>
      <c r="D76" t="s">
        <v>152</v>
      </c>
      <c r="E76" t="s">
        <v>19</v>
      </c>
      <c r="F76" t="s">
        <v>33</v>
      </c>
      <c r="G76" t="s">
        <v>34</v>
      </c>
      <c r="H76" t="s">
        <v>58</v>
      </c>
      <c r="L76" t="s">
        <v>260</v>
      </c>
      <c r="M76" t="s">
        <v>144</v>
      </c>
      <c r="N76" t="s">
        <v>50</v>
      </c>
      <c r="O76" t="s">
        <v>51</v>
      </c>
    </row>
    <row r="77" spans="1:15" x14ac:dyDescent="0.25">
      <c r="A77" t="s">
        <v>381</v>
      </c>
      <c r="B77" s="3">
        <v>45555</v>
      </c>
      <c r="C77" t="s">
        <v>382</v>
      </c>
      <c r="D77" t="s">
        <v>18</v>
      </c>
      <c r="E77" t="s">
        <v>19</v>
      </c>
      <c r="F77" t="s">
        <v>46</v>
      </c>
      <c r="G77" t="s">
        <v>47</v>
      </c>
      <c r="H77" t="s">
        <v>22</v>
      </c>
      <c r="I77">
        <v>8</v>
      </c>
      <c r="J77">
        <v>258.02999999999997</v>
      </c>
      <c r="K77">
        <v>0.05</v>
      </c>
      <c r="L77" t="s">
        <v>132</v>
      </c>
      <c r="M77" t="s">
        <v>60</v>
      </c>
      <c r="N77" t="s">
        <v>71</v>
      </c>
    </row>
    <row r="78" spans="1:15" x14ac:dyDescent="0.25">
      <c r="A78" t="s">
        <v>383</v>
      </c>
      <c r="B78" s="3"/>
      <c r="C78" t="s">
        <v>385</v>
      </c>
      <c r="D78" t="s">
        <v>188</v>
      </c>
      <c r="E78" t="s">
        <v>199</v>
      </c>
      <c r="F78" t="s">
        <v>184</v>
      </c>
      <c r="G78" t="s">
        <v>47</v>
      </c>
      <c r="H78" t="s">
        <v>58</v>
      </c>
      <c r="I78">
        <v>2</v>
      </c>
      <c r="J78">
        <v>163.71</v>
      </c>
      <c r="L78" t="s">
        <v>102</v>
      </c>
      <c r="M78" t="s">
        <v>25</v>
      </c>
      <c r="N78" t="s">
        <v>26</v>
      </c>
      <c r="O78" t="s">
        <v>51</v>
      </c>
    </row>
    <row r="79" spans="1:15" x14ac:dyDescent="0.25">
      <c r="A79" t="s">
        <v>386</v>
      </c>
      <c r="B79" s="3">
        <v>45579</v>
      </c>
      <c r="C79" t="s">
        <v>388</v>
      </c>
      <c r="D79" t="s">
        <v>258</v>
      </c>
      <c r="E79" t="s">
        <v>45</v>
      </c>
      <c r="F79" t="s">
        <v>136</v>
      </c>
      <c r="G79" t="s">
        <v>318</v>
      </c>
      <c r="H79" t="s">
        <v>58</v>
      </c>
      <c r="I79">
        <v>6</v>
      </c>
      <c r="J79">
        <v>311.61</v>
      </c>
      <c r="K79">
        <v>0.15</v>
      </c>
      <c r="L79" t="s">
        <v>281</v>
      </c>
      <c r="M79" t="s">
        <v>25</v>
      </c>
      <c r="N79" t="s">
        <v>50</v>
      </c>
      <c r="O79" t="s">
        <v>87</v>
      </c>
    </row>
    <row r="80" spans="1:15" x14ac:dyDescent="0.25">
      <c r="A80" t="s">
        <v>389</v>
      </c>
      <c r="B80" s="3">
        <v>45559</v>
      </c>
      <c r="C80" t="s">
        <v>391</v>
      </c>
      <c r="D80" t="s">
        <v>18</v>
      </c>
      <c r="E80" t="s">
        <v>19</v>
      </c>
      <c r="F80" t="s">
        <v>56</v>
      </c>
      <c r="G80" t="s">
        <v>330</v>
      </c>
      <c r="H80" t="s">
        <v>108</v>
      </c>
      <c r="I80">
        <v>9</v>
      </c>
      <c r="J80">
        <v>287.47000000000003</v>
      </c>
      <c r="K80">
        <v>0.2</v>
      </c>
      <c r="L80" t="s">
        <v>260</v>
      </c>
      <c r="M80" t="s">
        <v>165</v>
      </c>
      <c r="N80" t="s">
        <v>39</v>
      </c>
      <c r="O80" t="s">
        <v>126</v>
      </c>
    </row>
    <row r="81" spans="1:15" x14ac:dyDescent="0.25">
      <c r="A81" t="s">
        <v>392</v>
      </c>
      <c r="B81" s="3">
        <v>45536</v>
      </c>
      <c r="C81" t="s">
        <v>394</v>
      </c>
      <c r="D81" t="s">
        <v>44</v>
      </c>
      <c r="E81" t="s">
        <v>125</v>
      </c>
      <c r="F81" t="s">
        <v>184</v>
      </c>
      <c r="G81" t="s">
        <v>47</v>
      </c>
      <c r="H81" t="s">
        <v>68</v>
      </c>
      <c r="I81">
        <v>4</v>
      </c>
      <c r="J81">
        <v>197.79</v>
      </c>
      <c r="K81">
        <v>0</v>
      </c>
      <c r="L81" t="s">
        <v>237</v>
      </c>
      <c r="M81" t="s">
        <v>110</v>
      </c>
      <c r="N81" t="s">
        <v>50</v>
      </c>
    </row>
    <row r="82" spans="1:15" x14ac:dyDescent="0.25">
      <c r="A82" t="s">
        <v>395</v>
      </c>
      <c r="B82" s="3">
        <v>45501</v>
      </c>
      <c r="C82" t="s">
        <v>397</v>
      </c>
      <c r="D82" t="s">
        <v>258</v>
      </c>
      <c r="E82" t="s">
        <v>125</v>
      </c>
      <c r="F82" t="s">
        <v>33</v>
      </c>
      <c r="G82" t="s">
        <v>47</v>
      </c>
      <c r="H82" t="s">
        <v>48</v>
      </c>
      <c r="J82">
        <v>175.49</v>
      </c>
      <c r="K82">
        <v>0.2</v>
      </c>
      <c r="L82" t="s">
        <v>139</v>
      </c>
      <c r="M82" t="s">
        <v>70</v>
      </c>
      <c r="N82" t="s">
        <v>50</v>
      </c>
      <c r="O82" t="s">
        <v>171</v>
      </c>
    </row>
    <row r="83" spans="1:15" x14ac:dyDescent="0.25">
      <c r="A83" t="s">
        <v>398</v>
      </c>
      <c r="B83" s="3">
        <v>45619</v>
      </c>
      <c r="C83" t="s">
        <v>400</v>
      </c>
      <c r="D83" t="s">
        <v>188</v>
      </c>
      <c r="E83" t="s">
        <v>32</v>
      </c>
      <c r="F83" t="s">
        <v>267</v>
      </c>
      <c r="G83" t="s">
        <v>236</v>
      </c>
      <c r="H83" t="s">
        <v>178</v>
      </c>
      <c r="I83">
        <v>3</v>
      </c>
      <c r="J83">
        <v>322.95999999999998</v>
      </c>
      <c r="K83">
        <v>0.1</v>
      </c>
      <c r="L83" t="s">
        <v>281</v>
      </c>
      <c r="M83" t="s">
        <v>144</v>
      </c>
      <c r="N83" t="s">
        <v>26</v>
      </c>
      <c r="O83" t="s">
        <v>112</v>
      </c>
    </row>
    <row r="84" spans="1:15" x14ac:dyDescent="0.25">
      <c r="A84" t="s">
        <v>401</v>
      </c>
      <c r="B84" s="3">
        <v>45647</v>
      </c>
      <c r="C84" t="s">
        <v>403</v>
      </c>
      <c r="D84" t="s">
        <v>212</v>
      </c>
      <c r="F84" t="s">
        <v>33</v>
      </c>
      <c r="G84" t="s">
        <v>323</v>
      </c>
      <c r="H84" t="s">
        <v>68</v>
      </c>
      <c r="I84">
        <v>6</v>
      </c>
      <c r="L84" t="s">
        <v>37</v>
      </c>
      <c r="M84" t="s">
        <v>25</v>
      </c>
      <c r="N84" t="s">
        <v>111</v>
      </c>
      <c r="O84" t="s">
        <v>171</v>
      </c>
    </row>
    <row r="85" spans="1:15" x14ac:dyDescent="0.25">
      <c r="A85" t="s">
        <v>404</v>
      </c>
      <c r="B85" s="3">
        <v>45622</v>
      </c>
      <c r="C85" t="s">
        <v>406</v>
      </c>
      <c r="D85" t="s">
        <v>285</v>
      </c>
      <c r="E85" t="s">
        <v>199</v>
      </c>
      <c r="F85" t="s">
        <v>91</v>
      </c>
      <c r="G85" t="s">
        <v>177</v>
      </c>
      <c r="H85" t="s">
        <v>195</v>
      </c>
      <c r="I85">
        <v>4</v>
      </c>
      <c r="J85">
        <v>179.4</v>
      </c>
      <c r="K85">
        <v>0.05</v>
      </c>
      <c r="L85" t="s">
        <v>132</v>
      </c>
      <c r="M85" t="s">
        <v>60</v>
      </c>
      <c r="O85" t="s">
        <v>171</v>
      </c>
    </row>
    <row r="86" spans="1:15" x14ac:dyDescent="0.25">
      <c r="A86" t="s">
        <v>407</v>
      </c>
      <c r="B86" s="3">
        <v>45435</v>
      </c>
      <c r="C86" t="s">
        <v>409</v>
      </c>
      <c r="D86" t="s">
        <v>152</v>
      </c>
      <c r="E86" t="s">
        <v>19</v>
      </c>
      <c r="F86" t="s">
        <v>235</v>
      </c>
      <c r="G86" t="s">
        <v>236</v>
      </c>
      <c r="H86" t="s">
        <v>35</v>
      </c>
      <c r="J86">
        <v>426.22</v>
      </c>
      <c r="L86" t="s">
        <v>237</v>
      </c>
      <c r="M86" t="s">
        <v>92</v>
      </c>
      <c r="N86" t="s">
        <v>71</v>
      </c>
      <c r="O86" t="s">
        <v>171</v>
      </c>
    </row>
    <row r="87" spans="1:15" x14ac:dyDescent="0.25">
      <c r="A87" t="s">
        <v>411</v>
      </c>
      <c r="B87" s="3">
        <v>45358</v>
      </c>
      <c r="C87" t="s">
        <v>413</v>
      </c>
      <c r="D87" t="s">
        <v>124</v>
      </c>
      <c r="E87" t="s">
        <v>125</v>
      </c>
      <c r="F87" t="s">
        <v>20</v>
      </c>
      <c r="G87" t="s">
        <v>131</v>
      </c>
      <c r="H87" t="s">
        <v>48</v>
      </c>
      <c r="I87">
        <v>8</v>
      </c>
      <c r="J87">
        <v>454.54</v>
      </c>
      <c r="K87">
        <v>0.1</v>
      </c>
      <c r="L87" t="s">
        <v>143</v>
      </c>
      <c r="M87" t="s">
        <v>86</v>
      </c>
      <c r="N87" t="s">
        <v>71</v>
      </c>
      <c r="O87" t="s">
        <v>112</v>
      </c>
    </row>
    <row r="88" spans="1:15" x14ac:dyDescent="0.25">
      <c r="A88" t="s">
        <v>415</v>
      </c>
      <c r="B88" s="3"/>
      <c r="C88" t="s">
        <v>417</v>
      </c>
      <c r="D88" t="s">
        <v>18</v>
      </c>
      <c r="E88" t="s">
        <v>117</v>
      </c>
      <c r="F88" t="s">
        <v>163</v>
      </c>
      <c r="G88" t="s">
        <v>177</v>
      </c>
      <c r="H88" t="s">
        <v>22</v>
      </c>
      <c r="I88">
        <v>10</v>
      </c>
      <c r="J88">
        <v>350.13</v>
      </c>
      <c r="K88">
        <v>0</v>
      </c>
      <c r="L88" t="s">
        <v>132</v>
      </c>
      <c r="M88" t="s">
        <v>158</v>
      </c>
      <c r="N88" t="s">
        <v>39</v>
      </c>
      <c r="O88" t="s">
        <v>51</v>
      </c>
    </row>
    <row r="89" spans="1:15" x14ac:dyDescent="0.25">
      <c r="A89" t="s">
        <v>418</v>
      </c>
      <c r="B89" s="3">
        <v>45298</v>
      </c>
      <c r="C89" t="s">
        <v>420</v>
      </c>
      <c r="D89" t="s">
        <v>224</v>
      </c>
      <c r="E89" t="s">
        <v>45</v>
      </c>
      <c r="F89" t="s">
        <v>33</v>
      </c>
      <c r="G89" t="s">
        <v>323</v>
      </c>
      <c r="H89" t="s">
        <v>35</v>
      </c>
      <c r="I89">
        <v>5</v>
      </c>
      <c r="J89">
        <v>276.33</v>
      </c>
      <c r="K89">
        <v>0.15</v>
      </c>
      <c r="L89" t="s">
        <v>139</v>
      </c>
      <c r="M89" t="s">
        <v>25</v>
      </c>
      <c r="N89" t="s">
        <v>39</v>
      </c>
      <c r="O89" t="s">
        <v>27</v>
      </c>
    </row>
    <row r="90" spans="1:15" x14ac:dyDescent="0.25">
      <c r="A90" t="s">
        <v>421</v>
      </c>
      <c r="B90" s="3">
        <v>45467</v>
      </c>
      <c r="C90" t="s">
        <v>423</v>
      </c>
      <c r="D90" t="s">
        <v>116</v>
      </c>
      <c r="E90" t="s">
        <v>117</v>
      </c>
      <c r="F90" t="s">
        <v>136</v>
      </c>
      <c r="G90" t="s">
        <v>236</v>
      </c>
      <c r="H90" t="s">
        <v>58</v>
      </c>
      <c r="I90">
        <v>3</v>
      </c>
      <c r="J90">
        <v>464.64</v>
      </c>
      <c r="K90">
        <v>0.15</v>
      </c>
      <c r="L90" t="s">
        <v>180</v>
      </c>
      <c r="M90" t="s">
        <v>60</v>
      </c>
      <c r="N90" t="s">
        <v>111</v>
      </c>
    </row>
    <row r="91" spans="1:15" x14ac:dyDescent="0.25">
      <c r="A91" t="s">
        <v>424</v>
      </c>
      <c r="B91" s="3">
        <v>45369</v>
      </c>
      <c r="C91" t="s">
        <v>426</v>
      </c>
      <c r="D91" t="s">
        <v>212</v>
      </c>
      <c r="E91" t="s">
        <v>98</v>
      </c>
      <c r="F91" t="s">
        <v>118</v>
      </c>
      <c r="G91" t="s">
        <v>21</v>
      </c>
      <c r="H91" t="s">
        <v>195</v>
      </c>
      <c r="I91">
        <v>8</v>
      </c>
      <c r="J91">
        <v>146.44</v>
      </c>
      <c r="L91" t="s">
        <v>102</v>
      </c>
      <c r="M91" t="s">
        <v>60</v>
      </c>
      <c r="N91" t="s">
        <v>111</v>
      </c>
      <c r="O91" t="s">
        <v>51</v>
      </c>
    </row>
    <row r="92" spans="1:15" x14ac:dyDescent="0.25">
      <c r="A92" t="s">
        <v>427</v>
      </c>
      <c r="B92" s="3">
        <v>45510</v>
      </c>
      <c r="C92" t="s">
        <v>429</v>
      </c>
      <c r="D92" t="s">
        <v>224</v>
      </c>
      <c r="E92" t="s">
        <v>125</v>
      </c>
      <c r="F92" t="s">
        <v>153</v>
      </c>
      <c r="G92" t="s">
        <v>67</v>
      </c>
      <c r="H92" t="s">
        <v>58</v>
      </c>
      <c r="I92">
        <v>8</v>
      </c>
      <c r="J92">
        <v>494.01</v>
      </c>
      <c r="K92">
        <v>0.15</v>
      </c>
      <c r="L92" t="s">
        <v>79</v>
      </c>
      <c r="M92" t="s">
        <v>70</v>
      </c>
      <c r="N92" t="s">
        <v>26</v>
      </c>
      <c r="O92" t="s">
        <v>87</v>
      </c>
    </row>
    <row r="93" spans="1:15" x14ac:dyDescent="0.25">
      <c r="A93" t="s">
        <v>430</v>
      </c>
      <c r="B93" s="3">
        <v>45497</v>
      </c>
      <c r="C93" t="s">
        <v>432</v>
      </c>
      <c r="D93" t="s">
        <v>285</v>
      </c>
      <c r="E93" t="s">
        <v>199</v>
      </c>
      <c r="F93" t="s">
        <v>298</v>
      </c>
      <c r="G93" t="s">
        <v>21</v>
      </c>
      <c r="H93" t="s">
        <v>195</v>
      </c>
      <c r="I93">
        <v>12</v>
      </c>
      <c r="J93">
        <v>461.16</v>
      </c>
      <c r="L93" t="s">
        <v>281</v>
      </c>
      <c r="M93" t="s">
        <v>110</v>
      </c>
      <c r="O93" t="s">
        <v>112</v>
      </c>
    </row>
    <row r="94" spans="1:15" x14ac:dyDescent="0.25">
      <c r="A94" t="s">
        <v>433</v>
      </c>
      <c r="B94" s="3">
        <v>45432</v>
      </c>
      <c r="C94" t="s">
        <v>435</v>
      </c>
      <c r="D94" t="s">
        <v>188</v>
      </c>
      <c r="E94" t="s">
        <v>76</v>
      </c>
      <c r="F94" t="s">
        <v>77</v>
      </c>
      <c r="G94" t="s">
        <v>268</v>
      </c>
      <c r="H94" t="s">
        <v>58</v>
      </c>
      <c r="I94">
        <v>8</v>
      </c>
      <c r="J94">
        <v>495.96</v>
      </c>
      <c r="K94">
        <v>0.05</v>
      </c>
      <c r="L94" t="s">
        <v>132</v>
      </c>
      <c r="M94" t="s">
        <v>92</v>
      </c>
      <c r="N94" t="s">
        <v>111</v>
      </c>
    </row>
    <row r="95" spans="1:15" x14ac:dyDescent="0.25">
      <c r="A95" t="s">
        <v>436</v>
      </c>
      <c r="B95" s="3">
        <v>45465</v>
      </c>
      <c r="C95" t="s">
        <v>437</v>
      </c>
      <c r="D95" t="s">
        <v>194</v>
      </c>
      <c r="E95" t="s">
        <v>98</v>
      </c>
      <c r="F95" t="s">
        <v>153</v>
      </c>
      <c r="G95" t="s">
        <v>330</v>
      </c>
      <c r="H95" t="s">
        <v>35</v>
      </c>
      <c r="I95">
        <v>6</v>
      </c>
      <c r="J95">
        <v>236.18</v>
      </c>
      <c r="K95">
        <v>0</v>
      </c>
      <c r="L95" t="s">
        <v>143</v>
      </c>
      <c r="M95" t="s">
        <v>165</v>
      </c>
      <c r="O95" t="s">
        <v>40</v>
      </c>
    </row>
    <row r="96" spans="1:15" x14ac:dyDescent="0.25">
      <c r="A96" t="s">
        <v>438</v>
      </c>
      <c r="B96" s="3">
        <v>45443</v>
      </c>
      <c r="C96" t="s">
        <v>440</v>
      </c>
      <c r="D96" t="s">
        <v>152</v>
      </c>
      <c r="E96" t="s">
        <v>19</v>
      </c>
      <c r="F96" t="s">
        <v>118</v>
      </c>
      <c r="G96" t="s">
        <v>21</v>
      </c>
      <c r="H96" t="s">
        <v>200</v>
      </c>
      <c r="I96">
        <v>3</v>
      </c>
      <c r="J96">
        <v>438.85</v>
      </c>
      <c r="K96">
        <v>0.1</v>
      </c>
      <c r="L96" t="s">
        <v>281</v>
      </c>
      <c r="M96" t="s">
        <v>92</v>
      </c>
      <c r="N96" t="s">
        <v>50</v>
      </c>
      <c r="O96" t="s">
        <v>27</v>
      </c>
    </row>
    <row r="97" spans="1:15" x14ac:dyDescent="0.25">
      <c r="A97" t="s">
        <v>441</v>
      </c>
      <c r="B97" s="3">
        <v>45407</v>
      </c>
      <c r="C97" t="s">
        <v>443</v>
      </c>
      <c r="D97" t="s">
        <v>224</v>
      </c>
      <c r="E97" t="s">
        <v>125</v>
      </c>
      <c r="F97" t="s">
        <v>176</v>
      </c>
      <c r="G97" t="s">
        <v>177</v>
      </c>
      <c r="H97" t="s">
        <v>35</v>
      </c>
      <c r="I97">
        <v>11</v>
      </c>
      <c r="L97" t="s">
        <v>79</v>
      </c>
      <c r="M97" t="s">
        <v>144</v>
      </c>
      <c r="N97" t="s">
        <v>50</v>
      </c>
      <c r="O97" t="s">
        <v>93</v>
      </c>
    </row>
    <row r="98" spans="1:15" x14ac:dyDescent="0.25">
      <c r="A98" t="s">
        <v>444</v>
      </c>
      <c r="B98" s="3">
        <v>45390</v>
      </c>
      <c r="C98" t="s">
        <v>446</v>
      </c>
      <c r="D98" t="s">
        <v>97</v>
      </c>
      <c r="E98" t="s">
        <v>65</v>
      </c>
      <c r="F98" t="s">
        <v>130</v>
      </c>
      <c r="G98" t="s">
        <v>119</v>
      </c>
      <c r="H98" t="s">
        <v>195</v>
      </c>
      <c r="I98">
        <v>8</v>
      </c>
      <c r="J98">
        <v>383.31</v>
      </c>
      <c r="K98">
        <v>0.2</v>
      </c>
      <c r="L98" t="s">
        <v>281</v>
      </c>
      <c r="M98" t="s">
        <v>86</v>
      </c>
      <c r="N98" t="s">
        <v>26</v>
      </c>
      <c r="O98" t="s">
        <v>93</v>
      </c>
    </row>
    <row r="99" spans="1:15" x14ac:dyDescent="0.25">
      <c r="A99" t="s">
        <v>447</v>
      </c>
      <c r="B99" s="3">
        <v>45639</v>
      </c>
      <c r="C99" t="s">
        <v>449</v>
      </c>
      <c r="D99" t="s">
        <v>258</v>
      </c>
      <c r="E99" t="s">
        <v>125</v>
      </c>
      <c r="F99" t="s">
        <v>189</v>
      </c>
      <c r="G99" t="s">
        <v>330</v>
      </c>
      <c r="H99" t="s">
        <v>200</v>
      </c>
      <c r="I99">
        <v>7</v>
      </c>
      <c r="J99">
        <v>432.85</v>
      </c>
      <c r="L99" t="s">
        <v>132</v>
      </c>
      <c r="M99" t="s">
        <v>201</v>
      </c>
      <c r="N99" t="s">
        <v>50</v>
      </c>
    </row>
    <row r="100" spans="1:15" x14ac:dyDescent="0.25">
      <c r="A100" t="s">
        <v>450</v>
      </c>
      <c r="B100" s="3"/>
      <c r="C100" t="s">
        <v>452</v>
      </c>
      <c r="D100" t="s">
        <v>18</v>
      </c>
      <c r="E100" t="s">
        <v>19</v>
      </c>
      <c r="F100" t="s">
        <v>20</v>
      </c>
      <c r="G100" t="s">
        <v>264</v>
      </c>
      <c r="H100" t="s">
        <v>200</v>
      </c>
      <c r="I100">
        <v>8</v>
      </c>
      <c r="L100" t="s">
        <v>79</v>
      </c>
      <c r="M100" t="s">
        <v>25</v>
      </c>
      <c r="N100" t="s">
        <v>39</v>
      </c>
      <c r="O100" t="s">
        <v>126</v>
      </c>
    </row>
    <row r="101" spans="1:15" x14ac:dyDescent="0.25">
      <c r="A101" t="s">
        <v>453</v>
      </c>
      <c r="B101" s="3"/>
      <c r="C101" t="s">
        <v>391</v>
      </c>
      <c r="D101" t="s">
        <v>194</v>
      </c>
      <c r="E101" t="s">
        <v>98</v>
      </c>
      <c r="F101" t="s">
        <v>235</v>
      </c>
      <c r="G101" t="s">
        <v>268</v>
      </c>
      <c r="H101" t="s">
        <v>22</v>
      </c>
      <c r="I101">
        <v>9</v>
      </c>
      <c r="J101">
        <v>327.81</v>
      </c>
      <c r="L101" t="s">
        <v>180</v>
      </c>
      <c r="M101" t="s">
        <v>144</v>
      </c>
      <c r="N101" t="s">
        <v>111</v>
      </c>
      <c r="O101" t="s">
        <v>87</v>
      </c>
    </row>
    <row r="102" spans="1:15" x14ac:dyDescent="0.25">
      <c r="A102" t="s">
        <v>455</v>
      </c>
      <c r="B102" s="3">
        <v>45389</v>
      </c>
      <c r="C102" t="s">
        <v>457</v>
      </c>
      <c r="D102" t="s">
        <v>55</v>
      </c>
      <c r="E102" t="s">
        <v>76</v>
      </c>
      <c r="F102" t="s">
        <v>83</v>
      </c>
      <c r="G102" t="s">
        <v>177</v>
      </c>
      <c r="H102" t="s">
        <v>195</v>
      </c>
      <c r="I102">
        <v>9</v>
      </c>
      <c r="J102">
        <v>210.67</v>
      </c>
      <c r="K102">
        <v>0.15</v>
      </c>
      <c r="L102" t="s">
        <v>102</v>
      </c>
      <c r="M102" t="s">
        <v>208</v>
      </c>
      <c r="N102" t="s">
        <v>50</v>
      </c>
      <c r="O102" t="s">
        <v>93</v>
      </c>
    </row>
    <row r="103" spans="1:15" x14ac:dyDescent="0.25">
      <c r="A103" t="s">
        <v>458</v>
      </c>
      <c r="B103" s="3">
        <v>45399</v>
      </c>
      <c r="C103" t="s">
        <v>460</v>
      </c>
      <c r="D103" t="s">
        <v>31</v>
      </c>
      <c r="E103" t="s">
        <v>32</v>
      </c>
      <c r="F103" t="s">
        <v>77</v>
      </c>
      <c r="G103" t="s">
        <v>318</v>
      </c>
      <c r="H103" t="s">
        <v>195</v>
      </c>
      <c r="I103">
        <v>1</v>
      </c>
      <c r="J103">
        <v>177.55</v>
      </c>
      <c r="K103">
        <v>0</v>
      </c>
      <c r="L103" t="s">
        <v>237</v>
      </c>
      <c r="M103" t="s">
        <v>144</v>
      </c>
      <c r="N103" t="s">
        <v>111</v>
      </c>
    </row>
    <row r="104" spans="1:15" x14ac:dyDescent="0.25">
      <c r="A104" t="s">
        <v>461</v>
      </c>
      <c r="B104" s="3"/>
      <c r="C104" t="s">
        <v>463</v>
      </c>
      <c r="D104" t="s">
        <v>44</v>
      </c>
      <c r="E104" t="s">
        <v>125</v>
      </c>
      <c r="F104" t="s">
        <v>99</v>
      </c>
      <c r="G104" t="s">
        <v>84</v>
      </c>
      <c r="H104" t="s">
        <v>35</v>
      </c>
      <c r="I104">
        <v>8</v>
      </c>
      <c r="J104">
        <v>484.71</v>
      </c>
      <c r="K104">
        <v>0.15</v>
      </c>
      <c r="L104" t="s">
        <v>139</v>
      </c>
      <c r="M104" t="s">
        <v>201</v>
      </c>
      <c r="N104" t="s">
        <v>50</v>
      </c>
      <c r="O104" t="s">
        <v>40</v>
      </c>
    </row>
    <row r="105" spans="1:15" x14ac:dyDescent="0.25">
      <c r="A105" t="s">
        <v>464</v>
      </c>
      <c r="B105" s="3"/>
      <c r="C105" t="s">
        <v>466</v>
      </c>
      <c r="D105" t="s">
        <v>64</v>
      </c>
      <c r="F105" t="s">
        <v>267</v>
      </c>
      <c r="G105" t="s">
        <v>318</v>
      </c>
      <c r="H105" t="s">
        <v>200</v>
      </c>
      <c r="I105">
        <v>10</v>
      </c>
      <c r="J105">
        <v>30.02</v>
      </c>
      <c r="K105">
        <v>0.15</v>
      </c>
      <c r="L105" t="s">
        <v>260</v>
      </c>
      <c r="M105" t="s">
        <v>201</v>
      </c>
      <c r="N105" t="s">
        <v>39</v>
      </c>
      <c r="O105" t="s">
        <v>112</v>
      </c>
    </row>
    <row r="106" spans="1:15" x14ac:dyDescent="0.25">
      <c r="A106" t="s">
        <v>149</v>
      </c>
      <c r="B106" s="3">
        <v>45582</v>
      </c>
      <c r="C106" t="s">
        <v>467</v>
      </c>
      <c r="D106" t="s">
        <v>152</v>
      </c>
      <c r="E106" t="s">
        <v>19</v>
      </c>
      <c r="F106" t="s">
        <v>153</v>
      </c>
      <c r="G106" t="s">
        <v>154</v>
      </c>
      <c r="H106" t="s">
        <v>108</v>
      </c>
      <c r="J106">
        <v>464.9</v>
      </c>
      <c r="K106">
        <v>0.1</v>
      </c>
      <c r="L106" t="s">
        <v>24</v>
      </c>
      <c r="M106" t="s">
        <v>86</v>
      </c>
      <c r="N106" t="s">
        <v>111</v>
      </c>
      <c r="O106" t="s">
        <v>27</v>
      </c>
    </row>
    <row r="107" spans="1:15" x14ac:dyDescent="0.25">
      <c r="A107" t="s">
        <v>468</v>
      </c>
      <c r="B107" s="3">
        <v>45547</v>
      </c>
      <c r="C107" t="s">
        <v>470</v>
      </c>
      <c r="D107" t="s">
        <v>212</v>
      </c>
      <c r="F107" t="s">
        <v>189</v>
      </c>
      <c r="G107" t="s">
        <v>57</v>
      </c>
      <c r="H107" t="s">
        <v>178</v>
      </c>
      <c r="I107">
        <v>10</v>
      </c>
      <c r="J107">
        <v>436.63</v>
      </c>
      <c r="L107" t="s">
        <v>59</v>
      </c>
      <c r="M107" t="s">
        <v>60</v>
      </c>
      <c r="N107" t="s">
        <v>71</v>
      </c>
      <c r="O107" t="s">
        <v>93</v>
      </c>
    </row>
    <row r="108" spans="1:15" x14ac:dyDescent="0.25">
      <c r="A108" t="s">
        <v>472</v>
      </c>
      <c r="B108" s="3">
        <v>45357</v>
      </c>
      <c r="C108" t="s">
        <v>474</v>
      </c>
      <c r="D108" t="s">
        <v>212</v>
      </c>
      <c r="E108" t="s">
        <v>65</v>
      </c>
      <c r="F108" t="s">
        <v>91</v>
      </c>
      <c r="G108" t="s">
        <v>84</v>
      </c>
      <c r="H108" t="s">
        <v>48</v>
      </c>
      <c r="I108">
        <v>7</v>
      </c>
      <c r="J108">
        <v>244.05</v>
      </c>
      <c r="K108">
        <v>0.05</v>
      </c>
      <c r="L108" t="s">
        <v>37</v>
      </c>
      <c r="M108" t="s">
        <v>110</v>
      </c>
      <c r="N108" t="s">
        <v>111</v>
      </c>
      <c r="O108" t="s">
        <v>51</v>
      </c>
    </row>
    <row r="109" spans="1:15" x14ac:dyDescent="0.25">
      <c r="A109" t="s">
        <v>475</v>
      </c>
      <c r="B109" s="3">
        <v>45351</v>
      </c>
      <c r="C109" t="s">
        <v>477</v>
      </c>
      <c r="D109" t="s">
        <v>285</v>
      </c>
      <c r="E109" t="s">
        <v>32</v>
      </c>
      <c r="F109" t="s">
        <v>298</v>
      </c>
      <c r="G109" t="s">
        <v>264</v>
      </c>
      <c r="H109" t="s">
        <v>178</v>
      </c>
      <c r="I109">
        <v>1</v>
      </c>
      <c r="J109">
        <v>451.93</v>
      </c>
      <c r="K109">
        <v>0.05</v>
      </c>
      <c r="L109" t="s">
        <v>139</v>
      </c>
      <c r="M109" t="s">
        <v>201</v>
      </c>
      <c r="N109" t="s">
        <v>50</v>
      </c>
      <c r="O109" t="s">
        <v>87</v>
      </c>
    </row>
    <row r="110" spans="1:15" x14ac:dyDescent="0.25">
      <c r="A110" t="s">
        <v>479</v>
      </c>
      <c r="B110" s="3">
        <v>45476</v>
      </c>
      <c r="C110" t="s">
        <v>480</v>
      </c>
      <c r="D110" t="s">
        <v>55</v>
      </c>
      <c r="E110" t="s">
        <v>76</v>
      </c>
      <c r="F110" t="s">
        <v>153</v>
      </c>
      <c r="G110" t="s">
        <v>57</v>
      </c>
      <c r="H110" t="s">
        <v>35</v>
      </c>
      <c r="I110">
        <v>4</v>
      </c>
      <c r="J110">
        <v>137.16</v>
      </c>
      <c r="K110">
        <v>0.2</v>
      </c>
      <c r="L110" t="s">
        <v>143</v>
      </c>
      <c r="M110" t="s">
        <v>92</v>
      </c>
      <c r="O110" t="s">
        <v>126</v>
      </c>
    </row>
    <row r="111" spans="1:15" x14ac:dyDescent="0.25">
      <c r="A111" t="s">
        <v>481</v>
      </c>
      <c r="B111" s="3">
        <v>45538</v>
      </c>
      <c r="C111" t="s">
        <v>483</v>
      </c>
      <c r="D111" t="s">
        <v>188</v>
      </c>
      <c r="E111" t="s">
        <v>32</v>
      </c>
      <c r="F111" t="s">
        <v>91</v>
      </c>
      <c r="G111" t="s">
        <v>164</v>
      </c>
      <c r="H111" t="s">
        <v>200</v>
      </c>
      <c r="I111">
        <v>11</v>
      </c>
      <c r="J111">
        <v>261.95</v>
      </c>
      <c r="K111">
        <v>0.15</v>
      </c>
      <c r="L111" t="s">
        <v>132</v>
      </c>
      <c r="M111" t="s">
        <v>70</v>
      </c>
      <c r="N111" t="s">
        <v>111</v>
      </c>
      <c r="O111" t="s">
        <v>51</v>
      </c>
    </row>
    <row r="112" spans="1:15" x14ac:dyDescent="0.25">
      <c r="A112" t="s">
        <v>484</v>
      </c>
      <c r="B112" s="3">
        <v>45622</v>
      </c>
      <c r="C112" t="s">
        <v>486</v>
      </c>
      <c r="D112" t="s">
        <v>258</v>
      </c>
      <c r="E112" t="s">
        <v>45</v>
      </c>
      <c r="F112" t="s">
        <v>184</v>
      </c>
      <c r="G112" t="s">
        <v>323</v>
      </c>
      <c r="H112" t="s">
        <v>68</v>
      </c>
      <c r="I112">
        <v>12</v>
      </c>
      <c r="J112">
        <v>224.47</v>
      </c>
      <c r="K112">
        <v>0</v>
      </c>
      <c r="L112" t="s">
        <v>132</v>
      </c>
      <c r="M112" t="s">
        <v>170</v>
      </c>
      <c r="N112" t="s">
        <v>26</v>
      </c>
      <c r="O112" t="s">
        <v>126</v>
      </c>
    </row>
    <row r="113" spans="1:15" x14ac:dyDescent="0.25">
      <c r="A113" t="s">
        <v>487</v>
      </c>
      <c r="B113" s="3">
        <v>45413</v>
      </c>
      <c r="C113" t="s">
        <v>489</v>
      </c>
      <c r="D113" t="s">
        <v>194</v>
      </c>
      <c r="E113" t="s">
        <v>98</v>
      </c>
      <c r="F113" t="s">
        <v>184</v>
      </c>
      <c r="G113" t="s">
        <v>323</v>
      </c>
      <c r="H113" t="s">
        <v>68</v>
      </c>
      <c r="I113">
        <v>1</v>
      </c>
      <c r="J113">
        <v>192.82</v>
      </c>
      <c r="K113">
        <v>0.1</v>
      </c>
      <c r="L113" t="s">
        <v>281</v>
      </c>
      <c r="M113" t="s">
        <v>201</v>
      </c>
      <c r="N113" t="s">
        <v>71</v>
      </c>
      <c r="O113" t="s">
        <v>87</v>
      </c>
    </row>
    <row r="114" spans="1:15" x14ac:dyDescent="0.25">
      <c r="A114" t="s">
        <v>491</v>
      </c>
      <c r="B114" s="3">
        <v>45568</v>
      </c>
      <c r="C114" t="s">
        <v>493</v>
      </c>
      <c r="D114" t="s">
        <v>194</v>
      </c>
      <c r="E114" t="s">
        <v>65</v>
      </c>
      <c r="F114" t="s">
        <v>20</v>
      </c>
      <c r="G114" t="s">
        <v>119</v>
      </c>
      <c r="H114" t="s">
        <v>108</v>
      </c>
      <c r="I114">
        <v>6</v>
      </c>
      <c r="J114">
        <v>192.67</v>
      </c>
      <c r="K114">
        <v>0.1</v>
      </c>
      <c r="L114" t="s">
        <v>180</v>
      </c>
      <c r="M114" t="s">
        <v>38</v>
      </c>
      <c r="N114" t="s">
        <v>39</v>
      </c>
    </row>
    <row r="115" spans="1:15" x14ac:dyDescent="0.25">
      <c r="A115" t="s">
        <v>494</v>
      </c>
      <c r="B115" s="3">
        <v>45587</v>
      </c>
      <c r="C115" t="s">
        <v>496</v>
      </c>
      <c r="D115" t="s">
        <v>31</v>
      </c>
      <c r="E115" t="s">
        <v>76</v>
      </c>
      <c r="F115" t="s">
        <v>136</v>
      </c>
      <c r="G115" t="s">
        <v>268</v>
      </c>
      <c r="H115" t="s">
        <v>48</v>
      </c>
      <c r="I115">
        <v>7</v>
      </c>
      <c r="J115">
        <v>217.67</v>
      </c>
      <c r="L115" t="s">
        <v>260</v>
      </c>
      <c r="M115" t="s">
        <v>170</v>
      </c>
      <c r="N115" t="s">
        <v>26</v>
      </c>
      <c r="O115" t="s">
        <v>87</v>
      </c>
    </row>
    <row r="116" spans="1:15" x14ac:dyDescent="0.25">
      <c r="A116" t="s">
        <v>498</v>
      </c>
      <c r="B116" s="3">
        <v>45416</v>
      </c>
      <c r="C116" t="s">
        <v>499</v>
      </c>
      <c r="D116" t="s">
        <v>44</v>
      </c>
      <c r="E116" t="s">
        <v>45</v>
      </c>
      <c r="F116" t="s">
        <v>235</v>
      </c>
      <c r="G116" t="s">
        <v>236</v>
      </c>
      <c r="H116" t="s">
        <v>108</v>
      </c>
      <c r="I116">
        <v>6</v>
      </c>
      <c r="J116">
        <v>7.57</v>
      </c>
      <c r="K116">
        <v>0.1</v>
      </c>
      <c r="L116" t="s">
        <v>180</v>
      </c>
      <c r="M116" t="s">
        <v>208</v>
      </c>
      <c r="N116" t="s">
        <v>39</v>
      </c>
      <c r="O116" t="s">
        <v>87</v>
      </c>
    </row>
    <row r="117" spans="1:15" x14ac:dyDescent="0.25">
      <c r="A117" t="s">
        <v>500</v>
      </c>
      <c r="B117" s="3">
        <v>45292</v>
      </c>
      <c r="C117" t="s">
        <v>502</v>
      </c>
      <c r="D117" t="s">
        <v>224</v>
      </c>
      <c r="F117" t="s">
        <v>184</v>
      </c>
      <c r="G117" t="s">
        <v>323</v>
      </c>
      <c r="H117" t="s">
        <v>108</v>
      </c>
      <c r="I117">
        <v>7</v>
      </c>
      <c r="J117">
        <v>258.14999999999998</v>
      </c>
      <c r="K117">
        <v>0.1</v>
      </c>
      <c r="L117" t="s">
        <v>143</v>
      </c>
      <c r="M117" t="s">
        <v>70</v>
      </c>
      <c r="N117" t="s">
        <v>50</v>
      </c>
      <c r="O117" t="s">
        <v>93</v>
      </c>
    </row>
    <row r="118" spans="1:15" x14ac:dyDescent="0.25">
      <c r="A118" t="s">
        <v>503</v>
      </c>
      <c r="B118" s="3">
        <v>45403</v>
      </c>
      <c r="C118" t="s">
        <v>505</v>
      </c>
      <c r="D118" t="s">
        <v>55</v>
      </c>
      <c r="F118" t="s">
        <v>136</v>
      </c>
      <c r="G118" t="s">
        <v>236</v>
      </c>
      <c r="H118" t="s">
        <v>195</v>
      </c>
      <c r="I118">
        <v>7</v>
      </c>
      <c r="J118">
        <v>366.6</v>
      </c>
      <c r="K118">
        <v>0.15</v>
      </c>
      <c r="L118" t="s">
        <v>281</v>
      </c>
      <c r="M118" t="s">
        <v>25</v>
      </c>
      <c r="N118" t="s">
        <v>71</v>
      </c>
      <c r="O118" t="s">
        <v>93</v>
      </c>
    </row>
    <row r="119" spans="1:15" x14ac:dyDescent="0.25">
      <c r="A119" t="s">
        <v>506</v>
      </c>
      <c r="B119" s="3">
        <v>45581</v>
      </c>
      <c r="C119" t="s">
        <v>508</v>
      </c>
      <c r="D119" t="s">
        <v>285</v>
      </c>
      <c r="E119" t="s">
        <v>76</v>
      </c>
      <c r="F119" t="s">
        <v>184</v>
      </c>
      <c r="G119" t="s">
        <v>47</v>
      </c>
      <c r="H119" t="s">
        <v>200</v>
      </c>
      <c r="I119">
        <v>2</v>
      </c>
      <c r="J119">
        <v>416.13</v>
      </c>
      <c r="K119">
        <v>0.1</v>
      </c>
      <c r="L119" t="s">
        <v>132</v>
      </c>
      <c r="M119" t="s">
        <v>110</v>
      </c>
      <c r="N119" t="s">
        <v>39</v>
      </c>
    </row>
    <row r="120" spans="1:15" x14ac:dyDescent="0.25">
      <c r="A120" t="s">
        <v>509</v>
      </c>
      <c r="B120" s="3">
        <v>45303</v>
      </c>
      <c r="C120" t="s">
        <v>511</v>
      </c>
      <c r="D120" t="s">
        <v>97</v>
      </c>
      <c r="E120" t="s">
        <v>98</v>
      </c>
      <c r="F120" t="s">
        <v>189</v>
      </c>
      <c r="G120" t="s">
        <v>154</v>
      </c>
      <c r="H120" t="s">
        <v>178</v>
      </c>
      <c r="I120">
        <v>2</v>
      </c>
      <c r="J120">
        <v>54.99</v>
      </c>
      <c r="K120">
        <v>0.1</v>
      </c>
      <c r="L120" t="s">
        <v>69</v>
      </c>
      <c r="M120" t="s">
        <v>92</v>
      </c>
      <c r="N120" t="s">
        <v>50</v>
      </c>
      <c r="O120" t="s">
        <v>87</v>
      </c>
    </row>
    <row r="121" spans="1:15" x14ac:dyDescent="0.25">
      <c r="A121" t="s">
        <v>424</v>
      </c>
      <c r="B121" s="3">
        <v>45369</v>
      </c>
      <c r="C121" t="s">
        <v>426</v>
      </c>
      <c r="D121" t="s">
        <v>212</v>
      </c>
      <c r="E121" t="s">
        <v>98</v>
      </c>
      <c r="F121" t="s">
        <v>118</v>
      </c>
      <c r="G121" t="s">
        <v>21</v>
      </c>
      <c r="H121" t="s">
        <v>195</v>
      </c>
      <c r="I121">
        <v>8</v>
      </c>
      <c r="J121">
        <v>146.44</v>
      </c>
      <c r="L121" t="s">
        <v>102</v>
      </c>
      <c r="M121" t="s">
        <v>60</v>
      </c>
      <c r="N121" t="s">
        <v>111</v>
      </c>
      <c r="O121" t="s">
        <v>51</v>
      </c>
    </row>
    <row r="122" spans="1:15" x14ac:dyDescent="0.25">
      <c r="A122" t="s">
        <v>512</v>
      </c>
      <c r="B122" s="3">
        <v>45490</v>
      </c>
      <c r="C122" t="s">
        <v>216</v>
      </c>
      <c r="D122" t="s">
        <v>175</v>
      </c>
      <c r="E122" t="s">
        <v>76</v>
      </c>
      <c r="F122" t="s">
        <v>136</v>
      </c>
      <c r="G122" t="s">
        <v>78</v>
      </c>
      <c r="H122" t="s">
        <v>200</v>
      </c>
      <c r="I122">
        <v>3</v>
      </c>
      <c r="J122">
        <v>330.15</v>
      </c>
      <c r="K122">
        <v>0</v>
      </c>
      <c r="L122" t="s">
        <v>237</v>
      </c>
      <c r="M122" t="s">
        <v>25</v>
      </c>
      <c r="N122" t="s">
        <v>26</v>
      </c>
      <c r="O122" t="s">
        <v>112</v>
      </c>
    </row>
    <row r="123" spans="1:15" x14ac:dyDescent="0.25">
      <c r="A123" t="s">
        <v>514</v>
      </c>
      <c r="B123" s="3"/>
      <c r="C123" t="s">
        <v>516</v>
      </c>
      <c r="D123" t="s">
        <v>285</v>
      </c>
      <c r="E123" t="s">
        <v>32</v>
      </c>
      <c r="F123" t="s">
        <v>91</v>
      </c>
      <c r="G123" t="s">
        <v>220</v>
      </c>
      <c r="H123" t="s">
        <v>48</v>
      </c>
      <c r="I123">
        <v>10</v>
      </c>
      <c r="J123">
        <v>224.17</v>
      </c>
      <c r="K123">
        <v>0.05</v>
      </c>
      <c r="L123" t="s">
        <v>237</v>
      </c>
      <c r="M123" t="s">
        <v>170</v>
      </c>
      <c r="N123" t="s">
        <v>50</v>
      </c>
      <c r="O123" t="s">
        <v>126</v>
      </c>
    </row>
    <row r="124" spans="1:15" x14ac:dyDescent="0.25">
      <c r="A124" t="s">
        <v>517</v>
      </c>
      <c r="B124" s="3">
        <v>45419</v>
      </c>
      <c r="C124" t="s">
        <v>519</v>
      </c>
      <c r="D124" t="s">
        <v>97</v>
      </c>
      <c r="E124" t="s">
        <v>65</v>
      </c>
      <c r="F124" t="s">
        <v>153</v>
      </c>
      <c r="G124" t="s">
        <v>57</v>
      </c>
      <c r="H124" t="s">
        <v>48</v>
      </c>
      <c r="I124">
        <v>3</v>
      </c>
      <c r="J124">
        <v>25.71</v>
      </c>
      <c r="K124">
        <v>0</v>
      </c>
      <c r="L124" t="s">
        <v>139</v>
      </c>
      <c r="M124" t="s">
        <v>25</v>
      </c>
    </row>
    <row r="125" spans="1:15" x14ac:dyDescent="0.25">
      <c r="A125" t="s">
        <v>520</v>
      </c>
      <c r="B125" s="3">
        <v>45495</v>
      </c>
      <c r="C125" t="s">
        <v>522</v>
      </c>
      <c r="D125" t="s">
        <v>334</v>
      </c>
      <c r="E125" t="s">
        <v>45</v>
      </c>
      <c r="F125" t="s">
        <v>77</v>
      </c>
      <c r="G125" t="s">
        <v>236</v>
      </c>
      <c r="H125" t="s">
        <v>200</v>
      </c>
      <c r="I125">
        <v>11</v>
      </c>
      <c r="J125">
        <v>299.55</v>
      </c>
      <c r="K125">
        <v>0</v>
      </c>
      <c r="L125" t="s">
        <v>180</v>
      </c>
      <c r="M125" t="s">
        <v>165</v>
      </c>
      <c r="N125" t="s">
        <v>26</v>
      </c>
    </row>
    <row r="126" spans="1:15" x14ac:dyDescent="0.25">
      <c r="A126" t="s">
        <v>523</v>
      </c>
      <c r="B126" s="3">
        <v>45414</v>
      </c>
      <c r="C126" t="s">
        <v>525</v>
      </c>
      <c r="D126" t="s">
        <v>212</v>
      </c>
      <c r="E126" t="s">
        <v>98</v>
      </c>
      <c r="F126" t="s">
        <v>136</v>
      </c>
      <c r="G126" t="s">
        <v>78</v>
      </c>
      <c r="H126" t="s">
        <v>68</v>
      </c>
      <c r="I126">
        <v>10</v>
      </c>
      <c r="J126">
        <v>54.12</v>
      </c>
      <c r="K126">
        <v>0.1</v>
      </c>
      <c r="L126" t="s">
        <v>132</v>
      </c>
      <c r="M126" t="s">
        <v>60</v>
      </c>
      <c r="N126" t="s">
        <v>111</v>
      </c>
      <c r="O126" t="s">
        <v>93</v>
      </c>
    </row>
    <row r="127" spans="1:15" x14ac:dyDescent="0.25">
      <c r="A127" t="s">
        <v>526</v>
      </c>
      <c r="B127" s="3">
        <v>45580</v>
      </c>
      <c r="C127" t="s">
        <v>528</v>
      </c>
      <c r="D127" t="s">
        <v>18</v>
      </c>
      <c r="E127" t="s">
        <v>19</v>
      </c>
      <c r="F127" t="s">
        <v>20</v>
      </c>
      <c r="G127" t="s">
        <v>131</v>
      </c>
      <c r="H127" t="s">
        <v>35</v>
      </c>
      <c r="I127">
        <v>3</v>
      </c>
      <c r="J127">
        <v>153.5</v>
      </c>
      <c r="K127">
        <v>0</v>
      </c>
      <c r="L127" t="s">
        <v>143</v>
      </c>
      <c r="M127" t="s">
        <v>38</v>
      </c>
      <c r="N127" t="s">
        <v>26</v>
      </c>
      <c r="O127" t="s">
        <v>27</v>
      </c>
    </row>
    <row r="128" spans="1:15" x14ac:dyDescent="0.25">
      <c r="A128" t="s">
        <v>529</v>
      </c>
      <c r="B128" s="3"/>
      <c r="C128" t="s">
        <v>531</v>
      </c>
      <c r="D128" t="s">
        <v>152</v>
      </c>
      <c r="E128" t="s">
        <v>19</v>
      </c>
      <c r="F128" t="s">
        <v>136</v>
      </c>
      <c r="G128" t="s">
        <v>236</v>
      </c>
      <c r="H128" t="s">
        <v>178</v>
      </c>
      <c r="I128">
        <v>1</v>
      </c>
      <c r="J128">
        <v>114.89</v>
      </c>
      <c r="K128">
        <v>0.2</v>
      </c>
      <c r="L128" t="s">
        <v>24</v>
      </c>
      <c r="M128" t="s">
        <v>38</v>
      </c>
      <c r="N128" t="s">
        <v>71</v>
      </c>
      <c r="O128" t="s">
        <v>93</v>
      </c>
    </row>
    <row r="129" spans="1:15" x14ac:dyDescent="0.25">
      <c r="A129" t="s">
        <v>532</v>
      </c>
      <c r="B129" s="3">
        <v>45570</v>
      </c>
      <c r="C129" t="s">
        <v>534</v>
      </c>
      <c r="D129" t="s">
        <v>334</v>
      </c>
      <c r="E129" t="s">
        <v>125</v>
      </c>
      <c r="F129" t="s">
        <v>189</v>
      </c>
      <c r="G129" t="s">
        <v>148</v>
      </c>
      <c r="H129" t="s">
        <v>178</v>
      </c>
      <c r="I129">
        <v>10</v>
      </c>
      <c r="J129">
        <v>311.76</v>
      </c>
      <c r="K129">
        <v>0.05</v>
      </c>
      <c r="L129" t="s">
        <v>24</v>
      </c>
      <c r="M129" t="s">
        <v>38</v>
      </c>
      <c r="O129" t="s">
        <v>171</v>
      </c>
    </row>
    <row r="130" spans="1:15" x14ac:dyDescent="0.25">
      <c r="A130" t="s">
        <v>535</v>
      </c>
      <c r="B130" s="3">
        <v>45548</v>
      </c>
      <c r="C130" t="s">
        <v>528</v>
      </c>
      <c r="D130" t="s">
        <v>212</v>
      </c>
      <c r="E130" t="s">
        <v>98</v>
      </c>
      <c r="F130" t="s">
        <v>99</v>
      </c>
      <c r="G130" t="s">
        <v>164</v>
      </c>
      <c r="H130" t="s">
        <v>195</v>
      </c>
      <c r="I130">
        <v>11</v>
      </c>
      <c r="J130">
        <v>150.28</v>
      </c>
      <c r="L130" t="s">
        <v>37</v>
      </c>
      <c r="M130" t="s">
        <v>70</v>
      </c>
      <c r="N130" t="s">
        <v>71</v>
      </c>
      <c r="O130" t="s">
        <v>93</v>
      </c>
    </row>
    <row r="131" spans="1:15" x14ac:dyDescent="0.25">
      <c r="A131" t="s">
        <v>538</v>
      </c>
      <c r="B131" s="3">
        <v>45588</v>
      </c>
      <c r="C131" t="s">
        <v>540</v>
      </c>
      <c r="D131" t="s">
        <v>285</v>
      </c>
      <c r="E131" t="s">
        <v>32</v>
      </c>
      <c r="F131" t="s">
        <v>33</v>
      </c>
      <c r="G131" t="s">
        <v>107</v>
      </c>
      <c r="H131" t="s">
        <v>48</v>
      </c>
      <c r="I131">
        <v>2</v>
      </c>
      <c r="J131">
        <v>38.92</v>
      </c>
      <c r="K131">
        <v>0.15</v>
      </c>
      <c r="L131" t="s">
        <v>180</v>
      </c>
      <c r="M131" t="s">
        <v>110</v>
      </c>
      <c r="N131" t="s">
        <v>111</v>
      </c>
      <c r="O131" t="s">
        <v>126</v>
      </c>
    </row>
    <row r="132" spans="1:15" x14ac:dyDescent="0.25">
      <c r="A132" t="s">
        <v>542</v>
      </c>
      <c r="B132" s="3"/>
      <c r="C132" t="s">
        <v>544</v>
      </c>
      <c r="D132" t="s">
        <v>55</v>
      </c>
      <c r="E132" t="s">
        <v>32</v>
      </c>
      <c r="F132" t="s">
        <v>46</v>
      </c>
      <c r="G132" t="s">
        <v>47</v>
      </c>
      <c r="H132" t="s">
        <v>178</v>
      </c>
      <c r="I132">
        <v>8</v>
      </c>
      <c r="J132">
        <v>351.37</v>
      </c>
      <c r="K132">
        <v>0.15</v>
      </c>
      <c r="L132" t="s">
        <v>59</v>
      </c>
      <c r="M132" t="s">
        <v>60</v>
      </c>
      <c r="N132" t="s">
        <v>26</v>
      </c>
    </row>
    <row r="133" spans="1:15" x14ac:dyDescent="0.25">
      <c r="A133" t="s">
        <v>545</v>
      </c>
      <c r="B133" s="3">
        <v>45370</v>
      </c>
      <c r="C133" t="s">
        <v>547</v>
      </c>
      <c r="D133" t="s">
        <v>152</v>
      </c>
      <c r="E133" t="s">
        <v>19</v>
      </c>
      <c r="F133" t="s">
        <v>46</v>
      </c>
      <c r="G133" t="s">
        <v>34</v>
      </c>
      <c r="H133" t="s">
        <v>35</v>
      </c>
      <c r="I133">
        <v>10</v>
      </c>
      <c r="J133">
        <v>113.56</v>
      </c>
      <c r="K133">
        <v>0</v>
      </c>
      <c r="L133" t="s">
        <v>237</v>
      </c>
      <c r="M133" t="s">
        <v>86</v>
      </c>
      <c r="N133" t="s">
        <v>39</v>
      </c>
      <c r="O133" t="s">
        <v>51</v>
      </c>
    </row>
    <row r="134" spans="1:15" x14ac:dyDescent="0.25">
      <c r="A134" t="s">
        <v>548</v>
      </c>
      <c r="B134" s="3">
        <v>45475</v>
      </c>
      <c r="C134" t="s">
        <v>550</v>
      </c>
      <c r="D134" t="s">
        <v>188</v>
      </c>
      <c r="E134" t="s">
        <v>199</v>
      </c>
      <c r="F134" t="s">
        <v>184</v>
      </c>
      <c r="G134" t="s">
        <v>34</v>
      </c>
      <c r="H134" t="s">
        <v>178</v>
      </c>
      <c r="I134">
        <v>5</v>
      </c>
      <c r="J134">
        <v>353.5</v>
      </c>
      <c r="K134">
        <v>0.15</v>
      </c>
      <c r="L134" t="s">
        <v>24</v>
      </c>
      <c r="M134" t="s">
        <v>60</v>
      </c>
      <c r="N134" t="s">
        <v>111</v>
      </c>
      <c r="O134" t="s">
        <v>112</v>
      </c>
    </row>
    <row r="135" spans="1:15" x14ac:dyDescent="0.25">
      <c r="A135" t="s">
        <v>552</v>
      </c>
      <c r="B135" s="3">
        <v>45612</v>
      </c>
      <c r="C135" t="s">
        <v>554</v>
      </c>
      <c r="D135" t="s">
        <v>152</v>
      </c>
      <c r="E135" t="s">
        <v>117</v>
      </c>
      <c r="F135" t="s">
        <v>267</v>
      </c>
      <c r="G135" t="s">
        <v>137</v>
      </c>
      <c r="H135" t="s">
        <v>195</v>
      </c>
      <c r="I135">
        <v>8</v>
      </c>
      <c r="J135">
        <v>92.01</v>
      </c>
      <c r="K135">
        <v>0.05</v>
      </c>
      <c r="L135" t="s">
        <v>102</v>
      </c>
      <c r="M135" t="s">
        <v>25</v>
      </c>
      <c r="N135" t="s">
        <v>71</v>
      </c>
      <c r="O135" t="s">
        <v>27</v>
      </c>
    </row>
    <row r="136" spans="1:15" x14ac:dyDescent="0.25">
      <c r="A136" t="s">
        <v>555</v>
      </c>
      <c r="B136" s="3">
        <v>45507</v>
      </c>
      <c r="C136" t="s">
        <v>557</v>
      </c>
      <c r="D136" t="s">
        <v>152</v>
      </c>
      <c r="E136" t="s">
        <v>19</v>
      </c>
      <c r="F136" t="s">
        <v>235</v>
      </c>
      <c r="G136" t="s">
        <v>137</v>
      </c>
      <c r="H136" t="s">
        <v>48</v>
      </c>
      <c r="I136">
        <v>3</v>
      </c>
      <c r="J136">
        <v>450.3</v>
      </c>
      <c r="L136" t="s">
        <v>24</v>
      </c>
      <c r="M136" t="s">
        <v>70</v>
      </c>
      <c r="N136" t="s">
        <v>71</v>
      </c>
    </row>
    <row r="137" spans="1:15" x14ac:dyDescent="0.25">
      <c r="A137" t="s">
        <v>558</v>
      </c>
      <c r="B137" s="3">
        <v>45330</v>
      </c>
      <c r="C137" t="s">
        <v>560</v>
      </c>
      <c r="D137" t="s">
        <v>97</v>
      </c>
      <c r="E137" t="s">
        <v>65</v>
      </c>
      <c r="F137" t="s">
        <v>189</v>
      </c>
      <c r="G137" t="s">
        <v>57</v>
      </c>
      <c r="H137" t="s">
        <v>195</v>
      </c>
      <c r="I137">
        <v>6</v>
      </c>
      <c r="J137">
        <v>199.51</v>
      </c>
      <c r="L137" t="s">
        <v>59</v>
      </c>
      <c r="M137" t="s">
        <v>92</v>
      </c>
      <c r="N137" t="s">
        <v>111</v>
      </c>
      <c r="O137" t="s">
        <v>112</v>
      </c>
    </row>
    <row r="138" spans="1:15" x14ac:dyDescent="0.25">
      <c r="A138" t="s">
        <v>561</v>
      </c>
      <c r="B138" s="3">
        <v>45535</v>
      </c>
      <c r="C138" t="s">
        <v>382</v>
      </c>
      <c r="D138" t="s">
        <v>31</v>
      </c>
      <c r="E138" t="s">
        <v>76</v>
      </c>
      <c r="F138" t="s">
        <v>176</v>
      </c>
      <c r="G138" t="s">
        <v>177</v>
      </c>
      <c r="H138" t="s">
        <v>108</v>
      </c>
      <c r="I138">
        <v>10</v>
      </c>
      <c r="J138">
        <v>487.05</v>
      </c>
      <c r="K138">
        <v>0.05</v>
      </c>
      <c r="L138" t="s">
        <v>24</v>
      </c>
      <c r="M138" t="s">
        <v>70</v>
      </c>
      <c r="N138" t="s">
        <v>26</v>
      </c>
      <c r="O138" t="s">
        <v>126</v>
      </c>
    </row>
    <row r="139" spans="1:15" x14ac:dyDescent="0.25">
      <c r="A139" t="s">
        <v>563</v>
      </c>
      <c r="B139" s="3">
        <v>45440</v>
      </c>
      <c r="C139" t="s">
        <v>565</v>
      </c>
      <c r="D139" t="s">
        <v>285</v>
      </c>
      <c r="E139" t="s">
        <v>199</v>
      </c>
      <c r="F139" t="s">
        <v>33</v>
      </c>
      <c r="G139" t="s">
        <v>107</v>
      </c>
      <c r="H139" t="s">
        <v>48</v>
      </c>
      <c r="I139">
        <v>5</v>
      </c>
      <c r="J139">
        <v>499.37</v>
      </c>
      <c r="K139">
        <v>0.1</v>
      </c>
      <c r="L139" t="s">
        <v>69</v>
      </c>
      <c r="M139" t="s">
        <v>25</v>
      </c>
      <c r="N139" t="s">
        <v>26</v>
      </c>
      <c r="O139" t="s">
        <v>87</v>
      </c>
    </row>
    <row r="140" spans="1:15" x14ac:dyDescent="0.25">
      <c r="A140" t="s">
        <v>566</v>
      </c>
      <c r="B140" s="3">
        <v>45602</v>
      </c>
      <c r="C140" t="s">
        <v>568</v>
      </c>
      <c r="D140" t="s">
        <v>188</v>
      </c>
      <c r="E140" t="s">
        <v>76</v>
      </c>
      <c r="F140" t="s">
        <v>91</v>
      </c>
      <c r="G140" t="s">
        <v>100</v>
      </c>
      <c r="H140" t="s">
        <v>200</v>
      </c>
      <c r="I140">
        <v>3</v>
      </c>
      <c r="J140">
        <v>61.62</v>
      </c>
      <c r="K140">
        <v>0.1</v>
      </c>
      <c r="L140" t="s">
        <v>237</v>
      </c>
      <c r="M140" t="s">
        <v>170</v>
      </c>
      <c r="N140" t="s">
        <v>111</v>
      </c>
      <c r="O140" t="s">
        <v>27</v>
      </c>
    </row>
    <row r="141" spans="1:15" x14ac:dyDescent="0.25">
      <c r="A141" t="s">
        <v>569</v>
      </c>
      <c r="B141" s="3">
        <v>45467</v>
      </c>
      <c r="C141" t="s">
        <v>571</v>
      </c>
      <c r="D141" t="s">
        <v>75</v>
      </c>
      <c r="E141" t="s">
        <v>199</v>
      </c>
      <c r="F141" t="s">
        <v>189</v>
      </c>
      <c r="G141" t="s">
        <v>57</v>
      </c>
      <c r="H141" t="s">
        <v>35</v>
      </c>
      <c r="I141">
        <v>6</v>
      </c>
      <c r="J141">
        <v>9.81</v>
      </c>
      <c r="L141" t="s">
        <v>180</v>
      </c>
      <c r="M141" t="s">
        <v>165</v>
      </c>
      <c r="O141" t="s">
        <v>93</v>
      </c>
    </row>
    <row r="142" spans="1:15" x14ac:dyDescent="0.25">
      <c r="A142" t="s">
        <v>572</v>
      </c>
      <c r="B142" s="3">
        <v>45608</v>
      </c>
      <c r="C142" t="s">
        <v>573</v>
      </c>
      <c r="D142" t="s">
        <v>212</v>
      </c>
      <c r="E142" t="s">
        <v>65</v>
      </c>
      <c r="F142" t="s">
        <v>235</v>
      </c>
      <c r="G142" t="s">
        <v>318</v>
      </c>
      <c r="H142" t="s">
        <v>68</v>
      </c>
      <c r="I142">
        <v>5</v>
      </c>
      <c r="J142">
        <v>54.99</v>
      </c>
      <c r="K142">
        <v>0.05</v>
      </c>
      <c r="L142" t="s">
        <v>69</v>
      </c>
      <c r="M142" t="s">
        <v>60</v>
      </c>
      <c r="N142" t="s">
        <v>26</v>
      </c>
      <c r="O142" t="s">
        <v>171</v>
      </c>
    </row>
    <row r="143" spans="1:15" x14ac:dyDescent="0.25">
      <c r="A143" t="s">
        <v>574</v>
      </c>
      <c r="B143" s="3">
        <v>45458</v>
      </c>
      <c r="C143" t="s">
        <v>576</v>
      </c>
      <c r="D143" t="s">
        <v>55</v>
      </c>
      <c r="E143" t="s">
        <v>199</v>
      </c>
      <c r="F143" t="s">
        <v>20</v>
      </c>
      <c r="G143" t="s">
        <v>213</v>
      </c>
      <c r="H143" t="s">
        <v>35</v>
      </c>
      <c r="I143">
        <v>2</v>
      </c>
      <c r="J143">
        <v>353.43</v>
      </c>
      <c r="L143" t="s">
        <v>260</v>
      </c>
      <c r="M143" t="s">
        <v>86</v>
      </c>
      <c r="N143" t="s">
        <v>39</v>
      </c>
      <c r="O143" t="s">
        <v>171</v>
      </c>
    </row>
    <row r="144" spans="1:15" x14ac:dyDescent="0.25">
      <c r="A144" t="s">
        <v>578</v>
      </c>
      <c r="B144" s="3"/>
      <c r="C144" t="s">
        <v>147</v>
      </c>
      <c r="D144" t="s">
        <v>334</v>
      </c>
      <c r="E144" t="s">
        <v>45</v>
      </c>
      <c r="F144" t="s">
        <v>66</v>
      </c>
      <c r="G144" t="s">
        <v>330</v>
      </c>
      <c r="H144" t="s">
        <v>58</v>
      </c>
      <c r="I144">
        <v>12</v>
      </c>
      <c r="J144">
        <v>392.28</v>
      </c>
      <c r="K144">
        <v>0.05</v>
      </c>
      <c r="L144" t="s">
        <v>260</v>
      </c>
      <c r="M144" t="s">
        <v>208</v>
      </c>
      <c r="O144" t="s">
        <v>126</v>
      </c>
    </row>
    <row r="145" spans="1:15" x14ac:dyDescent="0.25">
      <c r="A145" t="s">
        <v>579</v>
      </c>
      <c r="B145" s="3">
        <v>45341</v>
      </c>
      <c r="C145" t="s">
        <v>581</v>
      </c>
      <c r="D145" t="s">
        <v>75</v>
      </c>
      <c r="E145" t="s">
        <v>32</v>
      </c>
      <c r="F145" t="s">
        <v>298</v>
      </c>
      <c r="G145" t="s">
        <v>264</v>
      </c>
      <c r="H145" t="s">
        <v>108</v>
      </c>
      <c r="I145">
        <v>9</v>
      </c>
      <c r="K145">
        <v>0.05</v>
      </c>
      <c r="L145" t="s">
        <v>139</v>
      </c>
      <c r="M145" t="s">
        <v>201</v>
      </c>
      <c r="N145" t="s">
        <v>39</v>
      </c>
      <c r="O145" t="s">
        <v>93</v>
      </c>
    </row>
    <row r="146" spans="1:15" x14ac:dyDescent="0.25">
      <c r="A146" t="s">
        <v>582</v>
      </c>
      <c r="B146" s="3">
        <v>45461</v>
      </c>
      <c r="C146" t="s">
        <v>584</v>
      </c>
      <c r="D146" t="s">
        <v>44</v>
      </c>
      <c r="E146" t="s">
        <v>45</v>
      </c>
      <c r="F146" t="s">
        <v>106</v>
      </c>
      <c r="G146" t="s">
        <v>34</v>
      </c>
      <c r="H146" t="s">
        <v>22</v>
      </c>
      <c r="I146">
        <v>11</v>
      </c>
      <c r="J146">
        <v>148.87</v>
      </c>
      <c r="L146" t="s">
        <v>37</v>
      </c>
      <c r="M146" t="s">
        <v>110</v>
      </c>
      <c r="N146" t="s">
        <v>50</v>
      </c>
      <c r="O146" t="s">
        <v>112</v>
      </c>
    </row>
    <row r="147" spans="1:15" x14ac:dyDescent="0.25">
      <c r="A147" t="s">
        <v>586</v>
      </c>
      <c r="B147" s="3">
        <v>45501</v>
      </c>
      <c r="C147" t="s">
        <v>588</v>
      </c>
      <c r="D147" t="s">
        <v>97</v>
      </c>
      <c r="E147" t="s">
        <v>98</v>
      </c>
      <c r="F147" t="s">
        <v>91</v>
      </c>
      <c r="G147" t="s">
        <v>100</v>
      </c>
      <c r="H147" t="s">
        <v>68</v>
      </c>
      <c r="I147">
        <v>4</v>
      </c>
      <c r="J147">
        <v>495.54</v>
      </c>
      <c r="K147">
        <v>0.1</v>
      </c>
      <c r="L147" t="s">
        <v>139</v>
      </c>
      <c r="M147" t="s">
        <v>92</v>
      </c>
      <c r="N147" t="s">
        <v>50</v>
      </c>
      <c r="O147" t="s">
        <v>126</v>
      </c>
    </row>
    <row r="148" spans="1:15" x14ac:dyDescent="0.25">
      <c r="A148" t="s">
        <v>589</v>
      </c>
      <c r="B148" s="3">
        <v>45358</v>
      </c>
      <c r="C148" t="s">
        <v>591</v>
      </c>
      <c r="D148" t="s">
        <v>44</v>
      </c>
      <c r="E148" t="s">
        <v>125</v>
      </c>
      <c r="F148" t="s">
        <v>56</v>
      </c>
      <c r="G148" t="s">
        <v>330</v>
      </c>
      <c r="H148" t="s">
        <v>68</v>
      </c>
      <c r="I148">
        <v>8</v>
      </c>
      <c r="J148">
        <v>381.79</v>
      </c>
      <c r="K148">
        <v>0.15</v>
      </c>
      <c r="L148" t="s">
        <v>237</v>
      </c>
      <c r="M148" t="s">
        <v>144</v>
      </c>
      <c r="N148" t="s">
        <v>39</v>
      </c>
      <c r="O148" t="s">
        <v>51</v>
      </c>
    </row>
    <row r="149" spans="1:15" x14ac:dyDescent="0.25">
      <c r="A149" t="s">
        <v>593</v>
      </c>
      <c r="B149" s="3">
        <v>45493</v>
      </c>
      <c r="C149" t="s">
        <v>595</v>
      </c>
      <c r="D149" t="s">
        <v>258</v>
      </c>
      <c r="E149" t="s">
        <v>45</v>
      </c>
      <c r="F149" t="s">
        <v>77</v>
      </c>
      <c r="G149" t="s">
        <v>236</v>
      </c>
      <c r="H149" t="s">
        <v>108</v>
      </c>
      <c r="I149">
        <v>11</v>
      </c>
      <c r="J149">
        <v>205.14</v>
      </c>
      <c r="K149">
        <v>0.05</v>
      </c>
      <c r="L149" t="s">
        <v>79</v>
      </c>
      <c r="M149" t="s">
        <v>201</v>
      </c>
      <c r="N149" t="s">
        <v>39</v>
      </c>
      <c r="O149" t="s">
        <v>126</v>
      </c>
    </row>
    <row r="150" spans="1:15" x14ac:dyDescent="0.25">
      <c r="A150" t="s">
        <v>597</v>
      </c>
      <c r="B150" s="3">
        <v>45539</v>
      </c>
      <c r="C150" t="s">
        <v>599</v>
      </c>
      <c r="D150" t="s">
        <v>162</v>
      </c>
      <c r="E150" t="s">
        <v>19</v>
      </c>
      <c r="F150" t="s">
        <v>46</v>
      </c>
      <c r="G150" t="s">
        <v>323</v>
      </c>
      <c r="H150" t="s">
        <v>48</v>
      </c>
      <c r="I150">
        <v>7</v>
      </c>
      <c r="J150">
        <v>307.88</v>
      </c>
      <c r="K150">
        <v>0.05</v>
      </c>
      <c r="L150" t="s">
        <v>69</v>
      </c>
      <c r="M150" t="s">
        <v>201</v>
      </c>
      <c r="N150" t="s">
        <v>26</v>
      </c>
    </row>
    <row r="151" spans="1:15" x14ac:dyDescent="0.25">
      <c r="A151" t="s">
        <v>600</v>
      </c>
      <c r="B151" s="3">
        <v>45639</v>
      </c>
      <c r="C151" t="s">
        <v>602</v>
      </c>
      <c r="D151" t="s">
        <v>194</v>
      </c>
      <c r="E151" t="s">
        <v>65</v>
      </c>
      <c r="F151" t="s">
        <v>153</v>
      </c>
      <c r="G151" t="s">
        <v>154</v>
      </c>
      <c r="H151" t="s">
        <v>108</v>
      </c>
      <c r="I151">
        <v>9</v>
      </c>
      <c r="J151">
        <v>271.69</v>
      </c>
      <c r="K151">
        <v>0.1</v>
      </c>
      <c r="L151" t="s">
        <v>79</v>
      </c>
      <c r="M151" t="s">
        <v>92</v>
      </c>
      <c r="N151" t="s">
        <v>26</v>
      </c>
      <c r="O151" t="s">
        <v>112</v>
      </c>
    </row>
    <row r="152" spans="1:15" x14ac:dyDescent="0.25">
      <c r="A152" t="s">
        <v>603</v>
      </c>
      <c r="B152" s="3"/>
      <c r="C152" t="s">
        <v>605</v>
      </c>
      <c r="D152" t="s">
        <v>258</v>
      </c>
      <c r="E152" t="s">
        <v>125</v>
      </c>
      <c r="F152" t="s">
        <v>56</v>
      </c>
      <c r="G152" t="s">
        <v>57</v>
      </c>
      <c r="H152" t="s">
        <v>108</v>
      </c>
      <c r="I152">
        <v>10</v>
      </c>
      <c r="J152">
        <v>442.25</v>
      </c>
      <c r="K152">
        <v>0</v>
      </c>
      <c r="L152" t="s">
        <v>132</v>
      </c>
      <c r="M152" t="s">
        <v>60</v>
      </c>
      <c r="N152" t="s">
        <v>71</v>
      </c>
      <c r="O152" t="s">
        <v>87</v>
      </c>
    </row>
    <row r="153" spans="1:15" x14ac:dyDescent="0.25">
      <c r="A153" t="s">
        <v>607</v>
      </c>
      <c r="B153" s="3">
        <v>45567</v>
      </c>
      <c r="C153" t="s">
        <v>608</v>
      </c>
      <c r="D153" t="s">
        <v>194</v>
      </c>
      <c r="E153" t="s">
        <v>65</v>
      </c>
      <c r="F153" t="s">
        <v>66</v>
      </c>
      <c r="G153" t="s">
        <v>330</v>
      </c>
      <c r="H153" t="s">
        <v>48</v>
      </c>
      <c r="I153">
        <v>7</v>
      </c>
      <c r="J153">
        <v>280.86</v>
      </c>
      <c r="L153" t="s">
        <v>24</v>
      </c>
      <c r="M153" t="s">
        <v>170</v>
      </c>
    </row>
    <row r="154" spans="1:15" x14ac:dyDescent="0.25">
      <c r="A154" t="s">
        <v>610</v>
      </c>
      <c r="B154" s="3">
        <v>45638</v>
      </c>
      <c r="C154" t="s">
        <v>612</v>
      </c>
      <c r="D154" t="s">
        <v>97</v>
      </c>
      <c r="E154" t="s">
        <v>98</v>
      </c>
      <c r="F154" t="s">
        <v>163</v>
      </c>
      <c r="G154" t="s">
        <v>164</v>
      </c>
      <c r="H154" t="s">
        <v>195</v>
      </c>
      <c r="I154">
        <v>11</v>
      </c>
      <c r="J154">
        <v>204.19</v>
      </c>
      <c r="L154" t="s">
        <v>69</v>
      </c>
      <c r="M154" t="s">
        <v>158</v>
      </c>
      <c r="N154" t="s">
        <v>50</v>
      </c>
      <c r="O154" t="s">
        <v>171</v>
      </c>
    </row>
    <row r="155" spans="1:15" x14ac:dyDescent="0.25">
      <c r="A155" t="s">
        <v>613</v>
      </c>
      <c r="B155" s="3"/>
      <c r="C155" t="s">
        <v>615</v>
      </c>
      <c r="D155" t="s">
        <v>124</v>
      </c>
      <c r="E155" t="s">
        <v>125</v>
      </c>
      <c r="F155" t="s">
        <v>83</v>
      </c>
      <c r="G155" t="s">
        <v>100</v>
      </c>
      <c r="H155" t="s">
        <v>48</v>
      </c>
      <c r="I155">
        <v>2</v>
      </c>
      <c r="J155">
        <v>217.11</v>
      </c>
      <c r="L155" t="s">
        <v>79</v>
      </c>
      <c r="M155" t="s">
        <v>92</v>
      </c>
      <c r="N155" t="s">
        <v>39</v>
      </c>
      <c r="O155" t="s">
        <v>112</v>
      </c>
    </row>
    <row r="156" spans="1:15" x14ac:dyDescent="0.25">
      <c r="A156" t="s">
        <v>616</v>
      </c>
      <c r="B156" s="3"/>
      <c r="C156" t="s">
        <v>618</v>
      </c>
      <c r="D156" t="s">
        <v>64</v>
      </c>
      <c r="E156" t="s">
        <v>65</v>
      </c>
      <c r="F156" t="s">
        <v>153</v>
      </c>
      <c r="G156" t="s">
        <v>154</v>
      </c>
      <c r="H156" t="s">
        <v>195</v>
      </c>
      <c r="I156">
        <v>8</v>
      </c>
      <c r="J156">
        <v>20.420000000000002</v>
      </c>
      <c r="K156">
        <v>0.15</v>
      </c>
      <c r="L156" t="s">
        <v>132</v>
      </c>
      <c r="M156" t="s">
        <v>60</v>
      </c>
      <c r="N156" t="s">
        <v>50</v>
      </c>
      <c r="O156" t="s">
        <v>27</v>
      </c>
    </row>
    <row r="157" spans="1:15" x14ac:dyDescent="0.25">
      <c r="A157" t="s">
        <v>619</v>
      </c>
      <c r="B157" s="3">
        <v>45411</v>
      </c>
      <c r="C157" t="s">
        <v>621</v>
      </c>
      <c r="D157" t="s">
        <v>116</v>
      </c>
      <c r="E157" t="s">
        <v>19</v>
      </c>
      <c r="F157" t="s">
        <v>46</v>
      </c>
      <c r="G157" t="s">
        <v>34</v>
      </c>
      <c r="H157" t="s">
        <v>195</v>
      </c>
      <c r="I157">
        <v>3</v>
      </c>
      <c r="J157">
        <v>371.74</v>
      </c>
      <c r="L157" t="s">
        <v>102</v>
      </c>
      <c r="M157" t="s">
        <v>25</v>
      </c>
      <c r="O157" t="s">
        <v>27</v>
      </c>
    </row>
    <row r="158" spans="1:15" x14ac:dyDescent="0.25">
      <c r="A158" t="s">
        <v>623</v>
      </c>
      <c r="B158" s="3">
        <v>45426</v>
      </c>
      <c r="C158" t="s">
        <v>625</v>
      </c>
      <c r="D158" t="s">
        <v>152</v>
      </c>
      <c r="E158" t="s">
        <v>117</v>
      </c>
      <c r="F158" t="s">
        <v>184</v>
      </c>
      <c r="G158" t="s">
        <v>323</v>
      </c>
      <c r="H158" t="s">
        <v>48</v>
      </c>
      <c r="I158">
        <v>11</v>
      </c>
      <c r="J158">
        <v>238.15</v>
      </c>
      <c r="L158" t="s">
        <v>79</v>
      </c>
      <c r="M158" t="s">
        <v>60</v>
      </c>
      <c r="N158" t="s">
        <v>39</v>
      </c>
      <c r="O158" t="s">
        <v>126</v>
      </c>
    </row>
    <row r="159" spans="1:15" x14ac:dyDescent="0.25">
      <c r="A159" t="s">
        <v>626</v>
      </c>
      <c r="B159" s="3">
        <v>45373</v>
      </c>
      <c r="C159" t="s">
        <v>628</v>
      </c>
      <c r="D159" t="s">
        <v>116</v>
      </c>
      <c r="E159" t="s">
        <v>117</v>
      </c>
      <c r="F159" t="s">
        <v>56</v>
      </c>
      <c r="G159" t="s">
        <v>154</v>
      </c>
      <c r="H159" t="s">
        <v>58</v>
      </c>
      <c r="I159">
        <v>5</v>
      </c>
      <c r="J159">
        <v>350.63</v>
      </c>
      <c r="K159">
        <v>0.2</v>
      </c>
      <c r="L159" t="s">
        <v>237</v>
      </c>
      <c r="M159" t="s">
        <v>25</v>
      </c>
      <c r="O159" t="s">
        <v>93</v>
      </c>
    </row>
    <row r="160" spans="1:15" x14ac:dyDescent="0.25">
      <c r="A160" t="s">
        <v>517</v>
      </c>
      <c r="B160" s="3">
        <v>45419</v>
      </c>
      <c r="C160" t="s">
        <v>519</v>
      </c>
      <c r="D160" t="s">
        <v>97</v>
      </c>
      <c r="E160" t="s">
        <v>65</v>
      </c>
      <c r="F160" t="s">
        <v>153</v>
      </c>
      <c r="G160" t="s">
        <v>57</v>
      </c>
      <c r="H160" t="s">
        <v>48</v>
      </c>
      <c r="I160">
        <v>3</v>
      </c>
      <c r="J160">
        <v>25.71</v>
      </c>
      <c r="K160">
        <v>0</v>
      </c>
      <c r="L160" t="s">
        <v>139</v>
      </c>
      <c r="M160" t="s">
        <v>25</v>
      </c>
    </row>
    <row r="161" spans="1:15" x14ac:dyDescent="0.25">
      <c r="A161" t="s">
        <v>630</v>
      </c>
      <c r="B161" s="3">
        <v>45514</v>
      </c>
      <c r="C161" t="s">
        <v>632</v>
      </c>
      <c r="D161" t="s">
        <v>152</v>
      </c>
      <c r="E161" t="s">
        <v>117</v>
      </c>
      <c r="F161" t="s">
        <v>298</v>
      </c>
      <c r="G161" t="s">
        <v>131</v>
      </c>
      <c r="H161" t="s">
        <v>108</v>
      </c>
      <c r="I161">
        <v>10</v>
      </c>
      <c r="J161">
        <v>478.89</v>
      </c>
      <c r="K161">
        <v>0.2</v>
      </c>
      <c r="L161" t="s">
        <v>139</v>
      </c>
      <c r="M161" t="s">
        <v>165</v>
      </c>
      <c r="O161" t="s">
        <v>93</v>
      </c>
    </row>
    <row r="162" spans="1:15" x14ac:dyDescent="0.25">
      <c r="A162" t="s">
        <v>633</v>
      </c>
      <c r="B162" s="3">
        <v>45443</v>
      </c>
      <c r="C162" t="s">
        <v>635</v>
      </c>
      <c r="D162" t="s">
        <v>175</v>
      </c>
      <c r="E162" t="s">
        <v>199</v>
      </c>
      <c r="F162" t="s">
        <v>163</v>
      </c>
      <c r="G162" t="s">
        <v>177</v>
      </c>
      <c r="H162" t="s">
        <v>35</v>
      </c>
      <c r="I162">
        <v>7</v>
      </c>
      <c r="J162">
        <v>20.260000000000002</v>
      </c>
      <c r="L162" t="s">
        <v>37</v>
      </c>
      <c r="M162" t="s">
        <v>165</v>
      </c>
      <c r="N162" t="s">
        <v>26</v>
      </c>
      <c r="O162" t="s">
        <v>171</v>
      </c>
    </row>
    <row r="163" spans="1:15" x14ac:dyDescent="0.25">
      <c r="A163" t="s">
        <v>637</v>
      </c>
      <c r="B163" s="3">
        <v>45476</v>
      </c>
      <c r="C163" t="s">
        <v>639</v>
      </c>
      <c r="D163" t="s">
        <v>152</v>
      </c>
      <c r="E163" t="s">
        <v>117</v>
      </c>
      <c r="F163" t="s">
        <v>298</v>
      </c>
      <c r="G163" t="s">
        <v>213</v>
      </c>
      <c r="H163" t="s">
        <v>108</v>
      </c>
      <c r="I163">
        <v>7</v>
      </c>
      <c r="J163">
        <v>36.619999999999997</v>
      </c>
      <c r="K163">
        <v>0</v>
      </c>
      <c r="L163" t="s">
        <v>59</v>
      </c>
      <c r="M163" t="s">
        <v>38</v>
      </c>
      <c r="N163" t="s">
        <v>26</v>
      </c>
      <c r="O163" t="s">
        <v>87</v>
      </c>
    </row>
    <row r="164" spans="1:15" x14ac:dyDescent="0.25">
      <c r="A164" t="s">
        <v>640</v>
      </c>
      <c r="B164" s="3">
        <v>45601</v>
      </c>
      <c r="C164" t="s">
        <v>642</v>
      </c>
      <c r="D164" t="s">
        <v>212</v>
      </c>
      <c r="E164" t="s">
        <v>98</v>
      </c>
      <c r="F164" t="s">
        <v>267</v>
      </c>
      <c r="G164" t="s">
        <v>137</v>
      </c>
      <c r="H164" t="s">
        <v>178</v>
      </c>
      <c r="I164">
        <v>8</v>
      </c>
      <c r="J164">
        <v>13.8</v>
      </c>
      <c r="L164" t="s">
        <v>102</v>
      </c>
      <c r="M164" t="s">
        <v>86</v>
      </c>
      <c r="N164" t="s">
        <v>39</v>
      </c>
      <c r="O164" t="s">
        <v>171</v>
      </c>
    </row>
    <row r="165" spans="1:15" x14ac:dyDescent="0.25">
      <c r="A165" t="s">
        <v>643</v>
      </c>
      <c r="B165" s="3">
        <v>45586</v>
      </c>
      <c r="C165" t="s">
        <v>644</v>
      </c>
      <c r="D165" t="s">
        <v>152</v>
      </c>
      <c r="E165" t="s">
        <v>19</v>
      </c>
      <c r="F165" t="s">
        <v>130</v>
      </c>
      <c r="G165" t="s">
        <v>119</v>
      </c>
      <c r="H165" t="s">
        <v>195</v>
      </c>
      <c r="I165">
        <v>8</v>
      </c>
      <c r="J165">
        <v>103.61</v>
      </c>
      <c r="K165">
        <v>0.05</v>
      </c>
      <c r="L165" t="s">
        <v>69</v>
      </c>
      <c r="M165" t="s">
        <v>110</v>
      </c>
      <c r="N165" t="s">
        <v>71</v>
      </c>
      <c r="O165" t="s">
        <v>171</v>
      </c>
    </row>
    <row r="166" spans="1:15" x14ac:dyDescent="0.25">
      <c r="A166" t="s">
        <v>645</v>
      </c>
      <c r="B166" s="3">
        <v>45657</v>
      </c>
      <c r="C166" t="s">
        <v>647</v>
      </c>
      <c r="D166" t="s">
        <v>152</v>
      </c>
      <c r="E166" t="s">
        <v>117</v>
      </c>
      <c r="F166" t="s">
        <v>130</v>
      </c>
      <c r="G166" t="s">
        <v>131</v>
      </c>
      <c r="H166" t="s">
        <v>178</v>
      </c>
      <c r="I166">
        <v>10</v>
      </c>
      <c r="J166">
        <v>192.95</v>
      </c>
      <c r="K166">
        <v>0.05</v>
      </c>
      <c r="L166" t="s">
        <v>260</v>
      </c>
      <c r="M166" t="s">
        <v>86</v>
      </c>
      <c r="N166" t="s">
        <v>71</v>
      </c>
    </row>
    <row r="167" spans="1:15" x14ac:dyDescent="0.25">
      <c r="A167" t="s">
        <v>648</v>
      </c>
      <c r="B167" s="3">
        <v>45412</v>
      </c>
      <c r="C167" t="s">
        <v>650</v>
      </c>
      <c r="D167" t="s">
        <v>258</v>
      </c>
      <c r="E167" t="s">
        <v>125</v>
      </c>
      <c r="F167" t="s">
        <v>130</v>
      </c>
      <c r="G167" t="s">
        <v>119</v>
      </c>
      <c r="H167" t="s">
        <v>195</v>
      </c>
      <c r="I167">
        <v>8</v>
      </c>
      <c r="J167">
        <v>69.91</v>
      </c>
      <c r="L167" t="s">
        <v>180</v>
      </c>
      <c r="M167" t="s">
        <v>70</v>
      </c>
      <c r="N167" t="s">
        <v>71</v>
      </c>
      <c r="O167" t="s">
        <v>51</v>
      </c>
    </row>
    <row r="168" spans="1:15" x14ac:dyDescent="0.25">
      <c r="A168" t="s">
        <v>651</v>
      </c>
      <c r="B168" s="3">
        <v>45527</v>
      </c>
      <c r="C168" t="s">
        <v>653</v>
      </c>
      <c r="D168" t="s">
        <v>162</v>
      </c>
      <c r="E168" t="s">
        <v>19</v>
      </c>
      <c r="F168" t="s">
        <v>130</v>
      </c>
      <c r="G168" t="s">
        <v>21</v>
      </c>
      <c r="H168" t="s">
        <v>200</v>
      </c>
      <c r="I168">
        <v>6</v>
      </c>
      <c r="J168">
        <v>193.06</v>
      </c>
      <c r="L168" t="s">
        <v>260</v>
      </c>
      <c r="M168" t="s">
        <v>144</v>
      </c>
      <c r="N168" t="s">
        <v>39</v>
      </c>
      <c r="O168" t="s">
        <v>27</v>
      </c>
    </row>
    <row r="169" spans="1:15" x14ac:dyDescent="0.25">
      <c r="A169" t="s">
        <v>654</v>
      </c>
      <c r="B169" s="3">
        <v>45350</v>
      </c>
      <c r="C169" t="s">
        <v>656</v>
      </c>
      <c r="D169" t="s">
        <v>75</v>
      </c>
      <c r="E169" t="s">
        <v>32</v>
      </c>
      <c r="F169" t="s">
        <v>77</v>
      </c>
      <c r="G169" t="s">
        <v>137</v>
      </c>
      <c r="H169" t="s">
        <v>195</v>
      </c>
      <c r="I169">
        <v>6</v>
      </c>
      <c r="J169">
        <v>256.17</v>
      </c>
      <c r="K169">
        <v>0</v>
      </c>
      <c r="L169" t="s">
        <v>139</v>
      </c>
      <c r="M169" t="s">
        <v>201</v>
      </c>
      <c r="N169" t="s">
        <v>71</v>
      </c>
      <c r="O169" t="s">
        <v>40</v>
      </c>
    </row>
    <row r="170" spans="1:15" x14ac:dyDescent="0.25">
      <c r="A170" t="s">
        <v>658</v>
      </c>
      <c r="B170" s="3">
        <v>45475</v>
      </c>
      <c r="C170" t="s">
        <v>660</v>
      </c>
      <c r="D170" t="s">
        <v>64</v>
      </c>
      <c r="E170" t="s">
        <v>65</v>
      </c>
      <c r="F170" t="s">
        <v>33</v>
      </c>
      <c r="G170" t="s">
        <v>34</v>
      </c>
      <c r="H170" t="s">
        <v>58</v>
      </c>
      <c r="I170">
        <v>8</v>
      </c>
      <c r="J170">
        <v>285.35000000000002</v>
      </c>
      <c r="K170">
        <v>0.05</v>
      </c>
      <c r="L170" t="s">
        <v>37</v>
      </c>
      <c r="M170" t="s">
        <v>70</v>
      </c>
      <c r="N170" t="s">
        <v>50</v>
      </c>
      <c r="O170" t="s">
        <v>40</v>
      </c>
    </row>
    <row r="171" spans="1:15" x14ac:dyDescent="0.25">
      <c r="A171" t="s">
        <v>661</v>
      </c>
      <c r="B171" s="3">
        <v>45332</v>
      </c>
      <c r="C171" t="s">
        <v>663</v>
      </c>
      <c r="D171" t="s">
        <v>97</v>
      </c>
      <c r="E171" t="s">
        <v>98</v>
      </c>
      <c r="F171" t="s">
        <v>298</v>
      </c>
      <c r="G171" t="s">
        <v>131</v>
      </c>
      <c r="H171" t="s">
        <v>58</v>
      </c>
      <c r="J171">
        <v>459.11</v>
      </c>
      <c r="K171">
        <v>0.15</v>
      </c>
      <c r="L171" t="s">
        <v>59</v>
      </c>
      <c r="M171" t="s">
        <v>110</v>
      </c>
      <c r="N171" t="s">
        <v>39</v>
      </c>
      <c r="O171" t="s">
        <v>171</v>
      </c>
    </row>
    <row r="172" spans="1:15" x14ac:dyDescent="0.25">
      <c r="A172" t="s">
        <v>664</v>
      </c>
      <c r="B172" s="3">
        <v>45455</v>
      </c>
      <c r="C172" t="s">
        <v>666</v>
      </c>
      <c r="D172" t="s">
        <v>258</v>
      </c>
      <c r="E172" t="s">
        <v>45</v>
      </c>
      <c r="F172" t="s">
        <v>118</v>
      </c>
      <c r="G172" t="s">
        <v>119</v>
      </c>
      <c r="H172" t="s">
        <v>48</v>
      </c>
      <c r="I172">
        <v>11</v>
      </c>
      <c r="J172">
        <v>134.47</v>
      </c>
      <c r="K172">
        <v>0</v>
      </c>
      <c r="L172" t="s">
        <v>237</v>
      </c>
      <c r="M172" t="s">
        <v>70</v>
      </c>
      <c r="N172" t="s">
        <v>50</v>
      </c>
    </row>
    <row r="173" spans="1:15" x14ac:dyDescent="0.25">
      <c r="A173" t="s">
        <v>667</v>
      </c>
      <c r="B173" s="3">
        <v>45501</v>
      </c>
      <c r="C173" t="s">
        <v>669</v>
      </c>
      <c r="D173" t="s">
        <v>97</v>
      </c>
      <c r="E173" t="s">
        <v>98</v>
      </c>
      <c r="F173" t="s">
        <v>106</v>
      </c>
      <c r="G173" t="s">
        <v>47</v>
      </c>
      <c r="H173" t="s">
        <v>200</v>
      </c>
      <c r="I173">
        <v>9</v>
      </c>
      <c r="J173">
        <v>341.95</v>
      </c>
      <c r="K173">
        <v>0.05</v>
      </c>
      <c r="L173" t="s">
        <v>281</v>
      </c>
      <c r="M173" t="s">
        <v>25</v>
      </c>
      <c r="N173" t="s">
        <v>71</v>
      </c>
      <c r="O173" t="s">
        <v>87</v>
      </c>
    </row>
    <row r="174" spans="1:15" x14ac:dyDescent="0.25">
      <c r="A174" t="s">
        <v>670</v>
      </c>
      <c r="B174" s="3"/>
      <c r="C174" t="s">
        <v>672</v>
      </c>
      <c r="D174" t="s">
        <v>97</v>
      </c>
      <c r="E174" t="s">
        <v>98</v>
      </c>
      <c r="F174" t="s">
        <v>235</v>
      </c>
      <c r="G174" t="s">
        <v>268</v>
      </c>
      <c r="H174" t="s">
        <v>48</v>
      </c>
      <c r="I174">
        <v>6</v>
      </c>
      <c r="J174">
        <v>265.39999999999998</v>
      </c>
      <c r="K174">
        <v>0.2</v>
      </c>
      <c r="L174" t="s">
        <v>143</v>
      </c>
      <c r="M174" t="s">
        <v>165</v>
      </c>
      <c r="N174" t="s">
        <v>50</v>
      </c>
    </row>
    <row r="175" spans="1:15" x14ac:dyDescent="0.25">
      <c r="A175" t="s">
        <v>673</v>
      </c>
      <c r="B175" s="3">
        <v>45577</v>
      </c>
      <c r="C175" t="s">
        <v>675</v>
      </c>
      <c r="D175" t="s">
        <v>64</v>
      </c>
      <c r="E175" t="s">
        <v>65</v>
      </c>
      <c r="F175" t="s">
        <v>189</v>
      </c>
      <c r="G175" t="s">
        <v>154</v>
      </c>
      <c r="H175" t="s">
        <v>68</v>
      </c>
      <c r="I175">
        <v>12</v>
      </c>
      <c r="J175">
        <v>355.64</v>
      </c>
      <c r="L175" t="s">
        <v>37</v>
      </c>
      <c r="M175" t="s">
        <v>60</v>
      </c>
      <c r="N175" t="s">
        <v>50</v>
      </c>
      <c r="O175" t="s">
        <v>112</v>
      </c>
    </row>
    <row r="176" spans="1:15" x14ac:dyDescent="0.25">
      <c r="A176" t="s">
        <v>676</v>
      </c>
      <c r="B176" s="3"/>
      <c r="C176" t="s">
        <v>678</v>
      </c>
      <c r="D176" t="s">
        <v>97</v>
      </c>
      <c r="E176" t="s">
        <v>98</v>
      </c>
      <c r="F176" t="s">
        <v>99</v>
      </c>
      <c r="G176" t="s">
        <v>100</v>
      </c>
      <c r="H176" t="s">
        <v>108</v>
      </c>
      <c r="I176">
        <v>5</v>
      </c>
      <c r="J176">
        <v>393.21</v>
      </c>
      <c r="L176" t="s">
        <v>180</v>
      </c>
      <c r="M176" t="s">
        <v>38</v>
      </c>
    </row>
    <row r="177" spans="1:15" x14ac:dyDescent="0.25">
      <c r="A177" t="s">
        <v>679</v>
      </c>
      <c r="B177" s="3">
        <v>45525</v>
      </c>
      <c r="C177" t="s">
        <v>681</v>
      </c>
      <c r="D177" t="s">
        <v>188</v>
      </c>
      <c r="E177" t="s">
        <v>76</v>
      </c>
      <c r="F177" t="s">
        <v>56</v>
      </c>
      <c r="G177" t="s">
        <v>57</v>
      </c>
      <c r="H177" t="s">
        <v>22</v>
      </c>
      <c r="I177">
        <v>10</v>
      </c>
      <c r="J177">
        <v>367.87</v>
      </c>
      <c r="L177" t="s">
        <v>180</v>
      </c>
      <c r="M177" t="s">
        <v>165</v>
      </c>
      <c r="N177" t="s">
        <v>50</v>
      </c>
      <c r="O177" t="s">
        <v>51</v>
      </c>
    </row>
    <row r="178" spans="1:15" x14ac:dyDescent="0.25">
      <c r="A178" t="s">
        <v>229</v>
      </c>
      <c r="B178" s="3">
        <v>45520</v>
      </c>
      <c r="C178" t="s">
        <v>682</v>
      </c>
      <c r="D178" t="s">
        <v>152</v>
      </c>
      <c r="E178" t="s">
        <v>19</v>
      </c>
      <c r="F178" t="s">
        <v>130</v>
      </c>
      <c r="G178" t="s">
        <v>131</v>
      </c>
      <c r="H178" t="s">
        <v>200</v>
      </c>
      <c r="I178">
        <v>10</v>
      </c>
      <c r="J178">
        <v>498.33</v>
      </c>
      <c r="K178">
        <v>0</v>
      </c>
      <c r="L178" t="s">
        <v>180</v>
      </c>
      <c r="M178" t="s">
        <v>158</v>
      </c>
      <c r="N178" t="s">
        <v>71</v>
      </c>
      <c r="O178" t="s">
        <v>40</v>
      </c>
    </row>
    <row r="179" spans="1:15" x14ac:dyDescent="0.25">
      <c r="A179" t="s">
        <v>683</v>
      </c>
      <c r="B179" s="3">
        <v>45526</v>
      </c>
      <c r="C179" t="s">
        <v>684</v>
      </c>
      <c r="D179" t="s">
        <v>116</v>
      </c>
      <c r="E179" t="s">
        <v>19</v>
      </c>
      <c r="F179" t="s">
        <v>136</v>
      </c>
      <c r="G179" t="s">
        <v>236</v>
      </c>
      <c r="H179" t="s">
        <v>195</v>
      </c>
      <c r="I179">
        <v>8</v>
      </c>
      <c r="J179">
        <v>183.76</v>
      </c>
      <c r="K179">
        <v>0.15</v>
      </c>
      <c r="L179" t="s">
        <v>79</v>
      </c>
      <c r="M179" t="s">
        <v>110</v>
      </c>
      <c r="N179" t="s">
        <v>111</v>
      </c>
      <c r="O179" t="s">
        <v>112</v>
      </c>
    </row>
    <row r="180" spans="1:15" x14ac:dyDescent="0.25">
      <c r="A180" t="s">
        <v>685</v>
      </c>
      <c r="B180" s="3">
        <v>45504</v>
      </c>
      <c r="C180" t="s">
        <v>687</v>
      </c>
      <c r="D180" t="s">
        <v>31</v>
      </c>
      <c r="E180" t="s">
        <v>199</v>
      </c>
      <c r="F180" t="s">
        <v>298</v>
      </c>
      <c r="G180" t="s">
        <v>21</v>
      </c>
      <c r="H180" t="s">
        <v>195</v>
      </c>
      <c r="I180">
        <v>8</v>
      </c>
      <c r="J180">
        <v>77.94</v>
      </c>
      <c r="K180">
        <v>0.05</v>
      </c>
      <c r="L180" t="s">
        <v>59</v>
      </c>
      <c r="M180" t="s">
        <v>170</v>
      </c>
      <c r="N180" t="s">
        <v>39</v>
      </c>
      <c r="O180" t="s">
        <v>51</v>
      </c>
    </row>
    <row r="181" spans="1:15" x14ac:dyDescent="0.25">
      <c r="A181" t="s">
        <v>613</v>
      </c>
      <c r="B181" s="3"/>
      <c r="C181" t="s">
        <v>688</v>
      </c>
      <c r="D181" t="s">
        <v>124</v>
      </c>
      <c r="E181" t="s">
        <v>125</v>
      </c>
      <c r="F181" t="s">
        <v>83</v>
      </c>
      <c r="G181" t="s">
        <v>100</v>
      </c>
      <c r="H181" t="s">
        <v>48</v>
      </c>
      <c r="I181">
        <v>2</v>
      </c>
      <c r="J181">
        <v>217.11</v>
      </c>
      <c r="L181" t="s">
        <v>79</v>
      </c>
      <c r="M181" t="s">
        <v>92</v>
      </c>
      <c r="N181" t="s">
        <v>39</v>
      </c>
      <c r="O181" t="s">
        <v>112</v>
      </c>
    </row>
    <row r="182" spans="1:15" x14ac:dyDescent="0.25">
      <c r="A182" t="s">
        <v>689</v>
      </c>
      <c r="B182" s="3">
        <v>45602</v>
      </c>
      <c r="C182" t="s">
        <v>691</v>
      </c>
      <c r="D182" t="s">
        <v>224</v>
      </c>
      <c r="E182" t="s">
        <v>125</v>
      </c>
      <c r="F182" t="s">
        <v>118</v>
      </c>
      <c r="G182" t="s">
        <v>264</v>
      </c>
      <c r="H182" t="s">
        <v>178</v>
      </c>
      <c r="I182">
        <v>4</v>
      </c>
      <c r="K182">
        <v>0.2</v>
      </c>
      <c r="L182" t="s">
        <v>132</v>
      </c>
      <c r="M182" t="s">
        <v>165</v>
      </c>
      <c r="N182" t="s">
        <v>111</v>
      </c>
      <c r="O182" t="s">
        <v>112</v>
      </c>
    </row>
    <row r="183" spans="1:15" x14ac:dyDescent="0.25">
      <c r="A183" t="s">
        <v>692</v>
      </c>
      <c r="B183" s="3">
        <v>45434</v>
      </c>
      <c r="C183" t="s">
        <v>694</v>
      </c>
      <c r="D183" t="s">
        <v>152</v>
      </c>
      <c r="E183" t="s">
        <v>19</v>
      </c>
      <c r="F183" t="s">
        <v>20</v>
      </c>
      <c r="G183" t="s">
        <v>119</v>
      </c>
      <c r="H183" t="s">
        <v>22</v>
      </c>
      <c r="I183">
        <v>3</v>
      </c>
      <c r="J183">
        <v>138.01</v>
      </c>
      <c r="K183">
        <v>0</v>
      </c>
      <c r="L183" t="s">
        <v>69</v>
      </c>
      <c r="M183" t="s">
        <v>201</v>
      </c>
      <c r="O183" t="s">
        <v>87</v>
      </c>
    </row>
    <row r="184" spans="1:15" x14ac:dyDescent="0.25">
      <c r="A184" t="s">
        <v>695</v>
      </c>
      <c r="B184" s="3">
        <v>45651</v>
      </c>
      <c r="C184" t="s">
        <v>697</v>
      </c>
      <c r="D184" t="s">
        <v>152</v>
      </c>
      <c r="E184" t="s">
        <v>19</v>
      </c>
      <c r="F184" t="s">
        <v>91</v>
      </c>
      <c r="G184" t="s">
        <v>84</v>
      </c>
      <c r="H184" t="s">
        <v>35</v>
      </c>
      <c r="J184">
        <v>113.23</v>
      </c>
      <c r="L184" t="s">
        <v>24</v>
      </c>
      <c r="M184" t="s">
        <v>70</v>
      </c>
      <c r="O184" t="s">
        <v>51</v>
      </c>
    </row>
    <row r="185" spans="1:15" x14ac:dyDescent="0.25">
      <c r="A185" t="s">
        <v>698</v>
      </c>
      <c r="B185" s="3">
        <v>45635</v>
      </c>
      <c r="C185" t="s">
        <v>700</v>
      </c>
      <c r="D185" t="s">
        <v>18</v>
      </c>
      <c r="E185" t="s">
        <v>19</v>
      </c>
      <c r="F185" t="s">
        <v>83</v>
      </c>
      <c r="G185" t="s">
        <v>220</v>
      </c>
      <c r="H185" t="s">
        <v>178</v>
      </c>
      <c r="I185">
        <v>4</v>
      </c>
      <c r="J185">
        <v>193.16</v>
      </c>
      <c r="K185">
        <v>0.05</v>
      </c>
      <c r="L185" t="s">
        <v>139</v>
      </c>
      <c r="M185" t="s">
        <v>170</v>
      </c>
      <c r="N185" t="s">
        <v>111</v>
      </c>
      <c r="O185" t="s">
        <v>27</v>
      </c>
    </row>
    <row r="186" spans="1:15" x14ac:dyDescent="0.25">
      <c r="A186" t="s">
        <v>701</v>
      </c>
      <c r="B186" s="3">
        <v>45385</v>
      </c>
      <c r="C186" t="s">
        <v>703</v>
      </c>
      <c r="D186" t="s">
        <v>175</v>
      </c>
      <c r="E186" t="s">
        <v>76</v>
      </c>
      <c r="F186" t="s">
        <v>91</v>
      </c>
      <c r="G186" t="s">
        <v>220</v>
      </c>
      <c r="H186" t="s">
        <v>58</v>
      </c>
      <c r="I186">
        <v>1</v>
      </c>
      <c r="J186">
        <v>172.58</v>
      </c>
      <c r="K186">
        <v>0.15</v>
      </c>
      <c r="L186" t="s">
        <v>37</v>
      </c>
      <c r="M186" t="s">
        <v>38</v>
      </c>
      <c r="O186" t="s">
        <v>27</v>
      </c>
    </row>
    <row r="187" spans="1:15" x14ac:dyDescent="0.25">
      <c r="A187" t="s">
        <v>630</v>
      </c>
      <c r="B187" s="3">
        <v>45514</v>
      </c>
      <c r="C187" t="s">
        <v>632</v>
      </c>
      <c r="D187" t="s">
        <v>152</v>
      </c>
      <c r="E187" t="s">
        <v>117</v>
      </c>
      <c r="F187" t="s">
        <v>298</v>
      </c>
      <c r="G187" t="s">
        <v>131</v>
      </c>
      <c r="H187" t="s">
        <v>108</v>
      </c>
      <c r="I187">
        <v>10</v>
      </c>
      <c r="J187">
        <v>478.89</v>
      </c>
      <c r="K187">
        <v>0.2</v>
      </c>
      <c r="L187" t="s">
        <v>139</v>
      </c>
      <c r="M187" t="s">
        <v>165</v>
      </c>
      <c r="O187" t="s">
        <v>93</v>
      </c>
    </row>
    <row r="188" spans="1:15" x14ac:dyDescent="0.25">
      <c r="A188" t="s">
        <v>704</v>
      </c>
      <c r="B188" s="3">
        <v>45329</v>
      </c>
      <c r="C188" t="s">
        <v>706</v>
      </c>
      <c r="D188" t="s">
        <v>212</v>
      </c>
      <c r="E188" t="s">
        <v>98</v>
      </c>
      <c r="F188" t="s">
        <v>46</v>
      </c>
      <c r="G188" t="s">
        <v>323</v>
      </c>
      <c r="H188" t="s">
        <v>58</v>
      </c>
      <c r="I188">
        <v>8</v>
      </c>
      <c r="J188">
        <v>223.89</v>
      </c>
      <c r="L188" t="s">
        <v>143</v>
      </c>
      <c r="M188" t="s">
        <v>170</v>
      </c>
      <c r="N188" t="s">
        <v>26</v>
      </c>
      <c r="O188" t="s">
        <v>87</v>
      </c>
    </row>
    <row r="189" spans="1:15" x14ac:dyDescent="0.25">
      <c r="A189" t="s">
        <v>707</v>
      </c>
      <c r="B189" s="3">
        <v>45506</v>
      </c>
      <c r="C189" t="s">
        <v>709</v>
      </c>
      <c r="D189" t="s">
        <v>44</v>
      </c>
      <c r="E189" t="s">
        <v>45</v>
      </c>
      <c r="F189" t="s">
        <v>267</v>
      </c>
      <c r="G189" t="s">
        <v>78</v>
      </c>
      <c r="H189" t="s">
        <v>35</v>
      </c>
      <c r="I189">
        <v>4</v>
      </c>
      <c r="J189">
        <v>176.35</v>
      </c>
      <c r="K189">
        <v>0</v>
      </c>
      <c r="L189" t="s">
        <v>143</v>
      </c>
      <c r="M189" t="s">
        <v>144</v>
      </c>
      <c r="O189" t="s">
        <v>126</v>
      </c>
    </row>
    <row r="190" spans="1:15" x14ac:dyDescent="0.25">
      <c r="A190" t="s">
        <v>710</v>
      </c>
      <c r="B190" s="3">
        <v>45533</v>
      </c>
      <c r="C190" t="s">
        <v>711</v>
      </c>
      <c r="D190" t="s">
        <v>194</v>
      </c>
      <c r="E190" t="s">
        <v>98</v>
      </c>
      <c r="F190" t="s">
        <v>153</v>
      </c>
      <c r="G190" t="s">
        <v>154</v>
      </c>
      <c r="H190" t="s">
        <v>178</v>
      </c>
      <c r="J190">
        <v>160.28</v>
      </c>
      <c r="K190">
        <v>0.15</v>
      </c>
      <c r="L190" t="s">
        <v>102</v>
      </c>
      <c r="M190" t="s">
        <v>144</v>
      </c>
      <c r="N190" t="s">
        <v>26</v>
      </c>
      <c r="O190" t="s">
        <v>112</v>
      </c>
    </row>
    <row r="191" spans="1:15" x14ac:dyDescent="0.25">
      <c r="A191" t="s">
        <v>713</v>
      </c>
      <c r="B191" s="3">
        <v>45627</v>
      </c>
      <c r="C191" t="s">
        <v>715</v>
      </c>
      <c r="D191" t="s">
        <v>152</v>
      </c>
      <c r="E191" t="s">
        <v>19</v>
      </c>
      <c r="F191" t="s">
        <v>163</v>
      </c>
      <c r="G191" t="s">
        <v>220</v>
      </c>
      <c r="H191" t="s">
        <v>48</v>
      </c>
      <c r="I191">
        <v>7</v>
      </c>
      <c r="J191">
        <v>273.8</v>
      </c>
      <c r="K191">
        <v>0.05</v>
      </c>
      <c r="L191" t="s">
        <v>260</v>
      </c>
      <c r="M191" t="s">
        <v>170</v>
      </c>
      <c r="N191" t="s">
        <v>39</v>
      </c>
      <c r="O191" t="s">
        <v>171</v>
      </c>
    </row>
    <row r="192" spans="1:15" x14ac:dyDescent="0.25">
      <c r="A192" t="s">
        <v>716</v>
      </c>
      <c r="B192" s="3">
        <v>45511</v>
      </c>
      <c r="C192" t="s">
        <v>718</v>
      </c>
      <c r="D192" t="s">
        <v>285</v>
      </c>
      <c r="E192" t="s">
        <v>199</v>
      </c>
      <c r="F192" t="s">
        <v>176</v>
      </c>
      <c r="G192" t="s">
        <v>100</v>
      </c>
      <c r="H192" t="s">
        <v>48</v>
      </c>
      <c r="I192">
        <v>1</v>
      </c>
      <c r="J192">
        <v>388.56</v>
      </c>
      <c r="K192">
        <v>0.1</v>
      </c>
      <c r="L192" t="s">
        <v>143</v>
      </c>
      <c r="M192" t="s">
        <v>70</v>
      </c>
      <c r="N192" t="s">
        <v>26</v>
      </c>
      <c r="O192" t="s">
        <v>87</v>
      </c>
    </row>
    <row r="193" spans="1:15" x14ac:dyDescent="0.25">
      <c r="A193" t="s">
        <v>719</v>
      </c>
      <c r="B193" s="3">
        <v>45627</v>
      </c>
      <c r="C193" t="s">
        <v>721</v>
      </c>
      <c r="D193" t="s">
        <v>152</v>
      </c>
      <c r="E193" t="s">
        <v>19</v>
      </c>
      <c r="F193" t="s">
        <v>83</v>
      </c>
      <c r="G193" t="s">
        <v>177</v>
      </c>
      <c r="H193" t="s">
        <v>178</v>
      </c>
      <c r="I193">
        <v>8</v>
      </c>
      <c r="J193">
        <v>316.73</v>
      </c>
      <c r="K193">
        <v>0.15</v>
      </c>
      <c r="L193" t="s">
        <v>69</v>
      </c>
      <c r="M193" t="s">
        <v>25</v>
      </c>
      <c r="N193" t="s">
        <v>111</v>
      </c>
      <c r="O193" t="s">
        <v>27</v>
      </c>
    </row>
    <row r="194" spans="1:15" x14ac:dyDescent="0.25">
      <c r="A194" t="s">
        <v>487</v>
      </c>
      <c r="B194" s="3">
        <v>45413</v>
      </c>
      <c r="C194" t="s">
        <v>489</v>
      </c>
      <c r="D194" t="s">
        <v>194</v>
      </c>
      <c r="E194" t="s">
        <v>98</v>
      </c>
      <c r="F194" t="s">
        <v>184</v>
      </c>
      <c r="G194" t="s">
        <v>323</v>
      </c>
      <c r="H194" t="s">
        <v>68</v>
      </c>
      <c r="I194">
        <v>1</v>
      </c>
      <c r="J194">
        <v>192.82</v>
      </c>
      <c r="K194">
        <v>0.1</v>
      </c>
      <c r="L194" t="s">
        <v>281</v>
      </c>
      <c r="M194" t="s">
        <v>201</v>
      </c>
      <c r="N194" t="s">
        <v>71</v>
      </c>
      <c r="O194" t="s">
        <v>87</v>
      </c>
    </row>
    <row r="195" spans="1:15" x14ac:dyDescent="0.25">
      <c r="A195" t="s">
        <v>723</v>
      </c>
      <c r="B195" s="3">
        <v>45357</v>
      </c>
      <c r="C195" t="s">
        <v>725</v>
      </c>
      <c r="D195" t="s">
        <v>334</v>
      </c>
      <c r="E195" t="s">
        <v>45</v>
      </c>
      <c r="F195" t="s">
        <v>83</v>
      </c>
      <c r="G195" t="s">
        <v>177</v>
      </c>
      <c r="H195" t="s">
        <v>108</v>
      </c>
      <c r="I195">
        <v>12</v>
      </c>
      <c r="J195">
        <v>339.24</v>
      </c>
      <c r="K195">
        <v>0.15</v>
      </c>
      <c r="L195" t="s">
        <v>143</v>
      </c>
      <c r="M195" t="s">
        <v>25</v>
      </c>
      <c r="N195" t="s">
        <v>39</v>
      </c>
      <c r="O195" t="s">
        <v>112</v>
      </c>
    </row>
    <row r="196" spans="1:15" x14ac:dyDescent="0.25">
      <c r="A196" t="s">
        <v>726</v>
      </c>
      <c r="B196" s="3">
        <v>45651</v>
      </c>
      <c r="C196" t="s">
        <v>727</v>
      </c>
      <c r="D196" t="s">
        <v>152</v>
      </c>
      <c r="E196" t="s">
        <v>117</v>
      </c>
      <c r="F196" t="s">
        <v>176</v>
      </c>
      <c r="G196" t="s">
        <v>164</v>
      </c>
      <c r="H196" t="s">
        <v>22</v>
      </c>
      <c r="I196">
        <v>10</v>
      </c>
      <c r="J196">
        <v>255.77</v>
      </c>
      <c r="K196">
        <v>0.2</v>
      </c>
      <c r="L196" t="s">
        <v>143</v>
      </c>
      <c r="M196" t="s">
        <v>144</v>
      </c>
      <c r="N196" t="s">
        <v>71</v>
      </c>
      <c r="O196" t="s">
        <v>27</v>
      </c>
    </row>
    <row r="197" spans="1:15" x14ac:dyDescent="0.25">
      <c r="A197" t="s">
        <v>728</v>
      </c>
      <c r="B197" s="3">
        <v>45452</v>
      </c>
      <c r="C197" t="s">
        <v>729</v>
      </c>
      <c r="D197" t="s">
        <v>175</v>
      </c>
      <c r="E197" t="s">
        <v>76</v>
      </c>
      <c r="F197" t="s">
        <v>118</v>
      </c>
      <c r="G197" t="s">
        <v>21</v>
      </c>
      <c r="H197" t="s">
        <v>58</v>
      </c>
      <c r="J197">
        <v>472.97</v>
      </c>
      <c r="K197">
        <v>0.05</v>
      </c>
      <c r="L197" t="s">
        <v>139</v>
      </c>
      <c r="M197" t="s">
        <v>110</v>
      </c>
      <c r="O197" t="s">
        <v>112</v>
      </c>
    </row>
    <row r="198" spans="1:15" x14ac:dyDescent="0.25">
      <c r="A198" t="s">
        <v>730</v>
      </c>
      <c r="B198" s="3"/>
      <c r="C198" t="s">
        <v>732</v>
      </c>
      <c r="D198" t="s">
        <v>116</v>
      </c>
      <c r="E198" t="s">
        <v>117</v>
      </c>
      <c r="F198" t="s">
        <v>235</v>
      </c>
      <c r="G198" t="s">
        <v>137</v>
      </c>
      <c r="H198" t="s">
        <v>108</v>
      </c>
      <c r="I198">
        <v>10</v>
      </c>
      <c r="J198">
        <v>104.42</v>
      </c>
      <c r="K198">
        <v>0.1</v>
      </c>
      <c r="L198" t="s">
        <v>260</v>
      </c>
      <c r="M198" t="s">
        <v>70</v>
      </c>
      <c r="O198" t="s">
        <v>40</v>
      </c>
    </row>
    <row r="199" spans="1:15" x14ac:dyDescent="0.25">
      <c r="A199" t="s">
        <v>733</v>
      </c>
      <c r="B199" s="3">
        <v>45467</v>
      </c>
      <c r="C199" t="s">
        <v>734</v>
      </c>
      <c r="D199" t="s">
        <v>44</v>
      </c>
      <c r="E199" t="s">
        <v>125</v>
      </c>
      <c r="F199" t="s">
        <v>66</v>
      </c>
      <c r="G199" t="s">
        <v>330</v>
      </c>
      <c r="H199" t="s">
        <v>178</v>
      </c>
      <c r="I199">
        <v>1</v>
      </c>
      <c r="J199">
        <v>43.58</v>
      </c>
      <c r="K199">
        <v>0.15</v>
      </c>
      <c r="L199" t="s">
        <v>143</v>
      </c>
      <c r="M199" t="s">
        <v>86</v>
      </c>
      <c r="O199" t="s">
        <v>51</v>
      </c>
    </row>
    <row r="200" spans="1:15" x14ac:dyDescent="0.25">
      <c r="A200" t="s">
        <v>735</v>
      </c>
      <c r="B200" s="3"/>
      <c r="C200" t="s">
        <v>737</v>
      </c>
      <c r="D200" t="s">
        <v>55</v>
      </c>
      <c r="E200" t="s">
        <v>199</v>
      </c>
      <c r="F200" t="s">
        <v>66</v>
      </c>
      <c r="G200" t="s">
        <v>330</v>
      </c>
      <c r="H200" t="s">
        <v>200</v>
      </c>
      <c r="I200">
        <v>9</v>
      </c>
      <c r="J200">
        <v>439.93</v>
      </c>
      <c r="K200">
        <v>0</v>
      </c>
      <c r="L200" t="s">
        <v>37</v>
      </c>
      <c r="M200" t="s">
        <v>158</v>
      </c>
      <c r="N200" t="s">
        <v>111</v>
      </c>
    </row>
    <row r="201" spans="1:15" x14ac:dyDescent="0.25">
      <c r="A201" t="s">
        <v>738</v>
      </c>
      <c r="B201" s="3">
        <v>45335</v>
      </c>
      <c r="C201" t="s">
        <v>740</v>
      </c>
      <c r="D201" t="s">
        <v>124</v>
      </c>
      <c r="E201" t="s">
        <v>125</v>
      </c>
      <c r="F201" t="s">
        <v>77</v>
      </c>
      <c r="G201" t="s">
        <v>137</v>
      </c>
      <c r="H201" t="s">
        <v>22</v>
      </c>
      <c r="I201">
        <v>8</v>
      </c>
      <c r="J201">
        <v>419.35</v>
      </c>
      <c r="L201" t="s">
        <v>37</v>
      </c>
      <c r="M201" t="s">
        <v>158</v>
      </c>
      <c r="N201" t="s">
        <v>39</v>
      </c>
      <c r="O201" t="s">
        <v>93</v>
      </c>
    </row>
    <row r="202" spans="1:15" x14ac:dyDescent="0.25">
      <c r="A202" t="s">
        <v>526</v>
      </c>
      <c r="B202" s="3">
        <v>45580</v>
      </c>
      <c r="C202" t="s">
        <v>528</v>
      </c>
      <c r="D202" t="s">
        <v>18</v>
      </c>
      <c r="E202" t="s">
        <v>19</v>
      </c>
      <c r="F202" t="s">
        <v>20</v>
      </c>
      <c r="G202" t="s">
        <v>131</v>
      </c>
      <c r="H202" t="s">
        <v>35</v>
      </c>
      <c r="I202">
        <v>3</v>
      </c>
      <c r="J202">
        <v>153.5</v>
      </c>
      <c r="K202">
        <v>0</v>
      </c>
      <c r="L202" t="s">
        <v>143</v>
      </c>
      <c r="M202" t="s">
        <v>38</v>
      </c>
      <c r="N202" t="s">
        <v>26</v>
      </c>
      <c r="O202" t="s">
        <v>27</v>
      </c>
    </row>
    <row r="203" spans="1:15" x14ac:dyDescent="0.25">
      <c r="A203" t="s">
        <v>741</v>
      </c>
      <c r="B203" s="3"/>
      <c r="C203" t="s">
        <v>743</v>
      </c>
      <c r="D203" t="s">
        <v>334</v>
      </c>
      <c r="E203" t="s">
        <v>45</v>
      </c>
      <c r="F203" t="s">
        <v>184</v>
      </c>
      <c r="G203" t="s">
        <v>323</v>
      </c>
      <c r="H203" t="s">
        <v>58</v>
      </c>
      <c r="I203">
        <v>4</v>
      </c>
      <c r="J203">
        <v>193.02</v>
      </c>
      <c r="K203">
        <v>0.1</v>
      </c>
      <c r="L203" t="s">
        <v>260</v>
      </c>
      <c r="M203" t="s">
        <v>144</v>
      </c>
      <c r="N203" t="s">
        <v>50</v>
      </c>
      <c r="O203" t="s">
        <v>87</v>
      </c>
    </row>
    <row r="204" spans="1:15" x14ac:dyDescent="0.25">
      <c r="A204" t="s">
        <v>744</v>
      </c>
      <c r="B204" s="3">
        <v>45575</v>
      </c>
      <c r="C204" t="s">
        <v>746</v>
      </c>
      <c r="D204" t="s">
        <v>152</v>
      </c>
      <c r="E204" t="s">
        <v>117</v>
      </c>
      <c r="F204" t="s">
        <v>106</v>
      </c>
      <c r="G204" t="s">
        <v>368</v>
      </c>
      <c r="H204" t="s">
        <v>48</v>
      </c>
      <c r="J204">
        <v>432.15</v>
      </c>
      <c r="K204">
        <v>0.15</v>
      </c>
      <c r="L204" t="s">
        <v>281</v>
      </c>
      <c r="M204" t="s">
        <v>208</v>
      </c>
      <c r="N204" t="s">
        <v>39</v>
      </c>
      <c r="O204" t="s">
        <v>40</v>
      </c>
    </row>
    <row r="205" spans="1:15" x14ac:dyDescent="0.25">
      <c r="A205" t="s">
        <v>747</v>
      </c>
      <c r="B205" s="3"/>
      <c r="C205" t="s">
        <v>749</v>
      </c>
      <c r="D205" t="s">
        <v>75</v>
      </c>
      <c r="E205" t="s">
        <v>76</v>
      </c>
      <c r="F205" t="s">
        <v>184</v>
      </c>
      <c r="G205" t="s">
        <v>368</v>
      </c>
      <c r="H205" t="s">
        <v>178</v>
      </c>
      <c r="I205">
        <v>1</v>
      </c>
      <c r="J205">
        <v>320.89999999999998</v>
      </c>
      <c r="K205">
        <v>0</v>
      </c>
      <c r="L205" t="s">
        <v>260</v>
      </c>
      <c r="M205" t="s">
        <v>144</v>
      </c>
      <c r="N205" t="s">
        <v>50</v>
      </c>
      <c r="O205" t="s">
        <v>171</v>
      </c>
    </row>
    <row r="206" spans="1:15" x14ac:dyDescent="0.25">
      <c r="A206" t="s">
        <v>750</v>
      </c>
      <c r="B206" s="3">
        <v>45452</v>
      </c>
      <c r="C206" t="s">
        <v>752</v>
      </c>
      <c r="D206" t="s">
        <v>116</v>
      </c>
      <c r="E206" t="s">
        <v>117</v>
      </c>
      <c r="F206" t="s">
        <v>56</v>
      </c>
      <c r="G206" t="s">
        <v>67</v>
      </c>
      <c r="H206" t="s">
        <v>108</v>
      </c>
      <c r="I206">
        <v>5</v>
      </c>
      <c r="J206">
        <v>71.02</v>
      </c>
      <c r="K206">
        <v>0.2</v>
      </c>
      <c r="L206" t="s">
        <v>260</v>
      </c>
      <c r="M206" t="s">
        <v>70</v>
      </c>
      <c r="N206" t="s">
        <v>26</v>
      </c>
      <c r="O206" t="s">
        <v>40</v>
      </c>
    </row>
    <row r="207" spans="1:15" x14ac:dyDescent="0.25">
      <c r="A207" t="s">
        <v>753</v>
      </c>
      <c r="B207" s="3">
        <v>45584</v>
      </c>
      <c r="C207" t="s">
        <v>755</v>
      </c>
      <c r="D207" t="s">
        <v>194</v>
      </c>
      <c r="E207" t="s">
        <v>65</v>
      </c>
      <c r="F207" t="s">
        <v>189</v>
      </c>
      <c r="G207" t="s">
        <v>67</v>
      </c>
      <c r="H207" t="s">
        <v>48</v>
      </c>
      <c r="I207">
        <v>12</v>
      </c>
      <c r="J207">
        <v>272.36</v>
      </c>
      <c r="L207" t="s">
        <v>180</v>
      </c>
      <c r="M207" t="s">
        <v>86</v>
      </c>
      <c r="N207" t="s">
        <v>50</v>
      </c>
      <c r="O207" t="s">
        <v>87</v>
      </c>
    </row>
    <row r="208" spans="1:15" x14ac:dyDescent="0.25">
      <c r="A208" t="s">
        <v>756</v>
      </c>
      <c r="B208" s="3"/>
      <c r="C208" t="s">
        <v>757</v>
      </c>
      <c r="D208" t="s">
        <v>162</v>
      </c>
      <c r="E208" t="s">
        <v>19</v>
      </c>
      <c r="F208" t="s">
        <v>298</v>
      </c>
      <c r="G208" t="s">
        <v>21</v>
      </c>
      <c r="H208" t="s">
        <v>58</v>
      </c>
      <c r="I208">
        <v>12</v>
      </c>
      <c r="J208">
        <v>464.79</v>
      </c>
      <c r="K208">
        <v>0.2</v>
      </c>
      <c r="L208" t="s">
        <v>69</v>
      </c>
      <c r="M208" t="s">
        <v>158</v>
      </c>
      <c r="N208" t="s">
        <v>26</v>
      </c>
      <c r="O208" t="s">
        <v>112</v>
      </c>
    </row>
    <row r="209" spans="1:15" x14ac:dyDescent="0.25">
      <c r="A209" t="s">
        <v>758</v>
      </c>
      <c r="B209" s="3">
        <v>45635</v>
      </c>
      <c r="C209" t="s">
        <v>760</v>
      </c>
      <c r="D209" t="s">
        <v>212</v>
      </c>
      <c r="F209" t="s">
        <v>235</v>
      </c>
      <c r="G209" t="s">
        <v>137</v>
      </c>
      <c r="H209" t="s">
        <v>200</v>
      </c>
      <c r="I209">
        <v>3</v>
      </c>
      <c r="J209">
        <v>225.78</v>
      </c>
      <c r="K209">
        <v>0.2</v>
      </c>
      <c r="L209" t="s">
        <v>24</v>
      </c>
      <c r="M209" t="s">
        <v>158</v>
      </c>
      <c r="N209" t="s">
        <v>71</v>
      </c>
      <c r="O209" t="s">
        <v>93</v>
      </c>
    </row>
    <row r="210" spans="1:15" x14ac:dyDescent="0.25">
      <c r="A210" t="s">
        <v>762</v>
      </c>
      <c r="B210" s="3">
        <v>45354</v>
      </c>
      <c r="C210" t="s">
        <v>764</v>
      </c>
      <c r="D210" t="s">
        <v>258</v>
      </c>
      <c r="E210" t="s">
        <v>125</v>
      </c>
      <c r="F210" t="s">
        <v>91</v>
      </c>
      <c r="G210" t="s">
        <v>164</v>
      </c>
      <c r="H210" t="s">
        <v>195</v>
      </c>
      <c r="J210">
        <v>36.909999999999997</v>
      </c>
      <c r="K210">
        <v>0.05</v>
      </c>
      <c r="L210" t="s">
        <v>180</v>
      </c>
      <c r="M210" t="s">
        <v>144</v>
      </c>
      <c r="N210" t="s">
        <v>71</v>
      </c>
      <c r="O210" t="s">
        <v>87</v>
      </c>
    </row>
    <row r="211" spans="1:15" x14ac:dyDescent="0.25">
      <c r="A211" t="s">
        <v>765</v>
      </c>
      <c r="B211" s="3">
        <v>45486</v>
      </c>
      <c r="C211" t="s">
        <v>767</v>
      </c>
      <c r="D211" t="s">
        <v>285</v>
      </c>
      <c r="F211" t="s">
        <v>66</v>
      </c>
      <c r="G211" t="s">
        <v>148</v>
      </c>
      <c r="H211" t="s">
        <v>178</v>
      </c>
      <c r="I211">
        <v>8</v>
      </c>
      <c r="J211">
        <v>136.19</v>
      </c>
      <c r="K211">
        <v>0</v>
      </c>
      <c r="L211" t="s">
        <v>139</v>
      </c>
      <c r="M211" t="s">
        <v>158</v>
      </c>
      <c r="N211" t="s">
        <v>26</v>
      </c>
      <c r="O211" t="s">
        <v>87</v>
      </c>
    </row>
    <row r="212" spans="1:15" x14ac:dyDescent="0.25">
      <c r="A212" t="s">
        <v>768</v>
      </c>
      <c r="B212" s="3">
        <v>45648</v>
      </c>
      <c r="C212" t="s">
        <v>770</v>
      </c>
      <c r="D212" t="s">
        <v>18</v>
      </c>
      <c r="E212" t="s">
        <v>117</v>
      </c>
      <c r="F212" t="s">
        <v>235</v>
      </c>
      <c r="G212" t="s">
        <v>268</v>
      </c>
      <c r="H212" t="s">
        <v>200</v>
      </c>
      <c r="I212">
        <v>8</v>
      </c>
      <c r="J212">
        <v>474.88</v>
      </c>
      <c r="K212">
        <v>0.1</v>
      </c>
      <c r="L212" t="s">
        <v>237</v>
      </c>
      <c r="M212" t="s">
        <v>201</v>
      </c>
      <c r="N212" t="s">
        <v>26</v>
      </c>
      <c r="O212" t="s">
        <v>112</v>
      </c>
    </row>
    <row r="213" spans="1:15" x14ac:dyDescent="0.25">
      <c r="A213" t="s">
        <v>772</v>
      </c>
      <c r="B213" s="3"/>
      <c r="C213" t="s">
        <v>774</v>
      </c>
      <c r="D213" t="s">
        <v>152</v>
      </c>
      <c r="E213" t="s">
        <v>19</v>
      </c>
      <c r="F213" t="s">
        <v>130</v>
      </c>
      <c r="G213" t="s">
        <v>119</v>
      </c>
      <c r="H213" t="s">
        <v>48</v>
      </c>
      <c r="I213">
        <v>10</v>
      </c>
      <c r="J213">
        <v>219.66</v>
      </c>
      <c r="L213" t="s">
        <v>59</v>
      </c>
      <c r="M213" t="s">
        <v>170</v>
      </c>
      <c r="N213" t="s">
        <v>111</v>
      </c>
      <c r="O213" t="s">
        <v>126</v>
      </c>
    </row>
    <row r="214" spans="1:15" x14ac:dyDescent="0.25">
      <c r="A214" t="s">
        <v>775</v>
      </c>
      <c r="B214" s="3"/>
      <c r="C214" t="s">
        <v>777</v>
      </c>
      <c r="D214" t="s">
        <v>124</v>
      </c>
      <c r="E214" t="s">
        <v>45</v>
      </c>
      <c r="F214" t="s">
        <v>298</v>
      </c>
      <c r="G214" t="s">
        <v>264</v>
      </c>
      <c r="H214" t="s">
        <v>58</v>
      </c>
      <c r="J214">
        <v>31.99</v>
      </c>
      <c r="K214">
        <v>0.15</v>
      </c>
      <c r="L214" t="s">
        <v>180</v>
      </c>
      <c r="M214" t="s">
        <v>86</v>
      </c>
      <c r="N214" t="s">
        <v>26</v>
      </c>
      <c r="O214" t="s">
        <v>87</v>
      </c>
    </row>
    <row r="215" spans="1:15" x14ac:dyDescent="0.25">
      <c r="A215" t="s">
        <v>630</v>
      </c>
      <c r="B215" s="3">
        <v>45514</v>
      </c>
      <c r="C215" t="s">
        <v>632</v>
      </c>
      <c r="D215" t="s">
        <v>152</v>
      </c>
      <c r="E215" t="s">
        <v>117</v>
      </c>
      <c r="F215" t="s">
        <v>298</v>
      </c>
      <c r="G215" t="s">
        <v>131</v>
      </c>
      <c r="H215" t="s">
        <v>108</v>
      </c>
      <c r="I215">
        <v>10</v>
      </c>
      <c r="J215">
        <v>478.89</v>
      </c>
      <c r="K215">
        <v>0.2</v>
      </c>
      <c r="L215" t="s">
        <v>139</v>
      </c>
      <c r="M215" t="s">
        <v>165</v>
      </c>
      <c r="O215" t="s">
        <v>93</v>
      </c>
    </row>
    <row r="216" spans="1:15" x14ac:dyDescent="0.25">
      <c r="A216" t="s">
        <v>623</v>
      </c>
      <c r="B216" s="3">
        <v>45426</v>
      </c>
      <c r="C216" t="s">
        <v>625</v>
      </c>
      <c r="D216" t="s">
        <v>152</v>
      </c>
      <c r="E216" t="s">
        <v>117</v>
      </c>
      <c r="F216" t="s">
        <v>184</v>
      </c>
      <c r="G216" t="s">
        <v>323</v>
      </c>
      <c r="H216" t="s">
        <v>48</v>
      </c>
      <c r="I216">
        <v>11</v>
      </c>
      <c r="J216">
        <v>238.15</v>
      </c>
      <c r="L216" t="s">
        <v>79</v>
      </c>
      <c r="M216" t="s">
        <v>60</v>
      </c>
      <c r="N216" t="s">
        <v>39</v>
      </c>
      <c r="O216" t="s">
        <v>126</v>
      </c>
    </row>
    <row r="217" spans="1:15" x14ac:dyDescent="0.25">
      <c r="A217" t="s">
        <v>778</v>
      </c>
      <c r="B217" s="3">
        <v>45335</v>
      </c>
      <c r="C217" t="s">
        <v>779</v>
      </c>
      <c r="D217" t="s">
        <v>162</v>
      </c>
      <c r="E217" t="s">
        <v>117</v>
      </c>
      <c r="F217" t="s">
        <v>33</v>
      </c>
      <c r="G217" t="s">
        <v>323</v>
      </c>
      <c r="H217" t="s">
        <v>178</v>
      </c>
      <c r="I217">
        <v>10</v>
      </c>
      <c r="J217">
        <v>458.79</v>
      </c>
      <c r="K217">
        <v>0.15</v>
      </c>
      <c r="L217" t="s">
        <v>281</v>
      </c>
      <c r="M217" t="s">
        <v>110</v>
      </c>
      <c r="O217" t="s">
        <v>93</v>
      </c>
    </row>
    <row r="218" spans="1:15" x14ac:dyDescent="0.25">
      <c r="A218" t="s">
        <v>780</v>
      </c>
      <c r="B218" s="3">
        <v>45418</v>
      </c>
      <c r="C218" t="s">
        <v>781</v>
      </c>
      <c r="D218" t="s">
        <v>152</v>
      </c>
      <c r="E218" t="s">
        <v>19</v>
      </c>
      <c r="F218" t="s">
        <v>184</v>
      </c>
      <c r="G218" t="s">
        <v>368</v>
      </c>
      <c r="H218" t="s">
        <v>178</v>
      </c>
      <c r="I218">
        <v>2</v>
      </c>
      <c r="J218">
        <v>65.959999999999994</v>
      </c>
      <c r="K218">
        <v>0.15</v>
      </c>
      <c r="L218" t="s">
        <v>139</v>
      </c>
      <c r="M218" t="s">
        <v>144</v>
      </c>
      <c r="N218" t="s">
        <v>111</v>
      </c>
      <c r="O218" t="s">
        <v>27</v>
      </c>
    </row>
    <row r="219" spans="1:15" x14ac:dyDescent="0.25">
      <c r="A219" t="s">
        <v>783</v>
      </c>
      <c r="B219" s="3"/>
      <c r="C219" t="s">
        <v>785</v>
      </c>
      <c r="D219" t="s">
        <v>97</v>
      </c>
      <c r="E219" t="s">
        <v>65</v>
      </c>
      <c r="F219" t="s">
        <v>106</v>
      </c>
      <c r="G219" t="s">
        <v>34</v>
      </c>
      <c r="H219" t="s">
        <v>108</v>
      </c>
      <c r="J219">
        <v>209.84</v>
      </c>
      <c r="K219">
        <v>0.2</v>
      </c>
      <c r="L219" t="s">
        <v>24</v>
      </c>
      <c r="M219" t="s">
        <v>110</v>
      </c>
      <c r="N219" t="s">
        <v>26</v>
      </c>
      <c r="O219" t="s">
        <v>112</v>
      </c>
    </row>
    <row r="220" spans="1:15" x14ac:dyDescent="0.25">
      <c r="A220" t="s">
        <v>730</v>
      </c>
      <c r="B220" s="3"/>
      <c r="C220" t="s">
        <v>732</v>
      </c>
      <c r="D220" t="s">
        <v>116</v>
      </c>
      <c r="E220" t="s">
        <v>117</v>
      </c>
      <c r="F220" t="s">
        <v>235</v>
      </c>
      <c r="G220" t="s">
        <v>137</v>
      </c>
      <c r="H220" t="s">
        <v>108</v>
      </c>
      <c r="I220">
        <v>10</v>
      </c>
      <c r="J220">
        <v>104.42</v>
      </c>
      <c r="K220">
        <v>0.1</v>
      </c>
      <c r="L220" t="s">
        <v>260</v>
      </c>
      <c r="M220" t="s">
        <v>70</v>
      </c>
      <c r="O220" t="s">
        <v>40</v>
      </c>
    </row>
    <row r="221" spans="1:15" x14ac:dyDescent="0.25">
      <c r="A221" t="s">
        <v>786</v>
      </c>
      <c r="B221" s="3">
        <v>45476</v>
      </c>
      <c r="C221" t="s">
        <v>788</v>
      </c>
      <c r="D221" t="s">
        <v>18</v>
      </c>
      <c r="E221" t="s">
        <v>19</v>
      </c>
      <c r="F221" t="s">
        <v>130</v>
      </c>
      <c r="G221" t="s">
        <v>21</v>
      </c>
      <c r="H221" t="s">
        <v>58</v>
      </c>
      <c r="I221">
        <v>6</v>
      </c>
      <c r="J221">
        <v>65.069999999999993</v>
      </c>
      <c r="L221" t="s">
        <v>237</v>
      </c>
      <c r="M221" t="s">
        <v>38</v>
      </c>
      <c r="N221" t="s">
        <v>39</v>
      </c>
    </row>
    <row r="222" spans="1:15" x14ac:dyDescent="0.25">
      <c r="A222" t="s">
        <v>790</v>
      </c>
      <c r="B222" s="3">
        <v>45605</v>
      </c>
      <c r="C222" t="s">
        <v>792</v>
      </c>
      <c r="D222" t="s">
        <v>152</v>
      </c>
      <c r="E222" t="s">
        <v>19</v>
      </c>
      <c r="F222" t="s">
        <v>77</v>
      </c>
      <c r="G222" t="s">
        <v>268</v>
      </c>
      <c r="H222" t="s">
        <v>68</v>
      </c>
      <c r="I222">
        <v>3</v>
      </c>
      <c r="J222">
        <v>402.96</v>
      </c>
      <c r="L222" t="s">
        <v>102</v>
      </c>
      <c r="M222" t="s">
        <v>208</v>
      </c>
      <c r="N222" t="s">
        <v>71</v>
      </c>
      <c r="O222" t="s">
        <v>112</v>
      </c>
    </row>
    <row r="223" spans="1:15" x14ac:dyDescent="0.25">
      <c r="A223" t="s">
        <v>793</v>
      </c>
      <c r="B223" s="3">
        <v>45355</v>
      </c>
      <c r="C223" t="s">
        <v>795</v>
      </c>
      <c r="D223" t="s">
        <v>55</v>
      </c>
      <c r="E223" t="s">
        <v>76</v>
      </c>
      <c r="F223" t="s">
        <v>153</v>
      </c>
      <c r="G223" t="s">
        <v>148</v>
      </c>
      <c r="H223" t="s">
        <v>68</v>
      </c>
      <c r="J223">
        <v>183.39</v>
      </c>
      <c r="K223">
        <v>0.15</v>
      </c>
      <c r="L223" t="s">
        <v>102</v>
      </c>
      <c r="M223" t="s">
        <v>165</v>
      </c>
      <c r="O223" t="s">
        <v>40</v>
      </c>
    </row>
    <row r="224" spans="1:15" x14ac:dyDescent="0.25">
      <c r="A224" t="s">
        <v>797</v>
      </c>
      <c r="B224" s="3">
        <v>45516</v>
      </c>
      <c r="C224" t="s">
        <v>799</v>
      </c>
      <c r="D224" t="s">
        <v>175</v>
      </c>
      <c r="E224" t="s">
        <v>76</v>
      </c>
      <c r="F224" t="s">
        <v>189</v>
      </c>
      <c r="G224" t="s">
        <v>330</v>
      </c>
      <c r="H224" t="s">
        <v>178</v>
      </c>
      <c r="I224">
        <v>12</v>
      </c>
      <c r="J224">
        <v>118.33</v>
      </c>
      <c r="K224">
        <v>0</v>
      </c>
      <c r="L224" t="s">
        <v>102</v>
      </c>
      <c r="M224" t="s">
        <v>25</v>
      </c>
      <c r="N224" t="s">
        <v>71</v>
      </c>
      <c r="O224" t="s">
        <v>40</v>
      </c>
    </row>
    <row r="225" spans="1:15" x14ac:dyDescent="0.25">
      <c r="A225" t="s">
        <v>800</v>
      </c>
      <c r="B225" s="3">
        <v>45516</v>
      </c>
      <c r="C225" t="s">
        <v>802</v>
      </c>
      <c r="D225" t="s">
        <v>334</v>
      </c>
      <c r="E225" t="s">
        <v>125</v>
      </c>
      <c r="F225" t="s">
        <v>56</v>
      </c>
      <c r="G225" t="s">
        <v>154</v>
      </c>
      <c r="H225" t="s">
        <v>35</v>
      </c>
      <c r="I225">
        <v>4</v>
      </c>
      <c r="J225">
        <v>378.86</v>
      </c>
      <c r="K225">
        <v>0.15</v>
      </c>
      <c r="L225" t="s">
        <v>132</v>
      </c>
      <c r="M225" t="s">
        <v>158</v>
      </c>
      <c r="N225" t="s">
        <v>71</v>
      </c>
      <c r="O225" t="s">
        <v>87</v>
      </c>
    </row>
    <row r="226" spans="1:15" x14ac:dyDescent="0.25">
      <c r="A226" t="s">
        <v>803</v>
      </c>
      <c r="B226" s="3">
        <v>45468</v>
      </c>
      <c r="C226" t="s">
        <v>805</v>
      </c>
      <c r="D226" t="s">
        <v>116</v>
      </c>
      <c r="E226" t="s">
        <v>117</v>
      </c>
      <c r="F226" t="s">
        <v>46</v>
      </c>
      <c r="G226" t="s">
        <v>107</v>
      </c>
      <c r="H226" t="s">
        <v>195</v>
      </c>
      <c r="I226">
        <v>12</v>
      </c>
      <c r="J226">
        <v>295.52999999999997</v>
      </c>
      <c r="K226">
        <v>0.05</v>
      </c>
      <c r="L226" t="s">
        <v>59</v>
      </c>
      <c r="M226" t="s">
        <v>201</v>
      </c>
      <c r="N226" t="s">
        <v>50</v>
      </c>
      <c r="O226" t="s">
        <v>93</v>
      </c>
    </row>
    <row r="227" spans="1:15" x14ac:dyDescent="0.25">
      <c r="A227" t="s">
        <v>806</v>
      </c>
      <c r="B227" s="3">
        <v>45383</v>
      </c>
      <c r="C227" t="s">
        <v>808</v>
      </c>
      <c r="D227" t="s">
        <v>75</v>
      </c>
      <c r="E227" t="s">
        <v>76</v>
      </c>
      <c r="F227" t="s">
        <v>153</v>
      </c>
      <c r="G227" t="s">
        <v>57</v>
      </c>
      <c r="H227" t="s">
        <v>48</v>
      </c>
      <c r="I227">
        <v>7</v>
      </c>
      <c r="J227">
        <v>7.71</v>
      </c>
      <c r="L227" t="s">
        <v>102</v>
      </c>
      <c r="M227" t="s">
        <v>60</v>
      </c>
      <c r="N227" t="s">
        <v>26</v>
      </c>
      <c r="O227" t="s">
        <v>40</v>
      </c>
    </row>
    <row r="228" spans="1:15" x14ac:dyDescent="0.25">
      <c r="A228" t="s">
        <v>494</v>
      </c>
      <c r="B228" s="3">
        <v>45587</v>
      </c>
      <c r="C228" t="s">
        <v>854</v>
      </c>
      <c r="D228" t="s">
        <v>31</v>
      </c>
      <c r="E228" t="s">
        <v>76</v>
      </c>
      <c r="F228" t="s">
        <v>136</v>
      </c>
      <c r="G228" t="s">
        <v>268</v>
      </c>
      <c r="H228" t="s">
        <v>48</v>
      </c>
      <c r="I228">
        <v>7</v>
      </c>
      <c r="J228">
        <v>217.67</v>
      </c>
      <c r="L228" t="s">
        <v>260</v>
      </c>
      <c r="M228" t="s">
        <v>170</v>
      </c>
      <c r="N228" t="s">
        <v>26</v>
      </c>
      <c r="O228" t="s">
        <v>87</v>
      </c>
    </row>
    <row r="229" spans="1:15" x14ac:dyDescent="0.25">
      <c r="A229" t="s">
        <v>809</v>
      </c>
      <c r="B229" s="3">
        <v>45433</v>
      </c>
      <c r="C229" t="s">
        <v>811</v>
      </c>
      <c r="D229" t="s">
        <v>18</v>
      </c>
      <c r="E229" t="s">
        <v>117</v>
      </c>
      <c r="F229" t="s">
        <v>20</v>
      </c>
      <c r="G229" t="s">
        <v>213</v>
      </c>
      <c r="H229" t="s">
        <v>200</v>
      </c>
      <c r="I229">
        <v>6</v>
      </c>
      <c r="J229">
        <v>270.25</v>
      </c>
      <c r="L229" t="s">
        <v>24</v>
      </c>
      <c r="M229" t="s">
        <v>70</v>
      </c>
      <c r="N229" t="s">
        <v>50</v>
      </c>
      <c r="O229" t="s">
        <v>93</v>
      </c>
    </row>
    <row r="230" spans="1:15" x14ac:dyDescent="0.25">
      <c r="A230" t="s">
        <v>812</v>
      </c>
      <c r="B230" s="3">
        <v>45534</v>
      </c>
      <c r="C230" t="s">
        <v>814</v>
      </c>
      <c r="D230" t="s">
        <v>44</v>
      </c>
      <c r="E230" t="s">
        <v>45</v>
      </c>
      <c r="F230" t="s">
        <v>235</v>
      </c>
      <c r="G230" t="s">
        <v>236</v>
      </c>
      <c r="H230" t="s">
        <v>22</v>
      </c>
      <c r="I230">
        <v>8</v>
      </c>
      <c r="J230">
        <v>51.06</v>
      </c>
      <c r="K230">
        <v>0.1</v>
      </c>
      <c r="L230" t="s">
        <v>132</v>
      </c>
      <c r="M230" t="s">
        <v>110</v>
      </c>
      <c r="N230" t="s">
        <v>71</v>
      </c>
      <c r="O230" t="s">
        <v>93</v>
      </c>
    </row>
    <row r="231" spans="1:15" x14ac:dyDescent="0.25">
      <c r="A231" t="s">
        <v>816</v>
      </c>
      <c r="B231" s="3">
        <v>45652</v>
      </c>
      <c r="C231" t="s">
        <v>818</v>
      </c>
      <c r="D231" t="s">
        <v>175</v>
      </c>
      <c r="E231" t="s">
        <v>76</v>
      </c>
      <c r="F231" t="s">
        <v>99</v>
      </c>
      <c r="G231" t="s">
        <v>220</v>
      </c>
      <c r="H231" t="s">
        <v>58</v>
      </c>
      <c r="I231">
        <v>7</v>
      </c>
      <c r="J231">
        <v>42.13</v>
      </c>
      <c r="K231">
        <v>0.1</v>
      </c>
      <c r="L231" t="s">
        <v>79</v>
      </c>
      <c r="M231" t="s">
        <v>110</v>
      </c>
      <c r="N231" t="s">
        <v>50</v>
      </c>
      <c r="O231" t="s">
        <v>51</v>
      </c>
    </row>
    <row r="232" spans="1:15" x14ac:dyDescent="0.25">
      <c r="A232" t="s">
        <v>820</v>
      </c>
      <c r="B232" s="3">
        <v>45341</v>
      </c>
      <c r="C232" t="s">
        <v>822</v>
      </c>
      <c r="D232" t="s">
        <v>212</v>
      </c>
      <c r="F232" t="s">
        <v>184</v>
      </c>
      <c r="G232" t="s">
        <v>107</v>
      </c>
      <c r="H232" t="s">
        <v>68</v>
      </c>
      <c r="I232">
        <v>9</v>
      </c>
      <c r="J232">
        <v>270.19</v>
      </c>
      <c r="K232">
        <v>0.15</v>
      </c>
      <c r="L232" t="s">
        <v>237</v>
      </c>
      <c r="M232" t="s">
        <v>208</v>
      </c>
      <c r="N232" t="s">
        <v>39</v>
      </c>
      <c r="O232" t="s">
        <v>112</v>
      </c>
    </row>
    <row r="233" spans="1:15" x14ac:dyDescent="0.25">
      <c r="A233" t="s">
        <v>823</v>
      </c>
      <c r="B233" s="3">
        <v>45362</v>
      </c>
      <c r="C233" t="s">
        <v>824</v>
      </c>
      <c r="D233" t="s">
        <v>194</v>
      </c>
      <c r="E233" t="s">
        <v>65</v>
      </c>
      <c r="F233" t="s">
        <v>235</v>
      </c>
      <c r="G233" t="s">
        <v>137</v>
      </c>
      <c r="H233" t="s">
        <v>22</v>
      </c>
      <c r="I233">
        <v>8</v>
      </c>
      <c r="J233">
        <v>390.17</v>
      </c>
      <c r="K233">
        <v>0.05</v>
      </c>
      <c r="L233" t="s">
        <v>24</v>
      </c>
      <c r="M233" t="s">
        <v>144</v>
      </c>
      <c r="N233" t="s">
        <v>26</v>
      </c>
      <c r="O233" t="s">
        <v>126</v>
      </c>
    </row>
    <row r="234" spans="1:15" x14ac:dyDescent="0.25">
      <c r="A234" t="s">
        <v>825</v>
      </c>
      <c r="B234" s="3">
        <v>45405</v>
      </c>
      <c r="C234" t="s">
        <v>827</v>
      </c>
      <c r="D234" t="s">
        <v>258</v>
      </c>
      <c r="E234" t="s">
        <v>125</v>
      </c>
      <c r="F234" t="s">
        <v>83</v>
      </c>
      <c r="G234" t="s">
        <v>177</v>
      </c>
      <c r="H234" t="s">
        <v>108</v>
      </c>
      <c r="I234">
        <v>9</v>
      </c>
      <c r="J234">
        <v>301.98</v>
      </c>
      <c r="K234">
        <v>0.15</v>
      </c>
      <c r="L234" t="s">
        <v>180</v>
      </c>
      <c r="M234" t="s">
        <v>60</v>
      </c>
    </row>
    <row r="235" spans="1:15" x14ac:dyDescent="0.25">
      <c r="A235" t="s">
        <v>828</v>
      </c>
      <c r="B235" s="3">
        <v>45452</v>
      </c>
      <c r="C235" t="s">
        <v>829</v>
      </c>
      <c r="D235" t="s">
        <v>212</v>
      </c>
      <c r="E235" t="s">
        <v>65</v>
      </c>
      <c r="F235" t="s">
        <v>33</v>
      </c>
      <c r="G235" t="s">
        <v>34</v>
      </c>
      <c r="H235" t="s">
        <v>48</v>
      </c>
      <c r="I235">
        <v>11</v>
      </c>
      <c r="J235">
        <v>40.68</v>
      </c>
      <c r="L235" t="s">
        <v>143</v>
      </c>
      <c r="M235" t="s">
        <v>38</v>
      </c>
      <c r="N235" t="s">
        <v>39</v>
      </c>
      <c r="O235" t="s">
        <v>51</v>
      </c>
    </row>
    <row r="236" spans="1:15" x14ac:dyDescent="0.25">
      <c r="A236" t="s">
        <v>830</v>
      </c>
      <c r="B236" s="3">
        <v>45322</v>
      </c>
      <c r="C236" t="s">
        <v>832</v>
      </c>
      <c r="D236" t="s">
        <v>97</v>
      </c>
      <c r="E236" t="s">
        <v>98</v>
      </c>
      <c r="F236" t="s">
        <v>130</v>
      </c>
      <c r="G236" t="s">
        <v>21</v>
      </c>
      <c r="H236" t="s">
        <v>22</v>
      </c>
      <c r="I236">
        <v>2</v>
      </c>
      <c r="J236">
        <v>47.26</v>
      </c>
      <c r="K236">
        <v>0.1</v>
      </c>
      <c r="L236" t="s">
        <v>237</v>
      </c>
      <c r="M236" t="s">
        <v>208</v>
      </c>
      <c r="N236" t="s">
        <v>26</v>
      </c>
      <c r="O236" t="s">
        <v>93</v>
      </c>
    </row>
    <row r="237" spans="1:15" x14ac:dyDescent="0.25">
      <c r="A237" t="s">
        <v>833</v>
      </c>
      <c r="B237" s="3">
        <v>45344</v>
      </c>
      <c r="C237" t="s">
        <v>835</v>
      </c>
      <c r="D237" t="s">
        <v>212</v>
      </c>
      <c r="E237" t="s">
        <v>98</v>
      </c>
      <c r="F237" t="s">
        <v>66</v>
      </c>
      <c r="G237" t="s">
        <v>67</v>
      </c>
      <c r="H237" t="s">
        <v>108</v>
      </c>
      <c r="I237">
        <v>9</v>
      </c>
      <c r="J237">
        <v>45.89</v>
      </c>
      <c r="K237">
        <v>0.05</v>
      </c>
      <c r="L237" t="s">
        <v>102</v>
      </c>
      <c r="M237" t="s">
        <v>92</v>
      </c>
      <c r="N237" t="s">
        <v>71</v>
      </c>
    </row>
    <row r="238" spans="1:15" x14ac:dyDescent="0.25">
      <c r="A238" t="s">
        <v>836</v>
      </c>
      <c r="B238" s="3">
        <v>45510</v>
      </c>
      <c r="C238" t="s">
        <v>837</v>
      </c>
      <c r="D238" t="s">
        <v>152</v>
      </c>
      <c r="E238" t="s">
        <v>19</v>
      </c>
      <c r="F238" t="s">
        <v>136</v>
      </c>
      <c r="G238" t="s">
        <v>318</v>
      </c>
      <c r="H238" t="s">
        <v>68</v>
      </c>
      <c r="I238">
        <v>12</v>
      </c>
      <c r="J238">
        <v>151.04</v>
      </c>
      <c r="L238" t="s">
        <v>79</v>
      </c>
      <c r="M238" t="s">
        <v>158</v>
      </c>
      <c r="N238" t="s">
        <v>50</v>
      </c>
    </row>
    <row r="239" spans="1:15" x14ac:dyDescent="0.25">
      <c r="A239" t="s">
        <v>838</v>
      </c>
      <c r="B239" s="3">
        <v>45495</v>
      </c>
      <c r="C239" t="s">
        <v>840</v>
      </c>
      <c r="D239" t="s">
        <v>334</v>
      </c>
      <c r="E239" t="s">
        <v>125</v>
      </c>
      <c r="F239" t="s">
        <v>66</v>
      </c>
      <c r="G239" t="s">
        <v>67</v>
      </c>
      <c r="H239" t="s">
        <v>58</v>
      </c>
      <c r="I239">
        <v>11</v>
      </c>
      <c r="J239">
        <v>361.68</v>
      </c>
      <c r="L239" t="s">
        <v>102</v>
      </c>
      <c r="M239" t="s">
        <v>110</v>
      </c>
      <c r="N239" t="s">
        <v>39</v>
      </c>
      <c r="O239" t="s">
        <v>112</v>
      </c>
    </row>
    <row r="240" spans="1:15" x14ac:dyDescent="0.25">
      <c r="A240" t="s">
        <v>841</v>
      </c>
      <c r="B240" s="3">
        <v>45642</v>
      </c>
      <c r="C240" t="s">
        <v>843</v>
      </c>
      <c r="D240" t="s">
        <v>194</v>
      </c>
      <c r="F240" t="s">
        <v>20</v>
      </c>
      <c r="G240" t="s">
        <v>213</v>
      </c>
      <c r="H240" t="s">
        <v>22</v>
      </c>
      <c r="I240">
        <v>5</v>
      </c>
      <c r="J240">
        <v>15.02</v>
      </c>
      <c r="L240" t="s">
        <v>260</v>
      </c>
      <c r="M240" t="s">
        <v>38</v>
      </c>
      <c r="O240" t="s">
        <v>40</v>
      </c>
    </row>
    <row r="241" spans="1:15" x14ac:dyDescent="0.25">
      <c r="A241" t="s">
        <v>381</v>
      </c>
      <c r="B241" s="3">
        <v>45555</v>
      </c>
      <c r="C241" t="s">
        <v>844</v>
      </c>
      <c r="D241" t="s">
        <v>18</v>
      </c>
      <c r="E241" t="s">
        <v>19</v>
      </c>
      <c r="F241" t="s">
        <v>46</v>
      </c>
      <c r="G241" t="s">
        <v>47</v>
      </c>
      <c r="H241" t="s">
        <v>22</v>
      </c>
      <c r="I241">
        <v>8</v>
      </c>
      <c r="J241">
        <v>258.02999999999997</v>
      </c>
      <c r="K241">
        <v>0.05</v>
      </c>
      <c r="L241" t="s">
        <v>132</v>
      </c>
      <c r="M241" t="s">
        <v>60</v>
      </c>
      <c r="N241" t="s">
        <v>71</v>
      </c>
    </row>
    <row r="242" spans="1:15" x14ac:dyDescent="0.25">
      <c r="A242" t="s">
        <v>845</v>
      </c>
      <c r="B242" s="3">
        <v>45543</v>
      </c>
      <c r="C242" t="s">
        <v>847</v>
      </c>
      <c r="D242" t="s">
        <v>55</v>
      </c>
      <c r="E242" t="s">
        <v>199</v>
      </c>
      <c r="F242" t="s">
        <v>106</v>
      </c>
      <c r="G242" t="s">
        <v>323</v>
      </c>
      <c r="H242" t="s">
        <v>68</v>
      </c>
      <c r="I242">
        <v>3</v>
      </c>
      <c r="J242">
        <v>327.5</v>
      </c>
      <c r="L242" t="s">
        <v>79</v>
      </c>
      <c r="M242" t="s">
        <v>165</v>
      </c>
      <c r="O242" t="s">
        <v>87</v>
      </c>
    </row>
    <row r="243" spans="1:15" x14ac:dyDescent="0.25">
      <c r="A243" t="s">
        <v>848</v>
      </c>
      <c r="B243" s="3">
        <v>45635</v>
      </c>
      <c r="C243" t="s">
        <v>849</v>
      </c>
      <c r="D243" t="s">
        <v>97</v>
      </c>
      <c r="E243" t="s">
        <v>65</v>
      </c>
      <c r="F243" t="s">
        <v>33</v>
      </c>
      <c r="G243" t="s">
        <v>34</v>
      </c>
      <c r="H243" t="s">
        <v>178</v>
      </c>
      <c r="I243">
        <v>8</v>
      </c>
      <c r="J243">
        <v>373.94</v>
      </c>
      <c r="K243">
        <v>0.05</v>
      </c>
      <c r="L243" t="s">
        <v>132</v>
      </c>
      <c r="M243" t="s">
        <v>60</v>
      </c>
      <c r="O243" t="s">
        <v>87</v>
      </c>
    </row>
    <row r="244" spans="1:15" x14ac:dyDescent="0.25">
      <c r="A244" t="s">
        <v>851</v>
      </c>
      <c r="B244" s="3">
        <v>45388</v>
      </c>
      <c r="C244" t="s">
        <v>853</v>
      </c>
      <c r="D244" t="s">
        <v>18</v>
      </c>
      <c r="E244" t="s">
        <v>19</v>
      </c>
      <c r="F244" t="s">
        <v>91</v>
      </c>
      <c r="G244" t="s">
        <v>164</v>
      </c>
      <c r="H244" t="s">
        <v>48</v>
      </c>
      <c r="I244">
        <v>7</v>
      </c>
      <c r="J244">
        <v>279.39</v>
      </c>
      <c r="K244">
        <v>0.15</v>
      </c>
      <c r="L244" t="s">
        <v>237</v>
      </c>
      <c r="M244" t="s">
        <v>110</v>
      </c>
      <c r="O244" t="s">
        <v>87</v>
      </c>
    </row>
    <row r="245" spans="1:15" x14ac:dyDescent="0.25">
      <c r="A245" t="s">
        <v>593</v>
      </c>
      <c r="B245" s="3">
        <v>45493</v>
      </c>
      <c r="C245" t="s">
        <v>595</v>
      </c>
      <c r="D245" t="s">
        <v>258</v>
      </c>
      <c r="E245" t="s">
        <v>45</v>
      </c>
      <c r="F245" t="s">
        <v>77</v>
      </c>
      <c r="G245" t="s">
        <v>236</v>
      </c>
      <c r="H245" t="s">
        <v>108</v>
      </c>
      <c r="I245">
        <v>11</v>
      </c>
      <c r="J245">
        <v>205.14</v>
      </c>
      <c r="K245">
        <v>0.05</v>
      </c>
      <c r="L245" t="s">
        <v>79</v>
      </c>
      <c r="M245" t="s">
        <v>201</v>
      </c>
      <c r="N245" t="s">
        <v>39</v>
      </c>
      <c r="O245" t="s">
        <v>126</v>
      </c>
    </row>
    <row r="246" spans="1:15" x14ac:dyDescent="0.25">
      <c r="A246" t="s">
        <v>991</v>
      </c>
      <c r="B246" s="3">
        <v>44595</v>
      </c>
      <c r="C246" t="s">
        <v>989</v>
      </c>
      <c r="D246" t="s">
        <v>75</v>
      </c>
      <c r="E246" t="s">
        <v>992</v>
      </c>
      <c r="F246" t="s">
        <v>990</v>
      </c>
      <c r="G246" t="s">
        <v>993</v>
      </c>
      <c r="H246" t="s">
        <v>22</v>
      </c>
      <c r="I246">
        <v>2</v>
      </c>
      <c r="J246" s="9">
        <v>45</v>
      </c>
      <c r="K246">
        <v>0.2</v>
      </c>
      <c r="L246" t="s">
        <v>260</v>
      </c>
      <c r="M246" t="s">
        <v>38</v>
      </c>
      <c r="O246" t="s">
        <v>994</v>
      </c>
    </row>
    <row r="247" spans="1:15" x14ac:dyDescent="0.25">
      <c r="A247" s="11" t="s">
        <v>664</v>
      </c>
      <c r="B247" s="3">
        <v>45720</v>
      </c>
      <c r="C247" s="11" t="s">
        <v>1005</v>
      </c>
      <c r="D247" s="11" t="s">
        <v>75</v>
      </c>
      <c r="E247" s="11" t="s">
        <v>45</v>
      </c>
      <c r="F247" s="11" t="s">
        <v>176</v>
      </c>
      <c r="G247" s="11" t="s">
        <v>1011</v>
      </c>
      <c r="H247" s="11" t="s">
        <v>22</v>
      </c>
      <c r="I247">
        <v>1</v>
      </c>
      <c r="J247" s="9">
        <v>98</v>
      </c>
      <c r="L247" s="11" t="s">
        <v>1016</v>
      </c>
      <c r="M247" s="11" t="s">
        <v>165</v>
      </c>
      <c r="N247" s="11"/>
      <c r="O247" s="11"/>
    </row>
    <row r="248" spans="1:15" x14ac:dyDescent="0.25">
      <c r="A248" s="11" t="s">
        <v>1017</v>
      </c>
      <c r="B248" s="3">
        <v>45906</v>
      </c>
      <c r="C248" s="11" t="s">
        <v>1006</v>
      </c>
      <c r="D248" s="11" t="s">
        <v>44</v>
      </c>
      <c r="E248" s="11" t="s">
        <v>98</v>
      </c>
      <c r="F248" s="11" t="s">
        <v>77</v>
      </c>
      <c r="G248" s="11" t="s">
        <v>1012</v>
      </c>
      <c r="H248" s="11" t="s">
        <v>35</v>
      </c>
      <c r="I248">
        <v>2</v>
      </c>
      <c r="J248" s="9">
        <v>25</v>
      </c>
      <c r="L248" s="11" t="s">
        <v>237</v>
      </c>
      <c r="M248" s="11" t="s">
        <v>25</v>
      </c>
      <c r="N248" s="11"/>
      <c r="O248" s="11"/>
    </row>
    <row r="249" spans="1:15" x14ac:dyDescent="0.25">
      <c r="A249" s="11" t="s">
        <v>1018</v>
      </c>
      <c r="B249" s="3">
        <v>45748</v>
      </c>
      <c r="C249" s="11" t="s">
        <v>1007</v>
      </c>
      <c r="D249" s="11" t="s">
        <v>55</v>
      </c>
      <c r="E249" s="11" t="s">
        <v>19</v>
      </c>
      <c r="F249" s="11" t="s">
        <v>1010</v>
      </c>
      <c r="G249" s="11" t="s">
        <v>1013</v>
      </c>
      <c r="H249" s="11" t="s">
        <v>58</v>
      </c>
      <c r="I249">
        <v>3</v>
      </c>
      <c r="J249" s="9">
        <v>85</v>
      </c>
      <c r="L249" s="11" t="s">
        <v>1016</v>
      </c>
      <c r="M249" s="11" t="s">
        <v>25</v>
      </c>
      <c r="N249" s="11"/>
      <c r="O249" s="11"/>
    </row>
    <row r="250" spans="1:15" x14ac:dyDescent="0.25">
      <c r="A250" s="11" t="s">
        <v>1019</v>
      </c>
      <c r="B250" s="3">
        <v>45878</v>
      </c>
      <c r="C250" s="11" t="s">
        <v>1008</v>
      </c>
      <c r="D250" s="11" t="s">
        <v>97</v>
      </c>
      <c r="E250" s="11" t="s">
        <v>65</v>
      </c>
      <c r="F250" s="11" t="s">
        <v>176</v>
      </c>
      <c r="G250" s="11" t="s">
        <v>1014</v>
      </c>
      <c r="H250" s="11" t="s">
        <v>22</v>
      </c>
      <c r="I250">
        <v>4</v>
      </c>
      <c r="J250" s="9">
        <v>40</v>
      </c>
      <c r="L250" s="11" t="s">
        <v>79</v>
      </c>
      <c r="M250" s="11" t="s">
        <v>165</v>
      </c>
      <c r="N250" s="11"/>
      <c r="O250" s="11"/>
    </row>
    <row r="251" spans="1:15" x14ac:dyDescent="0.25">
      <c r="A251" s="11" t="s">
        <v>1020</v>
      </c>
      <c r="B251" s="3">
        <v>45841</v>
      </c>
      <c r="C251" s="11" t="s">
        <v>1009</v>
      </c>
      <c r="D251" s="11" t="s">
        <v>152</v>
      </c>
      <c r="E251" s="11" t="s">
        <v>125</v>
      </c>
      <c r="F251" s="11" t="s">
        <v>136</v>
      </c>
      <c r="G251" s="11" t="s">
        <v>1015</v>
      </c>
      <c r="H251" s="11" t="s">
        <v>35</v>
      </c>
      <c r="I251">
        <v>5</v>
      </c>
      <c r="J251" s="9">
        <v>77</v>
      </c>
      <c r="L251" s="11" t="s">
        <v>260</v>
      </c>
      <c r="M251" s="11" t="s">
        <v>110</v>
      </c>
      <c r="N251" s="11"/>
      <c r="O251" s="11"/>
    </row>
  </sheetData>
  <phoneticPr fontId="4" type="noConversion"/>
  <dataValidations count="1">
    <dataValidation type="list" allowBlank="1" showInputMessage="1" showErrorMessage="1" sqref="D2:D245" xr:uid="{060BF56E-49FB-4BF3-83EC-80862CD16622}">
      <formula1>"North,South,East,West"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BCE7-D2B4-4369-B6FF-2CAD76806611}">
  <dimension ref="A1:B5"/>
  <sheetViews>
    <sheetView workbookViewId="0">
      <selection activeCell="H10" sqref="H10"/>
    </sheetView>
  </sheetViews>
  <sheetFormatPr defaultRowHeight="15" x14ac:dyDescent="0.25"/>
  <cols>
    <col min="1" max="1" width="9.28515625" customWidth="1"/>
    <col min="2" max="2" width="16.28515625" customWidth="1"/>
  </cols>
  <sheetData>
    <row r="1" spans="1:2" ht="30" x14ac:dyDescent="0.25">
      <c r="A1" s="4" t="s">
        <v>3</v>
      </c>
      <c r="B1" s="6" t="s">
        <v>855</v>
      </c>
    </row>
    <row r="2" spans="1:2" x14ac:dyDescent="0.25">
      <c r="A2" s="7" t="s">
        <v>188</v>
      </c>
      <c r="B2" s="5">
        <v>15000</v>
      </c>
    </row>
    <row r="3" spans="1:2" x14ac:dyDescent="0.25">
      <c r="A3" s="7" t="s">
        <v>44</v>
      </c>
      <c r="B3" s="5">
        <v>12000</v>
      </c>
    </row>
    <row r="4" spans="1:2" x14ac:dyDescent="0.25">
      <c r="A4" s="7" t="s">
        <v>162</v>
      </c>
      <c r="B4" s="5">
        <v>9000</v>
      </c>
    </row>
    <row r="5" spans="1:2" x14ac:dyDescent="0.25">
      <c r="A5" s="7" t="s">
        <v>97</v>
      </c>
      <c r="B5" s="5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BDE8-6ABB-4D4D-99A1-64F278CC2204}">
  <dimension ref="A1:O245"/>
  <sheetViews>
    <sheetView topLeftCell="A10" workbookViewId="0">
      <selection activeCell="L23" sqref="L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369.04</v>
      </c>
      <c r="K2" s="2"/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416.52</v>
      </c>
      <c r="K3" s="2">
        <v>0.05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>
        <v>5</v>
      </c>
      <c r="J4" s="2" t="s">
        <v>49</v>
      </c>
      <c r="K4" s="2">
        <v>0.2</v>
      </c>
      <c r="L4" s="2" t="s">
        <v>37</v>
      </c>
      <c r="M4" s="2" t="s">
        <v>25</v>
      </c>
      <c r="N4" s="2" t="s">
        <v>50</v>
      </c>
      <c r="O4" s="2" t="s">
        <v>51</v>
      </c>
    </row>
    <row r="5" spans="1:15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32</v>
      </c>
      <c r="F5" s="2" t="s">
        <v>56</v>
      </c>
      <c r="G5" s="2" t="s">
        <v>57</v>
      </c>
      <c r="H5" s="2" t="s">
        <v>58</v>
      </c>
      <c r="I5" s="2">
        <v>1</v>
      </c>
      <c r="J5" s="2">
        <v>151.09</v>
      </c>
      <c r="K5" s="2"/>
      <c r="L5" s="2" t="s">
        <v>59</v>
      </c>
      <c r="M5" s="2" t="s">
        <v>60</v>
      </c>
      <c r="N5" s="2" t="s">
        <v>26</v>
      </c>
      <c r="O5" s="2" t="s">
        <v>40</v>
      </c>
    </row>
    <row r="6" spans="1:15" x14ac:dyDescent="0.25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>
        <v>3</v>
      </c>
      <c r="J6" s="2">
        <v>51.05</v>
      </c>
      <c r="K6" s="2">
        <v>0.2</v>
      </c>
      <c r="L6" s="2" t="s">
        <v>69</v>
      </c>
      <c r="M6" s="2" t="s">
        <v>70</v>
      </c>
      <c r="N6" s="2" t="s">
        <v>71</v>
      </c>
      <c r="O6" s="2" t="s">
        <v>27</v>
      </c>
    </row>
    <row r="7" spans="1:1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22</v>
      </c>
      <c r="I7" s="2">
        <v>11</v>
      </c>
      <c r="J7" s="2">
        <v>363.02</v>
      </c>
      <c r="K7" s="2">
        <v>0.05</v>
      </c>
      <c r="L7" s="2" t="s">
        <v>79</v>
      </c>
      <c r="M7" s="2" t="s">
        <v>60</v>
      </c>
      <c r="N7" s="2" t="s">
        <v>39</v>
      </c>
      <c r="O7" s="2" t="s">
        <v>27</v>
      </c>
    </row>
    <row r="8" spans="1:15" x14ac:dyDescent="0.25">
      <c r="A8" s="2" t="s">
        <v>80</v>
      </c>
      <c r="B8" s="2" t="s">
        <v>81</v>
      </c>
      <c r="C8" s="2" t="s">
        <v>82</v>
      </c>
      <c r="D8" s="2" t="s">
        <v>44</v>
      </c>
      <c r="E8" s="2" t="s">
        <v>45</v>
      </c>
      <c r="F8" s="2" t="s">
        <v>83</v>
      </c>
      <c r="G8" s="2" t="s">
        <v>84</v>
      </c>
      <c r="H8" s="2" t="s">
        <v>35</v>
      </c>
      <c r="I8" s="2">
        <v>10</v>
      </c>
      <c r="J8" s="2">
        <v>286.63</v>
      </c>
      <c r="K8" s="2" t="s">
        <v>85</v>
      </c>
      <c r="L8" s="2" t="s">
        <v>79</v>
      </c>
      <c r="M8" s="2" t="s">
        <v>86</v>
      </c>
      <c r="N8" s="2"/>
      <c r="O8" s="2" t="s">
        <v>87</v>
      </c>
    </row>
    <row r="9" spans="1:15" x14ac:dyDescent="0.25">
      <c r="A9" s="2" t="s">
        <v>88</v>
      </c>
      <c r="B9" s="2" t="s">
        <v>89</v>
      </c>
      <c r="C9" s="2" t="s">
        <v>90</v>
      </c>
      <c r="D9" s="2" t="s">
        <v>18</v>
      </c>
      <c r="E9" s="2" t="s">
        <v>19</v>
      </c>
      <c r="F9" s="2" t="s">
        <v>91</v>
      </c>
      <c r="G9" s="2" t="s">
        <v>84</v>
      </c>
      <c r="H9" s="2" t="s">
        <v>58</v>
      </c>
      <c r="I9" s="2">
        <v>4</v>
      </c>
      <c r="J9" s="2">
        <v>490.8</v>
      </c>
      <c r="K9" s="2"/>
      <c r="L9" s="2" t="s">
        <v>59</v>
      </c>
      <c r="M9" s="2" t="s">
        <v>92</v>
      </c>
      <c r="N9" s="2" t="s">
        <v>71</v>
      </c>
      <c r="O9" s="2" t="s">
        <v>93</v>
      </c>
    </row>
    <row r="10" spans="1:15" x14ac:dyDescent="0.25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35</v>
      </c>
      <c r="I10" s="2">
        <v>11</v>
      </c>
      <c r="J10" s="2" t="s">
        <v>101</v>
      </c>
      <c r="K10" s="2">
        <v>0.2</v>
      </c>
      <c r="L10" s="2" t="s">
        <v>102</v>
      </c>
      <c r="M10" s="2" t="s">
        <v>86</v>
      </c>
      <c r="N10" s="2"/>
      <c r="O10" s="2" t="s">
        <v>40</v>
      </c>
    </row>
    <row r="11" spans="1:15" x14ac:dyDescent="0.25">
      <c r="A11" s="2" t="s">
        <v>103</v>
      </c>
      <c r="B11" s="2" t="s">
        <v>104</v>
      </c>
      <c r="C11" s="2" t="s">
        <v>105</v>
      </c>
      <c r="D11" s="2" t="s">
        <v>75</v>
      </c>
      <c r="E11" s="2" t="s">
        <v>76</v>
      </c>
      <c r="F11" s="2" t="s">
        <v>106</v>
      </c>
      <c r="G11" s="2" t="s">
        <v>107</v>
      </c>
      <c r="H11" s="2" t="s">
        <v>108</v>
      </c>
      <c r="I11" s="2">
        <v>4</v>
      </c>
      <c r="J11" s="2" t="s">
        <v>109</v>
      </c>
      <c r="K11" s="2">
        <v>0.2</v>
      </c>
      <c r="L11" s="2" t="s">
        <v>24</v>
      </c>
      <c r="M11" s="2" t="s">
        <v>110</v>
      </c>
      <c r="N11" s="2" t="s">
        <v>111</v>
      </c>
      <c r="O11" s="2" t="s">
        <v>112</v>
      </c>
    </row>
    <row r="12" spans="1:15" x14ac:dyDescent="0.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58</v>
      </c>
      <c r="I12" s="2">
        <v>3</v>
      </c>
      <c r="J12" s="2" t="s">
        <v>120</v>
      </c>
      <c r="K12" s="2"/>
      <c r="L12" s="2" t="s">
        <v>37</v>
      </c>
      <c r="M12" s="2" t="s">
        <v>70</v>
      </c>
      <c r="N12" s="2"/>
      <c r="O12" s="2" t="s">
        <v>112</v>
      </c>
    </row>
    <row r="13" spans="1:15" x14ac:dyDescent="0.25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66</v>
      </c>
      <c r="G13" s="2" t="s">
        <v>57</v>
      </c>
      <c r="H13" s="2" t="s">
        <v>22</v>
      </c>
      <c r="I13" s="2">
        <v>4</v>
      </c>
      <c r="J13" s="2">
        <v>275.55</v>
      </c>
      <c r="K13" s="2"/>
      <c r="L13" s="2" t="s">
        <v>69</v>
      </c>
      <c r="M13" s="2" t="s">
        <v>86</v>
      </c>
      <c r="N13" s="2" t="s">
        <v>111</v>
      </c>
      <c r="O13" s="2" t="s">
        <v>126</v>
      </c>
    </row>
    <row r="14" spans="1:15" x14ac:dyDescent="0.25">
      <c r="A14" s="2" t="s">
        <v>127</v>
      </c>
      <c r="B14" s="2" t="s">
        <v>128</v>
      </c>
      <c r="C14" s="2" t="s">
        <v>129</v>
      </c>
      <c r="D14" s="2" t="s">
        <v>97</v>
      </c>
      <c r="E14" s="2" t="s">
        <v>98</v>
      </c>
      <c r="F14" s="2" t="s">
        <v>130</v>
      </c>
      <c r="G14" s="2" t="s">
        <v>131</v>
      </c>
      <c r="H14" s="2" t="s">
        <v>48</v>
      </c>
      <c r="I14" s="2">
        <v>9</v>
      </c>
      <c r="J14" s="2"/>
      <c r="K14" s="2"/>
      <c r="L14" s="2" t="s">
        <v>132</v>
      </c>
      <c r="M14" s="2" t="s">
        <v>110</v>
      </c>
      <c r="N14" s="2" t="s">
        <v>111</v>
      </c>
      <c r="O14" s="2" t="s">
        <v>93</v>
      </c>
    </row>
    <row r="15" spans="1:15" x14ac:dyDescent="0.25">
      <c r="A15" s="2" t="s">
        <v>133</v>
      </c>
      <c r="B15" s="2" t="s">
        <v>134</v>
      </c>
      <c r="C15" s="2" t="s">
        <v>135</v>
      </c>
      <c r="D15" s="2" t="s">
        <v>64</v>
      </c>
      <c r="E15" s="2" t="s">
        <v>65</v>
      </c>
      <c r="F15" s="2" t="s">
        <v>136</v>
      </c>
      <c r="G15" s="2" t="s">
        <v>137</v>
      </c>
      <c r="H15" s="2" t="s">
        <v>35</v>
      </c>
      <c r="I15" s="2">
        <v>7</v>
      </c>
      <c r="J15" s="2">
        <v>22.48</v>
      </c>
      <c r="K15" s="2" t="s">
        <v>138</v>
      </c>
      <c r="L15" s="2" t="s">
        <v>139</v>
      </c>
      <c r="M15" s="2" t="s">
        <v>70</v>
      </c>
      <c r="N15" s="2"/>
      <c r="O15" s="2" t="s">
        <v>87</v>
      </c>
    </row>
    <row r="16" spans="1:15" x14ac:dyDescent="0.25">
      <c r="A16" s="2" t="s">
        <v>140</v>
      </c>
      <c r="B16" s="2" t="s">
        <v>141</v>
      </c>
      <c r="C16" s="2" t="s">
        <v>142</v>
      </c>
      <c r="D16" s="2" t="s">
        <v>97</v>
      </c>
      <c r="E16" s="2"/>
      <c r="F16" s="2" t="s">
        <v>33</v>
      </c>
      <c r="G16" s="2" t="s">
        <v>47</v>
      </c>
      <c r="H16" s="2" t="s">
        <v>22</v>
      </c>
      <c r="I16" s="2">
        <v>8</v>
      </c>
      <c r="J16" s="2">
        <v>379.18</v>
      </c>
      <c r="K16" s="2"/>
      <c r="L16" s="2" t="s">
        <v>143</v>
      </c>
      <c r="M16" s="2" t="s">
        <v>144</v>
      </c>
      <c r="N16" s="2" t="s">
        <v>39</v>
      </c>
      <c r="O16" s="2" t="s">
        <v>40</v>
      </c>
    </row>
    <row r="17" spans="1:15" x14ac:dyDescent="0.25">
      <c r="A17" s="2" t="s">
        <v>145</v>
      </c>
      <c r="B17" s="2" t="s">
        <v>146</v>
      </c>
      <c r="C17" s="2" t="s">
        <v>147</v>
      </c>
      <c r="D17" s="2" t="s">
        <v>64</v>
      </c>
      <c r="E17" s="2" t="s">
        <v>65</v>
      </c>
      <c r="F17" s="2" t="s">
        <v>66</v>
      </c>
      <c r="G17" s="2" t="s">
        <v>148</v>
      </c>
      <c r="H17" s="2" t="s">
        <v>35</v>
      </c>
      <c r="I17" s="2">
        <v>1</v>
      </c>
      <c r="J17" s="2">
        <v>239.12</v>
      </c>
      <c r="K17" s="2">
        <v>0.05</v>
      </c>
      <c r="L17" s="2" t="s">
        <v>59</v>
      </c>
      <c r="M17" s="2" t="s">
        <v>86</v>
      </c>
      <c r="N17" s="2" t="s">
        <v>111</v>
      </c>
      <c r="O17" s="2"/>
    </row>
    <row r="18" spans="1:15" x14ac:dyDescent="0.25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19</v>
      </c>
      <c r="F18" s="2" t="s">
        <v>153</v>
      </c>
      <c r="G18" s="2" t="s">
        <v>154</v>
      </c>
      <c r="H18" s="2" t="s">
        <v>108</v>
      </c>
      <c r="I18" s="2"/>
      <c r="J18" s="2">
        <v>464.9</v>
      </c>
      <c r="K18" s="2">
        <v>0.1</v>
      </c>
      <c r="L18" s="2" t="s">
        <v>24</v>
      </c>
      <c r="M18" s="2" t="s">
        <v>86</v>
      </c>
      <c r="N18" s="2" t="s">
        <v>111</v>
      </c>
      <c r="O18" s="2" t="s">
        <v>27</v>
      </c>
    </row>
    <row r="19" spans="1:15" x14ac:dyDescent="0.25">
      <c r="A19" s="2" t="s">
        <v>155</v>
      </c>
      <c r="B19" s="2" t="s">
        <v>156</v>
      </c>
      <c r="C19" s="2" t="s">
        <v>157</v>
      </c>
      <c r="D19" s="2" t="s">
        <v>152</v>
      </c>
      <c r="E19" s="2" t="s">
        <v>117</v>
      </c>
      <c r="F19" s="2" t="s">
        <v>56</v>
      </c>
      <c r="G19" s="2" t="s">
        <v>57</v>
      </c>
      <c r="H19" s="2" t="s">
        <v>58</v>
      </c>
      <c r="I19" s="2">
        <v>8</v>
      </c>
      <c r="J19" s="2">
        <v>353.25</v>
      </c>
      <c r="K19" s="2">
        <v>0.2</v>
      </c>
      <c r="L19" s="2" t="s">
        <v>143</v>
      </c>
      <c r="M19" s="2" t="s">
        <v>158</v>
      </c>
      <c r="N19" s="2" t="s">
        <v>26</v>
      </c>
      <c r="O19" s="2" t="s">
        <v>112</v>
      </c>
    </row>
    <row r="20" spans="1:15" x14ac:dyDescent="0.25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19</v>
      </c>
      <c r="F20" s="2" t="s">
        <v>163</v>
      </c>
      <c r="G20" s="2" t="s">
        <v>164</v>
      </c>
      <c r="H20" s="2" t="s">
        <v>35</v>
      </c>
      <c r="I20" s="2"/>
      <c r="J20" s="2">
        <v>140.30000000000001</v>
      </c>
      <c r="K20" s="2">
        <v>0.1</v>
      </c>
      <c r="L20" s="2" t="s">
        <v>102</v>
      </c>
      <c r="M20" s="2" t="s">
        <v>165</v>
      </c>
      <c r="N20" s="2" t="s">
        <v>50</v>
      </c>
      <c r="O20" s="2" t="s">
        <v>51</v>
      </c>
    </row>
    <row r="21" spans="1:15" x14ac:dyDescent="0.25">
      <c r="A21" s="2" t="s">
        <v>166</v>
      </c>
      <c r="B21" s="2" t="s">
        <v>167</v>
      </c>
      <c r="C21" s="2" t="s">
        <v>168</v>
      </c>
      <c r="D21" s="2" t="s">
        <v>116</v>
      </c>
      <c r="E21" s="2" t="s">
        <v>117</v>
      </c>
      <c r="F21" s="2" t="s">
        <v>91</v>
      </c>
      <c r="G21" s="2" t="s">
        <v>164</v>
      </c>
      <c r="H21" s="2" t="s">
        <v>58</v>
      </c>
      <c r="I21" s="2" t="s">
        <v>169</v>
      </c>
      <c r="J21" s="2">
        <v>44.12</v>
      </c>
      <c r="K21" s="2">
        <v>0.05</v>
      </c>
      <c r="L21" s="2" t="s">
        <v>102</v>
      </c>
      <c r="M21" s="2" t="s">
        <v>170</v>
      </c>
      <c r="N21" s="2" t="s">
        <v>50</v>
      </c>
      <c r="O21" s="2" t="s">
        <v>171</v>
      </c>
    </row>
    <row r="22" spans="1:15" x14ac:dyDescent="0.25">
      <c r="A22" s="2" t="s">
        <v>172</v>
      </c>
      <c r="B22" s="2" t="s">
        <v>173</v>
      </c>
      <c r="C22" s="2" t="s">
        <v>174</v>
      </c>
      <c r="D22" s="2" t="s">
        <v>175</v>
      </c>
      <c r="E22" s="2" t="s">
        <v>32</v>
      </c>
      <c r="F22" s="2" t="s">
        <v>176</v>
      </c>
      <c r="G22" s="2" t="s">
        <v>177</v>
      </c>
      <c r="H22" s="2" t="s">
        <v>178</v>
      </c>
      <c r="I22" s="2">
        <v>10</v>
      </c>
      <c r="J22" s="2" t="s">
        <v>179</v>
      </c>
      <c r="K22" s="2" t="s">
        <v>85</v>
      </c>
      <c r="L22" s="2" t="s">
        <v>180</v>
      </c>
      <c r="M22" s="2" t="s">
        <v>25</v>
      </c>
      <c r="N22" s="2" t="s">
        <v>39</v>
      </c>
      <c r="O22" s="2" t="s">
        <v>40</v>
      </c>
    </row>
    <row r="23" spans="1:15" x14ac:dyDescent="0.25">
      <c r="A23" s="2" t="s">
        <v>181</v>
      </c>
      <c r="B23" s="2" t="s">
        <v>182</v>
      </c>
      <c r="C23" s="2" t="s">
        <v>183</v>
      </c>
      <c r="D23" s="2" t="s">
        <v>44</v>
      </c>
      <c r="E23" s="2"/>
      <c r="F23" s="2" t="s">
        <v>184</v>
      </c>
      <c r="G23" s="2" t="s">
        <v>34</v>
      </c>
      <c r="H23" s="2" t="s">
        <v>48</v>
      </c>
      <c r="I23" s="2">
        <v>2</v>
      </c>
      <c r="J23" s="2">
        <v>375.41</v>
      </c>
      <c r="K23" s="2"/>
      <c r="L23" s="2" t="s">
        <v>69</v>
      </c>
      <c r="M23" s="2" t="s">
        <v>158</v>
      </c>
      <c r="N23" s="2" t="s">
        <v>26</v>
      </c>
      <c r="O23" s="2" t="s">
        <v>112</v>
      </c>
    </row>
    <row r="24" spans="1:15" x14ac:dyDescent="0.25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32</v>
      </c>
      <c r="F24" s="2" t="s">
        <v>189</v>
      </c>
      <c r="G24" s="2" t="s">
        <v>154</v>
      </c>
      <c r="H24" s="2" t="s">
        <v>58</v>
      </c>
      <c r="I24" s="2" t="s">
        <v>190</v>
      </c>
      <c r="J24" s="2">
        <v>282.13</v>
      </c>
      <c r="K24" s="2"/>
      <c r="L24" s="2" t="s">
        <v>69</v>
      </c>
      <c r="M24" s="2" t="s">
        <v>158</v>
      </c>
      <c r="N24" s="2" t="s">
        <v>111</v>
      </c>
      <c r="O24" s="2" t="s">
        <v>51</v>
      </c>
    </row>
    <row r="25" spans="1:15" x14ac:dyDescent="0.25">
      <c r="A25" s="2" t="s">
        <v>191</v>
      </c>
      <c r="B25" s="2" t="s">
        <v>192</v>
      </c>
      <c r="C25" s="2" t="s">
        <v>193</v>
      </c>
      <c r="D25" s="2" t="s">
        <v>194</v>
      </c>
      <c r="E25" s="2" t="s">
        <v>98</v>
      </c>
      <c r="F25" s="2" t="s">
        <v>130</v>
      </c>
      <c r="G25" s="2" t="s">
        <v>21</v>
      </c>
      <c r="H25" s="2" t="s">
        <v>195</v>
      </c>
      <c r="I25" s="2">
        <v>12</v>
      </c>
      <c r="J25" s="2"/>
      <c r="K25" s="2"/>
      <c r="L25" s="2" t="s">
        <v>79</v>
      </c>
      <c r="M25" s="2" t="s">
        <v>144</v>
      </c>
      <c r="N25" s="2" t="s">
        <v>111</v>
      </c>
      <c r="O25" s="2" t="s">
        <v>40</v>
      </c>
    </row>
    <row r="26" spans="1:15" x14ac:dyDescent="0.25">
      <c r="A26" s="2" t="s">
        <v>196</v>
      </c>
      <c r="B26" s="2" t="s">
        <v>197</v>
      </c>
      <c r="C26" s="2" t="s">
        <v>198</v>
      </c>
      <c r="D26" s="2" t="s">
        <v>75</v>
      </c>
      <c r="E26" s="2" t="s">
        <v>199</v>
      </c>
      <c r="F26" s="2" t="s">
        <v>184</v>
      </c>
      <c r="G26" s="2" t="s">
        <v>34</v>
      </c>
      <c r="H26" s="2" t="s">
        <v>200</v>
      </c>
      <c r="I26" s="2">
        <v>8</v>
      </c>
      <c r="J26" s="2">
        <v>200.43</v>
      </c>
      <c r="K26" s="2"/>
      <c r="L26" s="2" t="s">
        <v>79</v>
      </c>
      <c r="M26" s="2" t="s">
        <v>201</v>
      </c>
      <c r="N26" s="2" t="s">
        <v>26</v>
      </c>
      <c r="O26" s="2" t="s">
        <v>112</v>
      </c>
    </row>
    <row r="27" spans="1:15" x14ac:dyDescent="0.25">
      <c r="A27" s="2" t="s">
        <v>202</v>
      </c>
      <c r="B27" s="2" t="s">
        <v>203</v>
      </c>
      <c r="C27" s="2" t="s">
        <v>204</v>
      </c>
      <c r="D27" s="2" t="s">
        <v>44</v>
      </c>
      <c r="E27" s="2" t="s">
        <v>45</v>
      </c>
      <c r="F27" s="2" t="s">
        <v>66</v>
      </c>
      <c r="G27" s="2" t="s">
        <v>154</v>
      </c>
      <c r="H27" s="2" t="s">
        <v>68</v>
      </c>
      <c r="I27" s="2">
        <v>12</v>
      </c>
      <c r="J27" s="2">
        <v>411.55</v>
      </c>
      <c r="K27" s="2"/>
      <c r="L27" s="2" t="s">
        <v>79</v>
      </c>
      <c r="M27" s="2" t="s">
        <v>38</v>
      </c>
      <c r="N27" s="2" t="s">
        <v>50</v>
      </c>
      <c r="O27" s="2" t="s">
        <v>51</v>
      </c>
    </row>
    <row r="28" spans="1:15" x14ac:dyDescent="0.25">
      <c r="A28" s="2" t="s">
        <v>205</v>
      </c>
      <c r="B28" s="2" t="s">
        <v>206</v>
      </c>
      <c r="C28" s="2" t="s">
        <v>207</v>
      </c>
      <c r="D28" s="2" t="s">
        <v>162</v>
      </c>
      <c r="E28" s="2" t="s">
        <v>19</v>
      </c>
      <c r="F28" s="2" t="s">
        <v>136</v>
      </c>
      <c r="G28" s="2" t="s">
        <v>78</v>
      </c>
      <c r="H28" s="2" t="s">
        <v>195</v>
      </c>
      <c r="I28" s="2">
        <v>12</v>
      </c>
      <c r="J28" s="2">
        <v>284.95</v>
      </c>
      <c r="K28" s="2"/>
      <c r="L28" s="2" t="s">
        <v>69</v>
      </c>
      <c r="M28" s="2" t="s">
        <v>208</v>
      </c>
      <c r="N28" s="2" t="s">
        <v>39</v>
      </c>
      <c r="O28" s="2" t="s">
        <v>40</v>
      </c>
    </row>
    <row r="29" spans="1:15" x14ac:dyDescent="0.25">
      <c r="A29" s="2" t="s">
        <v>209</v>
      </c>
      <c r="B29" s="2" t="s">
        <v>210</v>
      </c>
      <c r="C29" s="2" t="s">
        <v>211</v>
      </c>
      <c r="D29" s="2" t="s">
        <v>212</v>
      </c>
      <c r="E29" s="2" t="s">
        <v>65</v>
      </c>
      <c r="F29" s="2" t="s">
        <v>118</v>
      </c>
      <c r="G29" s="2" t="s">
        <v>213</v>
      </c>
      <c r="H29" s="2" t="s">
        <v>108</v>
      </c>
      <c r="I29" s="2">
        <v>10</v>
      </c>
      <c r="J29" s="2">
        <v>140.9</v>
      </c>
      <c r="K29" s="2">
        <v>0</v>
      </c>
      <c r="L29" s="2" t="s">
        <v>132</v>
      </c>
      <c r="M29" s="2" t="s">
        <v>158</v>
      </c>
      <c r="N29" s="2" t="s">
        <v>50</v>
      </c>
      <c r="O29" s="2" t="s">
        <v>112</v>
      </c>
    </row>
    <row r="30" spans="1:15" x14ac:dyDescent="0.25">
      <c r="A30" s="2" t="s">
        <v>214</v>
      </c>
      <c r="B30" s="2" t="s">
        <v>215</v>
      </c>
      <c r="C30" s="2" t="s">
        <v>216</v>
      </c>
      <c r="D30" s="2" t="s">
        <v>31</v>
      </c>
      <c r="E30" s="2" t="s">
        <v>32</v>
      </c>
      <c r="F30" s="2" t="s">
        <v>118</v>
      </c>
      <c r="G30" s="2" t="s">
        <v>213</v>
      </c>
      <c r="H30" s="2" t="s">
        <v>58</v>
      </c>
      <c r="I30" s="2">
        <v>1</v>
      </c>
      <c r="J30" s="2">
        <v>155.66</v>
      </c>
      <c r="K30" s="2"/>
      <c r="L30" s="2" t="s">
        <v>102</v>
      </c>
      <c r="M30" s="2" t="s">
        <v>208</v>
      </c>
      <c r="N30" s="2" t="s">
        <v>50</v>
      </c>
      <c r="O30" s="2" t="s">
        <v>93</v>
      </c>
    </row>
    <row r="31" spans="1:15" x14ac:dyDescent="0.25">
      <c r="A31" s="2" t="s">
        <v>217</v>
      </c>
      <c r="B31" s="2" t="s">
        <v>218</v>
      </c>
      <c r="C31" s="2" t="s">
        <v>219</v>
      </c>
      <c r="D31" s="2" t="s">
        <v>55</v>
      </c>
      <c r="E31" s="2" t="s">
        <v>32</v>
      </c>
      <c r="F31" s="2" t="s">
        <v>99</v>
      </c>
      <c r="G31" s="2" t="s">
        <v>220</v>
      </c>
      <c r="H31" s="2" t="s">
        <v>108</v>
      </c>
      <c r="I31" s="2" t="s">
        <v>169</v>
      </c>
      <c r="J31" s="2">
        <v>387.86</v>
      </c>
      <c r="K31" s="2"/>
      <c r="L31" s="2" t="s">
        <v>132</v>
      </c>
      <c r="M31" s="2" t="s">
        <v>208</v>
      </c>
      <c r="N31" s="2" t="s">
        <v>39</v>
      </c>
      <c r="O31" s="2" t="s">
        <v>126</v>
      </c>
    </row>
    <row r="32" spans="1:15" x14ac:dyDescent="0.25">
      <c r="A32" s="2" t="s">
        <v>221</v>
      </c>
      <c r="B32" s="2" t="s">
        <v>222</v>
      </c>
      <c r="C32" s="2" t="s">
        <v>223</v>
      </c>
      <c r="D32" s="2" t="s">
        <v>224</v>
      </c>
      <c r="E32" s="2" t="s">
        <v>45</v>
      </c>
      <c r="F32" s="2" t="s">
        <v>46</v>
      </c>
      <c r="G32" s="2" t="s">
        <v>34</v>
      </c>
      <c r="H32" s="2" t="s">
        <v>68</v>
      </c>
      <c r="I32" s="2" t="s">
        <v>225</v>
      </c>
      <c r="J32" s="2">
        <v>474.53</v>
      </c>
      <c r="K32" s="2"/>
      <c r="L32" s="2" t="s">
        <v>24</v>
      </c>
      <c r="M32" s="2" t="s">
        <v>144</v>
      </c>
      <c r="N32" s="2" t="s">
        <v>26</v>
      </c>
      <c r="O32" s="2" t="s">
        <v>126</v>
      </c>
    </row>
    <row r="33" spans="1:15" x14ac:dyDescent="0.25">
      <c r="A33" s="2" t="s">
        <v>226</v>
      </c>
      <c r="B33" s="2" t="s">
        <v>227</v>
      </c>
      <c r="C33" s="2" t="s">
        <v>228</v>
      </c>
      <c r="D33" s="2" t="s">
        <v>162</v>
      </c>
      <c r="E33" s="2" t="s">
        <v>117</v>
      </c>
      <c r="F33" s="2" t="s">
        <v>33</v>
      </c>
      <c r="G33" s="2" t="s">
        <v>47</v>
      </c>
      <c r="H33" s="2" t="s">
        <v>195</v>
      </c>
      <c r="I33" s="2"/>
      <c r="J33" s="2">
        <v>449.47</v>
      </c>
      <c r="K33" s="2">
        <v>0</v>
      </c>
      <c r="L33" s="2" t="s">
        <v>24</v>
      </c>
      <c r="M33" s="2" t="s">
        <v>38</v>
      </c>
      <c r="N33" s="2"/>
      <c r="O33" s="2" t="s">
        <v>93</v>
      </c>
    </row>
    <row r="34" spans="1:15" x14ac:dyDescent="0.25">
      <c r="A34" s="2" t="s">
        <v>229</v>
      </c>
      <c r="B34" s="2" t="s">
        <v>230</v>
      </c>
      <c r="C34" s="2" t="s">
        <v>231</v>
      </c>
      <c r="D34" s="2" t="s">
        <v>152</v>
      </c>
      <c r="E34" s="2" t="s">
        <v>19</v>
      </c>
      <c r="F34" s="2" t="s">
        <v>130</v>
      </c>
      <c r="G34" s="2" t="s">
        <v>131</v>
      </c>
      <c r="H34" s="2" t="s">
        <v>200</v>
      </c>
      <c r="I34" s="2">
        <v>10</v>
      </c>
      <c r="J34" s="2">
        <v>498.33</v>
      </c>
      <c r="K34" s="2">
        <v>0</v>
      </c>
      <c r="L34" s="2" t="s">
        <v>180</v>
      </c>
      <c r="M34" s="2" t="s">
        <v>158</v>
      </c>
      <c r="N34" s="2" t="s">
        <v>71</v>
      </c>
      <c r="O34" s="2" t="s">
        <v>40</v>
      </c>
    </row>
    <row r="35" spans="1:15" x14ac:dyDescent="0.25">
      <c r="A35" s="2" t="s">
        <v>232</v>
      </c>
      <c r="B35" s="2" t="s">
        <v>233</v>
      </c>
      <c r="C35" s="2" t="s">
        <v>234</v>
      </c>
      <c r="D35" s="2" t="s">
        <v>162</v>
      </c>
      <c r="E35" s="2" t="s">
        <v>19</v>
      </c>
      <c r="F35" s="2" t="s">
        <v>235</v>
      </c>
      <c r="G35" s="2" t="s">
        <v>236</v>
      </c>
      <c r="H35" s="2" t="s">
        <v>178</v>
      </c>
      <c r="I35" s="2">
        <v>5</v>
      </c>
      <c r="J35" s="2">
        <v>97.83</v>
      </c>
      <c r="K35" s="2">
        <v>0.15</v>
      </c>
      <c r="L35" s="2" t="s">
        <v>237</v>
      </c>
      <c r="M35" s="2" t="s">
        <v>25</v>
      </c>
      <c r="N35" s="2"/>
      <c r="O35" s="2" t="s">
        <v>51</v>
      </c>
    </row>
    <row r="36" spans="1:15" x14ac:dyDescent="0.25">
      <c r="A36" s="2" t="s">
        <v>238</v>
      </c>
      <c r="B36" s="2" t="s">
        <v>239</v>
      </c>
      <c r="C36" s="2" t="s">
        <v>240</v>
      </c>
      <c r="D36" s="2" t="s">
        <v>97</v>
      </c>
      <c r="E36" s="2" t="s">
        <v>65</v>
      </c>
      <c r="F36" s="2" t="s">
        <v>130</v>
      </c>
      <c r="G36" s="2" t="s">
        <v>119</v>
      </c>
      <c r="H36" s="2" t="s">
        <v>68</v>
      </c>
      <c r="I36" s="2" t="s">
        <v>241</v>
      </c>
      <c r="J36" s="2">
        <v>227.71</v>
      </c>
      <c r="K36" s="2">
        <v>0</v>
      </c>
      <c r="L36" s="2" t="s">
        <v>79</v>
      </c>
      <c r="M36" s="2" t="s">
        <v>208</v>
      </c>
      <c r="N36" s="2" t="s">
        <v>26</v>
      </c>
      <c r="O36" s="2"/>
    </row>
    <row r="37" spans="1:15" x14ac:dyDescent="0.25">
      <c r="A37" s="2" t="s">
        <v>242</v>
      </c>
      <c r="B37" s="2" t="s">
        <v>243</v>
      </c>
      <c r="C37" s="2" t="s">
        <v>244</v>
      </c>
      <c r="D37" s="2" t="s">
        <v>116</v>
      </c>
      <c r="E37" s="2" t="s">
        <v>117</v>
      </c>
      <c r="F37" s="2" t="s">
        <v>66</v>
      </c>
      <c r="G37" s="2" t="s">
        <v>154</v>
      </c>
      <c r="H37" s="2" t="s">
        <v>108</v>
      </c>
      <c r="I37" s="2">
        <v>9</v>
      </c>
      <c r="J37" s="2">
        <v>387.13</v>
      </c>
      <c r="K37" s="2" t="s">
        <v>85</v>
      </c>
      <c r="L37" s="2" t="s">
        <v>79</v>
      </c>
      <c r="M37" s="2" t="s">
        <v>38</v>
      </c>
      <c r="N37" s="2" t="s">
        <v>111</v>
      </c>
      <c r="O37" s="2" t="s">
        <v>93</v>
      </c>
    </row>
    <row r="38" spans="1:15" x14ac:dyDescent="0.25">
      <c r="A38" s="2" t="s">
        <v>245</v>
      </c>
      <c r="B38" s="2" t="s">
        <v>246</v>
      </c>
      <c r="C38" s="2" t="s">
        <v>247</v>
      </c>
      <c r="D38" s="2" t="s">
        <v>64</v>
      </c>
      <c r="E38" s="2" t="s">
        <v>65</v>
      </c>
      <c r="F38" s="2" t="s">
        <v>235</v>
      </c>
      <c r="G38" s="2" t="s">
        <v>78</v>
      </c>
      <c r="H38" s="2" t="s">
        <v>35</v>
      </c>
      <c r="I38" s="2">
        <v>6</v>
      </c>
      <c r="J38" s="2">
        <v>175.79</v>
      </c>
      <c r="K38" s="2">
        <v>0</v>
      </c>
      <c r="L38" s="2" t="s">
        <v>102</v>
      </c>
      <c r="M38" s="2" t="s">
        <v>208</v>
      </c>
      <c r="N38" s="2" t="s">
        <v>50</v>
      </c>
      <c r="O38" s="2" t="s">
        <v>27</v>
      </c>
    </row>
    <row r="39" spans="1:15" x14ac:dyDescent="0.25">
      <c r="A39" s="2" t="s">
        <v>248</v>
      </c>
      <c r="B39" s="2" t="s">
        <v>249</v>
      </c>
      <c r="C39" s="2" t="s">
        <v>250</v>
      </c>
      <c r="D39" s="2" t="s">
        <v>18</v>
      </c>
      <c r="E39" s="2" t="s">
        <v>117</v>
      </c>
      <c r="F39" s="2" t="s">
        <v>118</v>
      </c>
      <c r="G39" s="2" t="s">
        <v>213</v>
      </c>
      <c r="H39" s="2" t="s">
        <v>108</v>
      </c>
      <c r="I39" s="2">
        <v>6</v>
      </c>
      <c r="J39" s="2">
        <v>490.05</v>
      </c>
      <c r="K39" s="2">
        <v>0</v>
      </c>
      <c r="L39" s="2" t="s">
        <v>79</v>
      </c>
      <c r="M39" s="2" t="s">
        <v>38</v>
      </c>
      <c r="N39" s="2" t="s">
        <v>71</v>
      </c>
      <c r="O39" s="2" t="s">
        <v>40</v>
      </c>
    </row>
    <row r="40" spans="1:15" x14ac:dyDescent="0.25">
      <c r="A40" s="2" t="s">
        <v>251</v>
      </c>
      <c r="B40" s="2" t="s">
        <v>252</v>
      </c>
      <c r="C40" s="2" t="s">
        <v>253</v>
      </c>
      <c r="D40" s="2" t="s">
        <v>152</v>
      </c>
      <c r="E40" s="2" t="s">
        <v>19</v>
      </c>
      <c r="F40" s="2" t="s">
        <v>163</v>
      </c>
      <c r="G40" s="2" t="s">
        <v>164</v>
      </c>
      <c r="H40" s="2" t="s">
        <v>22</v>
      </c>
      <c r="I40" s="2">
        <v>9</v>
      </c>
      <c r="J40" s="2">
        <v>27.48</v>
      </c>
      <c r="K40" s="2" t="s">
        <v>254</v>
      </c>
      <c r="L40" s="2" t="s">
        <v>24</v>
      </c>
      <c r="M40" s="2" t="s">
        <v>92</v>
      </c>
      <c r="N40" s="2" t="s">
        <v>111</v>
      </c>
      <c r="O40" s="2" t="s">
        <v>171</v>
      </c>
    </row>
    <row r="41" spans="1:15" x14ac:dyDescent="0.25">
      <c r="A41" s="2" t="s">
        <v>255</v>
      </c>
      <c r="B41" s="2" t="s">
        <v>256</v>
      </c>
      <c r="C41" s="2" t="s">
        <v>257</v>
      </c>
      <c r="D41" s="2" t="s">
        <v>258</v>
      </c>
      <c r="E41" s="2" t="s">
        <v>125</v>
      </c>
      <c r="F41" s="2" t="s">
        <v>20</v>
      </c>
      <c r="G41" s="2" t="s">
        <v>131</v>
      </c>
      <c r="H41" s="2" t="s">
        <v>178</v>
      </c>
      <c r="I41" s="2"/>
      <c r="J41" s="2">
        <v>195.24</v>
      </c>
      <c r="K41" s="2" t="s">
        <v>259</v>
      </c>
      <c r="L41" s="2" t="s">
        <v>260</v>
      </c>
      <c r="M41" s="2" t="s">
        <v>70</v>
      </c>
      <c r="N41" s="2" t="s">
        <v>26</v>
      </c>
      <c r="O41" s="2" t="s">
        <v>87</v>
      </c>
    </row>
    <row r="42" spans="1:15" x14ac:dyDescent="0.25">
      <c r="A42" s="2" t="s">
        <v>261</v>
      </c>
      <c r="B42" s="2" t="s">
        <v>262</v>
      </c>
      <c r="C42" s="2" t="s">
        <v>263</v>
      </c>
      <c r="D42" s="2" t="s">
        <v>64</v>
      </c>
      <c r="E42" s="2" t="s">
        <v>65</v>
      </c>
      <c r="F42" s="2" t="s">
        <v>20</v>
      </c>
      <c r="G42" s="2" t="s">
        <v>264</v>
      </c>
      <c r="H42" s="2" t="s">
        <v>22</v>
      </c>
      <c r="I42" s="2">
        <v>12</v>
      </c>
      <c r="J42" s="2">
        <v>48.62</v>
      </c>
      <c r="K42" s="2"/>
      <c r="L42" s="2" t="s">
        <v>79</v>
      </c>
      <c r="M42" s="2" t="s">
        <v>165</v>
      </c>
      <c r="N42" s="2" t="s">
        <v>26</v>
      </c>
      <c r="O42" s="2" t="s">
        <v>171</v>
      </c>
    </row>
    <row r="43" spans="1:15" x14ac:dyDescent="0.25">
      <c r="A43" s="2" t="s">
        <v>265</v>
      </c>
      <c r="B43" s="2" t="s">
        <v>114</v>
      </c>
      <c r="C43" s="2" t="s">
        <v>266</v>
      </c>
      <c r="D43" s="2" t="s">
        <v>162</v>
      </c>
      <c r="E43" s="2"/>
      <c r="F43" s="2" t="s">
        <v>267</v>
      </c>
      <c r="G43" s="2" t="s">
        <v>268</v>
      </c>
      <c r="H43" s="2" t="s">
        <v>35</v>
      </c>
      <c r="I43" s="2">
        <v>6</v>
      </c>
      <c r="J43" s="2">
        <v>415.21</v>
      </c>
      <c r="K43" s="2">
        <v>0.2</v>
      </c>
      <c r="L43" s="2" t="s">
        <v>132</v>
      </c>
      <c r="M43" s="2" t="s">
        <v>92</v>
      </c>
      <c r="N43" s="2" t="s">
        <v>26</v>
      </c>
      <c r="O43" s="2" t="s">
        <v>87</v>
      </c>
    </row>
    <row r="44" spans="1:15" x14ac:dyDescent="0.25">
      <c r="A44" s="2" t="s">
        <v>269</v>
      </c>
      <c r="B44" s="2" t="s">
        <v>270</v>
      </c>
      <c r="C44" s="2" t="s">
        <v>271</v>
      </c>
      <c r="D44" s="2" t="s">
        <v>116</v>
      </c>
      <c r="E44" s="2" t="s">
        <v>19</v>
      </c>
      <c r="F44" s="2" t="s">
        <v>136</v>
      </c>
      <c r="G44" s="2" t="s">
        <v>236</v>
      </c>
      <c r="H44" s="2" t="s">
        <v>178</v>
      </c>
      <c r="I44" s="2"/>
      <c r="J44" s="2">
        <v>222.6</v>
      </c>
      <c r="K44" s="2"/>
      <c r="L44" s="2" t="s">
        <v>79</v>
      </c>
      <c r="M44" s="2" t="s">
        <v>208</v>
      </c>
      <c r="N44" s="2" t="s">
        <v>71</v>
      </c>
      <c r="O44" s="2" t="s">
        <v>51</v>
      </c>
    </row>
    <row r="45" spans="1:15" x14ac:dyDescent="0.25">
      <c r="A45" s="2" t="s">
        <v>272</v>
      </c>
      <c r="B45" s="2" t="s">
        <v>273</v>
      </c>
      <c r="C45" s="2" t="s">
        <v>274</v>
      </c>
      <c r="D45" s="2" t="s">
        <v>31</v>
      </c>
      <c r="E45" s="2" t="s">
        <v>76</v>
      </c>
      <c r="F45" s="2" t="s">
        <v>189</v>
      </c>
      <c r="G45" s="2" t="s">
        <v>154</v>
      </c>
      <c r="H45" s="2" t="s">
        <v>68</v>
      </c>
      <c r="I45" s="2">
        <v>4</v>
      </c>
      <c r="J45" s="2">
        <v>403.52</v>
      </c>
      <c r="K45" s="2">
        <v>0.1</v>
      </c>
      <c r="L45" s="2" t="s">
        <v>69</v>
      </c>
      <c r="M45" s="2" t="s">
        <v>165</v>
      </c>
      <c r="N45" s="2" t="s">
        <v>71</v>
      </c>
      <c r="O45" s="2" t="s">
        <v>40</v>
      </c>
    </row>
    <row r="46" spans="1:15" x14ac:dyDescent="0.25">
      <c r="A46" s="2" t="s">
        <v>275</v>
      </c>
      <c r="B46" s="2" t="s">
        <v>276</v>
      </c>
      <c r="C46" s="2" t="s">
        <v>277</v>
      </c>
      <c r="D46" s="2" t="s">
        <v>258</v>
      </c>
      <c r="E46" s="2" t="s">
        <v>125</v>
      </c>
      <c r="F46" s="2" t="s">
        <v>77</v>
      </c>
      <c r="G46" s="2" t="s">
        <v>137</v>
      </c>
      <c r="H46" s="2" t="s">
        <v>48</v>
      </c>
      <c r="I46" s="2">
        <v>2</v>
      </c>
      <c r="J46" s="2">
        <v>338.05</v>
      </c>
      <c r="K46" s="2" t="s">
        <v>85</v>
      </c>
      <c r="L46" s="2" t="s">
        <v>180</v>
      </c>
      <c r="M46" s="2" t="s">
        <v>158</v>
      </c>
      <c r="N46" s="2" t="s">
        <v>111</v>
      </c>
      <c r="O46" s="2" t="s">
        <v>93</v>
      </c>
    </row>
    <row r="47" spans="1:15" x14ac:dyDescent="0.25">
      <c r="A47" s="2" t="s">
        <v>278</v>
      </c>
      <c r="B47" s="2" t="s">
        <v>279</v>
      </c>
      <c r="C47" s="2" t="s">
        <v>280</v>
      </c>
      <c r="D47" s="2" t="s">
        <v>97</v>
      </c>
      <c r="E47" s="2" t="s">
        <v>98</v>
      </c>
      <c r="F47" s="2" t="s">
        <v>66</v>
      </c>
      <c r="G47" s="2" t="s">
        <v>57</v>
      </c>
      <c r="H47" s="2" t="s">
        <v>35</v>
      </c>
      <c r="I47" s="2">
        <v>8</v>
      </c>
      <c r="J47" s="2">
        <v>453.85</v>
      </c>
      <c r="K47" s="2" t="s">
        <v>259</v>
      </c>
      <c r="L47" s="2" t="s">
        <v>281</v>
      </c>
      <c r="M47" s="2" t="s">
        <v>158</v>
      </c>
      <c r="N47" s="2" t="s">
        <v>71</v>
      </c>
      <c r="O47" s="2" t="s">
        <v>93</v>
      </c>
    </row>
    <row r="48" spans="1:15" x14ac:dyDescent="0.25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76</v>
      </c>
      <c r="F48" s="2" t="s">
        <v>83</v>
      </c>
      <c r="G48" s="2" t="s">
        <v>84</v>
      </c>
      <c r="H48" s="2" t="s">
        <v>35</v>
      </c>
      <c r="I48" s="2">
        <v>8</v>
      </c>
      <c r="J48" s="2">
        <v>112.55</v>
      </c>
      <c r="K48" s="2"/>
      <c r="L48" s="2" t="s">
        <v>102</v>
      </c>
      <c r="M48" s="2" t="s">
        <v>92</v>
      </c>
      <c r="N48" s="2" t="s">
        <v>111</v>
      </c>
      <c r="O48" s="2"/>
    </row>
    <row r="49" spans="1:15" x14ac:dyDescent="0.25">
      <c r="A49" s="2" t="s">
        <v>286</v>
      </c>
      <c r="B49" s="2" t="s">
        <v>287</v>
      </c>
      <c r="C49" s="2" t="s">
        <v>288</v>
      </c>
      <c r="D49" s="2" t="s">
        <v>152</v>
      </c>
      <c r="E49" s="2" t="s">
        <v>19</v>
      </c>
      <c r="F49" s="2" t="s">
        <v>91</v>
      </c>
      <c r="G49" s="2" t="s">
        <v>164</v>
      </c>
      <c r="H49" s="2" t="s">
        <v>200</v>
      </c>
      <c r="I49" s="2">
        <v>6</v>
      </c>
      <c r="J49" s="2">
        <v>479.32</v>
      </c>
      <c r="K49" s="2"/>
      <c r="L49" s="2" t="s">
        <v>180</v>
      </c>
      <c r="M49" s="2" t="s">
        <v>208</v>
      </c>
      <c r="N49" s="2" t="s">
        <v>71</v>
      </c>
      <c r="O49" s="2" t="s">
        <v>112</v>
      </c>
    </row>
    <row r="50" spans="1:15" x14ac:dyDescent="0.25">
      <c r="A50" s="2" t="s">
        <v>289</v>
      </c>
      <c r="B50" s="2" t="s">
        <v>290</v>
      </c>
      <c r="C50" s="2" t="s">
        <v>291</v>
      </c>
      <c r="D50" s="2" t="s">
        <v>212</v>
      </c>
      <c r="E50" s="2" t="s">
        <v>98</v>
      </c>
      <c r="F50" s="2" t="s">
        <v>56</v>
      </c>
      <c r="G50" s="2" t="s">
        <v>57</v>
      </c>
      <c r="H50" s="2" t="s">
        <v>22</v>
      </c>
      <c r="I50" s="2">
        <v>2</v>
      </c>
      <c r="J50" s="2">
        <v>462.34</v>
      </c>
      <c r="K50" s="2" t="s">
        <v>138</v>
      </c>
      <c r="L50" s="2" t="s">
        <v>69</v>
      </c>
      <c r="M50" s="2" t="s">
        <v>60</v>
      </c>
      <c r="N50" s="2" t="s">
        <v>26</v>
      </c>
      <c r="O50" s="2" t="s">
        <v>171</v>
      </c>
    </row>
    <row r="51" spans="1:15" x14ac:dyDescent="0.25">
      <c r="A51" s="2" t="s">
        <v>292</v>
      </c>
      <c r="B51" s="2" t="s">
        <v>293</v>
      </c>
      <c r="C51" s="2" t="s">
        <v>294</v>
      </c>
      <c r="D51" s="2" t="s">
        <v>44</v>
      </c>
      <c r="E51" s="2" t="s">
        <v>45</v>
      </c>
      <c r="F51" s="2" t="s">
        <v>77</v>
      </c>
      <c r="G51" s="2" t="s">
        <v>236</v>
      </c>
      <c r="H51" s="2" t="s">
        <v>68</v>
      </c>
      <c r="I51" s="2">
        <v>5</v>
      </c>
      <c r="J51" s="2" t="s">
        <v>295</v>
      </c>
      <c r="K51" s="2"/>
      <c r="L51" s="2" t="s">
        <v>281</v>
      </c>
      <c r="M51" s="2" t="s">
        <v>70</v>
      </c>
      <c r="N51" s="2" t="s">
        <v>39</v>
      </c>
      <c r="O51" s="2"/>
    </row>
    <row r="52" spans="1:15" x14ac:dyDescent="0.25">
      <c r="A52" s="2" t="s">
        <v>296</v>
      </c>
      <c r="B52" s="2" t="s">
        <v>297</v>
      </c>
      <c r="C52" s="2" t="s">
        <v>216</v>
      </c>
      <c r="D52" s="2" t="s">
        <v>124</v>
      </c>
      <c r="E52" s="2" t="s">
        <v>45</v>
      </c>
      <c r="F52" s="2" t="s">
        <v>298</v>
      </c>
      <c r="G52" s="2" t="s">
        <v>213</v>
      </c>
      <c r="H52" s="2" t="s">
        <v>58</v>
      </c>
      <c r="I52" s="2">
        <v>10</v>
      </c>
      <c r="J52" s="2" t="s">
        <v>299</v>
      </c>
      <c r="K52" s="2">
        <v>0.1</v>
      </c>
      <c r="L52" s="2" t="s">
        <v>180</v>
      </c>
      <c r="M52" s="2" t="s">
        <v>170</v>
      </c>
      <c r="N52" s="2"/>
      <c r="O52" s="2" t="s">
        <v>27</v>
      </c>
    </row>
    <row r="53" spans="1:15" x14ac:dyDescent="0.25">
      <c r="A53" s="2" t="s">
        <v>300</v>
      </c>
      <c r="B53" s="2" t="s">
        <v>301</v>
      </c>
      <c r="C53" s="2" t="s">
        <v>302</v>
      </c>
      <c r="D53" s="2" t="s">
        <v>194</v>
      </c>
      <c r="E53" s="2" t="s">
        <v>65</v>
      </c>
      <c r="F53" s="2" t="s">
        <v>99</v>
      </c>
      <c r="G53" s="2" t="s">
        <v>220</v>
      </c>
      <c r="H53" s="2" t="s">
        <v>200</v>
      </c>
      <c r="I53" s="2">
        <v>8</v>
      </c>
      <c r="J53" s="2">
        <v>151.53</v>
      </c>
      <c r="K53" s="2"/>
      <c r="L53" s="2" t="s">
        <v>281</v>
      </c>
      <c r="M53" s="2" t="s">
        <v>86</v>
      </c>
      <c r="N53" s="2" t="s">
        <v>71</v>
      </c>
      <c r="O53" s="2" t="s">
        <v>51</v>
      </c>
    </row>
    <row r="54" spans="1:15" x14ac:dyDescent="0.25">
      <c r="A54" s="2" t="s">
        <v>303</v>
      </c>
      <c r="B54" s="2" t="s">
        <v>304</v>
      </c>
      <c r="C54" s="2" t="s">
        <v>305</v>
      </c>
      <c r="D54" s="2" t="s">
        <v>31</v>
      </c>
      <c r="E54" s="2" t="s">
        <v>199</v>
      </c>
      <c r="F54" s="2" t="s">
        <v>298</v>
      </c>
      <c r="G54" s="2" t="s">
        <v>131</v>
      </c>
      <c r="H54" s="2" t="s">
        <v>195</v>
      </c>
      <c r="I54" s="2">
        <v>3</v>
      </c>
      <c r="J54" s="2">
        <v>174.16</v>
      </c>
      <c r="K54" s="2"/>
      <c r="L54" s="2" t="s">
        <v>281</v>
      </c>
      <c r="M54" s="2" t="s">
        <v>208</v>
      </c>
      <c r="N54" s="2" t="s">
        <v>39</v>
      </c>
      <c r="O54" s="2" t="s">
        <v>93</v>
      </c>
    </row>
    <row r="55" spans="1:15" x14ac:dyDescent="0.25">
      <c r="A55" s="2" t="s">
        <v>306</v>
      </c>
      <c r="B55" s="2" t="s">
        <v>307</v>
      </c>
      <c r="C55" s="2" t="s">
        <v>308</v>
      </c>
      <c r="D55" s="2" t="s">
        <v>224</v>
      </c>
      <c r="E55" s="2" t="s">
        <v>125</v>
      </c>
      <c r="F55" s="2" t="s">
        <v>106</v>
      </c>
      <c r="G55" s="2" t="s">
        <v>34</v>
      </c>
      <c r="H55" s="2" t="s">
        <v>68</v>
      </c>
      <c r="I55" s="2">
        <v>2</v>
      </c>
      <c r="J55" s="2">
        <v>335.77</v>
      </c>
      <c r="K55" s="2">
        <v>0.05</v>
      </c>
      <c r="L55" s="2" t="s">
        <v>180</v>
      </c>
      <c r="M55" s="2" t="s">
        <v>70</v>
      </c>
      <c r="N55" s="2" t="s">
        <v>111</v>
      </c>
      <c r="O55" s="2" t="s">
        <v>93</v>
      </c>
    </row>
    <row r="56" spans="1:15" x14ac:dyDescent="0.25">
      <c r="A56" s="2" t="s">
        <v>309</v>
      </c>
      <c r="B56" s="2" t="s">
        <v>310</v>
      </c>
      <c r="C56" s="2" t="s">
        <v>311</v>
      </c>
      <c r="D56" s="2" t="s">
        <v>162</v>
      </c>
      <c r="E56" s="2" t="s">
        <v>19</v>
      </c>
      <c r="F56" s="2" t="s">
        <v>136</v>
      </c>
      <c r="G56" s="2" t="s">
        <v>236</v>
      </c>
      <c r="H56" s="2" t="s">
        <v>48</v>
      </c>
      <c r="I56" s="2">
        <v>1</v>
      </c>
      <c r="J56" s="2">
        <v>160.69</v>
      </c>
      <c r="K56" s="2">
        <v>0.15</v>
      </c>
      <c r="L56" s="2" t="s">
        <v>102</v>
      </c>
      <c r="M56" s="2" t="s">
        <v>86</v>
      </c>
      <c r="N56" s="2"/>
      <c r="O56" s="2" t="s">
        <v>51</v>
      </c>
    </row>
    <row r="57" spans="1:15" x14ac:dyDescent="0.25">
      <c r="A57" s="2" t="s">
        <v>312</v>
      </c>
      <c r="B57" s="2" t="s">
        <v>313</v>
      </c>
      <c r="C57" s="2" t="s">
        <v>314</v>
      </c>
      <c r="D57" s="2" t="s">
        <v>116</v>
      </c>
      <c r="E57" s="2" t="s">
        <v>19</v>
      </c>
      <c r="F57" s="2" t="s">
        <v>33</v>
      </c>
      <c r="G57" s="2" t="s">
        <v>34</v>
      </c>
      <c r="H57" s="2" t="s">
        <v>68</v>
      </c>
      <c r="I57" s="2">
        <v>7</v>
      </c>
      <c r="J57" s="2">
        <v>182.76</v>
      </c>
      <c r="K57" s="2">
        <v>0.2</v>
      </c>
      <c r="L57" s="2" t="s">
        <v>102</v>
      </c>
      <c r="M57" s="2" t="s">
        <v>170</v>
      </c>
      <c r="N57" s="2" t="s">
        <v>50</v>
      </c>
      <c r="O57" s="2" t="s">
        <v>126</v>
      </c>
    </row>
    <row r="58" spans="1:15" x14ac:dyDescent="0.25">
      <c r="A58" s="2" t="s">
        <v>315</v>
      </c>
      <c r="B58" s="2" t="s">
        <v>316</v>
      </c>
      <c r="C58" s="2" t="s">
        <v>317</v>
      </c>
      <c r="D58" s="2" t="s">
        <v>194</v>
      </c>
      <c r="E58" s="2" t="s">
        <v>65</v>
      </c>
      <c r="F58" s="2" t="s">
        <v>267</v>
      </c>
      <c r="G58" s="2" t="s">
        <v>318</v>
      </c>
      <c r="H58" s="2" t="s">
        <v>195</v>
      </c>
      <c r="I58" s="2"/>
      <c r="J58" s="2" t="s">
        <v>319</v>
      </c>
      <c r="K58" s="2">
        <v>0.1</v>
      </c>
      <c r="L58" s="2" t="s">
        <v>59</v>
      </c>
      <c r="M58" s="2" t="s">
        <v>158</v>
      </c>
      <c r="N58" s="2" t="s">
        <v>26</v>
      </c>
      <c r="O58" s="2" t="s">
        <v>112</v>
      </c>
    </row>
    <row r="59" spans="1:15" x14ac:dyDescent="0.25">
      <c r="A59" s="2" t="s">
        <v>320</v>
      </c>
      <c r="B59" s="2" t="s">
        <v>321</v>
      </c>
      <c r="C59" s="2" t="s">
        <v>322</v>
      </c>
      <c r="D59" s="2" t="s">
        <v>55</v>
      </c>
      <c r="E59" s="2" t="s">
        <v>32</v>
      </c>
      <c r="F59" s="2" t="s">
        <v>33</v>
      </c>
      <c r="G59" s="2" t="s">
        <v>323</v>
      </c>
      <c r="H59" s="2" t="s">
        <v>35</v>
      </c>
      <c r="I59" s="2">
        <v>7</v>
      </c>
      <c r="J59" s="2">
        <v>205.2</v>
      </c>
      <c r="K59" s="2">
        <v>0</v>
      </c>
      <c r="L59" s="2" t="s">
        <v>102</v>
      </c>
      <c r="M59" s="2" t="s">
        <v>86</v>
      </c>
      <c r="N59" s="2"/>
      <c r="O59" s="2" t="s">
        <v>126</v>
      </c>
    </row>
    <row r="60" spans="1:15" x14ac:dyDescent="0.25">
      <c r="A60" s="2" t="s">
        <v>324</v>
      </c>
      <c r="B60" s="2" t="s">
        <v>325</v>
      </c>
      <c r="C60" s="2" t="s">
        <v>326</v>
      </c>
      <c r="D60" s="2" t="s">
        <v>175</v>
      </c>
      <c r="E60" s="2" t="s">
        <v>32</v>
      </c>
      <c r="F60" s="2" t="s">
        <v>56</v>
      </c>
      <c r="G60" s="2" t="s">
        <v>67</v>
      </c>
      <c r="H60" s="2" t="s">
        <v>22</v>
      </c>
      <c r="I60" s="2">
        <v>8</v>
      </c>
      <c r="J60" s="2">
        <v>24.75</v>
      </c>
      <c r="K60" s="2"/>
      <c r="L60" s="2" t="s">
        <v>102</v>
      </c>
      <c r="M60" s="2" t="s">
        <v>158</v>
      </c>
      <c r="N60" s="2" t="s">
        <v>71</v>
      </c>
      <c r="O60" s="2" t="s">
        <v>93</v>
      </c>
    </row>
    <row r="61" spans="1:15" x14ac:dyDescent="0.25">
      <c r="A61" s="2" t="s">
        <v>327</v>
      </c>
      <c r="B61" s="2" t="s">
        <v>328</v>
      </c>
      <c r="C61" s="2" t="s">
        <v>329</v>
      </c>
      <c r="D61" s="2" t="s">
        <v>152</v>
      </c>
      <c r="E61" s="2" t="s">
        <v>19</v>
      </c>
      <c r="F61" s="2" t="s">
        <v>153</v>
      </c>
      <c r="G61" s="2" t="s">
        <v>330</v>
      </c>
      <c r="H61" s="2" t="s">
        <v>58</v>
      </c>
      <c r="I61" s="2">
        <v>1</v>
      </c>
      <c r="J61" s="2">
        <v>395.27</v>
      </c>
      <c r="K61" s="2"/>
      <c r="L61" s="2" t="s">
        <v>260</v>
      </c>
      <c r="M61" s="2" t="s">
        <v>86</v>
      </c>
      <c r="N61" s="2" t="s">
        <v>111</v>
      </c>
      <c r="O61" s="2" t="s">
        <v>27</v>
      </c>
    </row>
    <row r="62" spans="1:15" x14ac:dyDescent="0.25">
      <c r="A62" s="2" t="s">
        <v>331</v>
      </c>
      <c r="B62" s="2" t="s">
        <v>332</v>
      </c>
      <c r="C62" s="2" t="s">
        <v>333</v>
      </c>
      <c r="D62" s="2" t="s">
        <v>334</v>
      </c>
      <c r="E62" s="2" t="s">
        <v>125</v>
      </c>
      <c r="F62" s="2" t="s">
        <v>33</v>
      </c>
      <c r="G62" s="2" t="s">
        <v>323</v>
      </c>
      <c r="H62" s="2" t="s">
        <v>68</v>
      </c>
      <c r="I62" s="2">
        <v>4</v>
      </c>
      <c r="J62" s="2">
        <v>403.5</v>
      </c>
      <c r="K62" s="2"/>
      <c r="L62" s="2" t="s">
        <v>79</v>
      </c>
      <c r="M62" s="2" t="s">
        <v>70</v>
      </c>
      <c r="N62" s="2" t="s">
        <v>71</v>
      </c>
      <c r="O62" s="2" t="s">
        <v>51</v>
      </c>
    </row>
    <row r="63" spans="1:15" x14ac:dyDescent="0.25">
      <c r="A63" s="2" t="s">
        <v>335</v>
      </c>
      <c r="B63" s="2" t="s">
        <v>336</v>
      </c>
      <c r="C63" s="2" t="s">
        <v>337</v>
      </c>
      <c r="D63" s="2" t="s">
        <v>44</v>
      </c>
      <c r="E63" s="2" t="s">
        <v>45</v>
      </c>
      <c r="F63" s="2" t="s">
        <v>118</v>
      </c>
      <c r="G63" s="2" t="s">
        <v>213</v>
      </c>
      <c r="H63" s="2" t="s">
        <v>48</v>
      </c>
      <c r="I63" s="2">
        <v>6</v>
      </c>
      <c r="J63" s="2">
        <v>107.78</v>
      </c>
      <c r="K63" s="2"/>
      <c r="L63" s="2" t="s">
        <v>180</v>
      </c>
      <c r="M63" s="2" t="s">
        <v>60</v>
      </c>
      <c r="N63" s="2" t="s">
        <v>111</v>
      </c>
      <c r="O63" s="2" t="s">
        <v>126</v>
      </c>
    </row>
    <row r="64" spans="1:15" x14ac:dyDescent="0.25">
      <c r="A64" s="2" t="s">
        <v>338</v>
      </c>
      <c r="B64" s="2" t="s">
        <v>279</v>
      </c>
      <c r="C64" s="2" t="s">
        <v>339</v>
      </c>
      <c r="D64" s="2" t="s">
        <v>116</v>
      </c>
      <c r="E64" s="2" t="s">
        <v>117</v>
      </c>
      <c r="F64" s="2" t="s">
        <v>91</v>
      </c>
      <c r="G64" s="2" t="s">
        <v>164</v>
      </c>
      <c r="H64" s="2" t="s">
        <v>200</v>
      </c>
      <c r="I64" s="2">
        <v>6</v>
      </c>
      <c r="J64" s="2">
        <v>41.4</v>
      </c>
      <c r="K64" s="2">
        <v>0.1</v>
      </c>
      <c r="L64" s="2" t="s">
        <v>79</v>
      </c>
      <c r="M64" s="2" t="s">
        <v>158</v>
      </c>
      <c r="N64" s="2" t="s">
        <v>26</v>
      </c>
      <c r="O64" s="2" t="s">
        <v>27</v>
      </c>
    </row>
    <row r="65" spans="1:15" x14ac:dyDescent="0.25">
      <c r="A65" s="2" t="s">
        <v>340</v>
      </c>
      <c r="B65" s="2" t="s">
        <v>341</v>
      </c>
      <c r="C65" s="2" t="s">
        <v>342</v>
      </c>
      <c r="D65" s="2" t="s">
        <v>31</v>
      </c>
      <c r="E65" s="2" t="s">
        <v>199</v>
      </c>
      <c r="F65" s="2" t="s">
        <v>118</v>
      </c>
      <c r="G65" s="2" t="s">
        <v>264</v>
      </c>
      <c r="H65" s="2" t="s">
        <v>48</v>
      </c>
      <c r="I65" s="2" t="s">
        <v>343</v>
      </c>
      <c r="J65" s="2">
        <v>355.3</v>
      </c>
      <c r="K65" s="2">
        <v>0.2</v>
      </c>
      <c r="L65" s="2" t="s">
        <v>180</v>
      </c>
      <c r="M65" s="2" t="s">
        <v>144</v>
      </c>
      <c r="N65" s="2" t="s">
        <v>26</v>
      </c>
      <c r="O65" s="2" t="s">
        <v>93</v>
      </c>
    </row>
    <row r="66" spans="1:15" x14ac:dyDescent="0.25">
      <c r="A66" s="2" t="s">
        <v>344</v>
      </c>
      <c r="B66" s="2" t="s">
        <v>345</v>
      </c>
      <c r="C66" s="2" t="s">
        <v>346</v>
      </c>
      <c r="D66" s="2" t="s">
        <v>212</v>
      </c>
      <c r="E66" s="2" t="s">
        <v>65</v>
      </c>
      <c r="F66" s="2" t="s">
        <v>83</v>
      </c>
      <c r="G66" s="2" t="s">
        <v>220</v>
      </c>
      <c r="H66" s="2" t="s">
        <v>68</v>
      </c>
      <c r="I66" s="2">
        <v>5</v>
      </c>
      <c r="J66" s="2">
        <v>147.88999999999999</v>
      </c>
      <c r="K66" s="2" t="s">
        <v>347</v>
      </c>
      <c r="L66" s="2" t="s">
        <v>102</v>
      </c>
      <c r="M66" s="2" t="s">
        <v>201</v>
      </c>
      <c r="N66" s="2" t="s">
        <v>39</v>
      </c>
      <c r="O66" s="2" t="s">
        <v>171</v>
      </c>
    </row>
    <row r="67" spans="1:15" x14ac:dyDescent="0.25">
      <c r="A67" s="2" t="s">
        <v>348</v>
      </c>
      <c r="B67" s="2" t="s">
        <v>349</v>
      </c>
      <c r="C67" s="2" t="s">
        <v>350</v>
      </c>
      <c r="D67" s="2" t="s">
        <v>31</v>
      </c>
      <c r="E67" s="2" t="s">
        <v>76</v>
      </c>
      <c r="F67" s="2" t="s">
        <v>77</v>
      </c>
      <c r="G67" s="2" t="s">
        <v>137</v>
      </c>
      <c r="H67" s="2" t="s">
        <v>195</v>
      </c>
      <c r="I67" s="2"/>
      <c r="J67" s="2">
        <v>205.17</v>
      </c>
      <c r="K67" s="2">
        <v>0.05</v>
      </c>
      <c r="L67" s="2" t="s">
        <v>180</v>
      </c>
      <c r="M67" s="2" t="s">
        <v>38</v>
      </c>
      <c r="N67" s="2" t="s">
        <v>39</v>
      </c>
      <c r="O67" s="2" t="s">
        <v>126</v>
      </c>
    </row>
    <row r="68" spans="1:15" x14ac:dyDescent="0.25">
      <c r="A68" s="2" t="s">
        <v>351</v>
      </c>
      <c r="B68" s="2" t="s">
        <v>352</v>
      </c>
      <c r="C68" s="2" t="s">
        <v>353</v>
      </c>
      <c r="D68" s="2" t="s">
        <v>334</v>
      </c>
      <c r="E68" s="2" t="s">
        <v>45</v>
      </c>
      <c r="F68" s="2" t="s">
        <v>153</v>
      </c>
      <c r="G68" s="2" t="s">
        <v>57</v>
      </c>
      <c r="H68" s="2" t="s">
        <v>68</v>
      </c>
      <c r="I68" s="2">
        <v>7</v>
      </c>
      <c r="J68" s="2">
        <v>131.62</v>
      </c>
      <c r="K68" s="2"/>
      <c r="L68" s="2" t="s">
        <v>143</v>
      </c>
      <c r="M68" s="2" t="s">
        <v>158</v>
      </c>
      <c r="N68" s="2" t="s">
        <v>39</v>
      </c>
      <c r="O68" s="2" t="s">
        <v>126</v>
      </c>
    </row>
    <row r="69" spans="1:15" x14ac:dyDescent="0.25">
      <c r="A69" s="2" t="s">
        <v>354</v>
      </c>
      <c r="B69" s="2" t="s">
        <v>355</v>
      </c>
      <c r="C69" s="2" t="s">
        <v>356</v>
      </c>
      <c r="D69" s="2" t="s">
        <v>188</v>
      </c>
      <c r="E69" s="2" t="s">
        <v>199</v>
      </c>
      <c r="F69" s="2" t="s">
        <v>189</v>
      </c>
      <c r="G69" s="2" t="s">
        <v>57</v>
      </c>
      <c r="H69" s="2" t="s">
        <v>200</v>
      </c>
      <c r="I69" s="2">
        <v>6</v>
      </c>
      <c r="J69" s="2">
        <v>261.85000000000002</v>
      </c>
      <c r="K69" s="2"/>
      <c r="L69" s="2" t="s">
        <v>24</v>
      </c>
      <c r="M69" s="2" t="s">
        <v>158</v>
      </c>
      <c r="N69" s="2" t="s">
        <v>26</v>
      </c>
      <c r="O69" s="2" t="s">
        <v>171</v>
      </c>
    </row>
    <row r="70" spans="1:15" x14ac:dyDescent="0.25">
      <c r="A70" s="2" t="s">
        <v>357</v>
      </c>
      <c r="B70" s="2" t="s">
        <v>358</v>
      </c>
      <c r="C70" s="2" t="s">
        <v>359</v>
      </c>
      <c r="D70" s="2" t="s">
        <v>97</v>
      </c>
      <c r="E70" s="2" t="s">
        <v>65</v>
      </c>
      <c r="F70" s="2" t="s">
        <v>130</v>
      </c>
      <c r="G70" s="2" t="s">
        <v>131</v>
      </c>
      <c r="H70" s="2" t="s">
        <v>178</v>
      </c>
      <c r="I70" s="2" t="s">
        <v>360</v>
      </c>
      <c r="J70" s="2">
        <v>494.24</v>
      </c>
      <c r="K70" s="2">
        <v>0.1</v>
      </c>
      <c r="L70" s="2" t="s">
        <v>132</v>
      </c>
      <c r="M70" s="2" t="s">
        <v>70</v>
      </c>
      <c r="N70" s="2"/>
      <c r="O70" s="2" t="s">
        <v>112</v>
      </c>
    </row>
    <row r="71" spans="1:15" x14ac:dyDescent="0.25">
      <c r="A71" s="2" t="s">
        <v>361</v>
      </c>
      <c r="B71" s="2" t="s">
        <v>362</v>
      </c>
      <c r="C71" s="2" t="s">
        <v>363</v>
      </c>
      <c r="D71" s="2" t="s">
        <v>212</v>
      </c>
      <c r="E71" s="2" t="s">
        <v>65</v>
      </c>
      <c r="F71" s="2" t="s">
        <v>235</v>
      </c>
      <c r="G71" s="2" t="s">
        <v>137</v>
      </c>
      <c r="H71" s="2" t="s">
        <v>178</v>
      </c>
      <c r="I71" s="2" t="s">
        <v>364</v>
      </c>
      <c r="J71" s="2">
        <v>63.34</v>
      </c>
      <c r="K71" s="2"/>
      <c r="L71" s="2" t="s">
        <v>37</v>
      </c>
      <c r="M71" s="2" t="s">
        <v>208</v>
      </c>
      <c r="N71" s="2" t="s">
        <v>26</v>
      </c>
      <c r="O71" s="2" t="s">
        <v>112</v>
      </c>
    </row>
    <row r="72" spans="1:15" x14ac:dyDescent="0.25">
      <c r="A72" s="2" t="s">
        <v>365</v>
      </c>
      <c r="B72" s="2" t="s">
        <v>366</v>
      </c>
      <c r="C72" s="2" t="s">
        <v>367</v>
      </c>
      <c r="D72" s="2" t="s">
        <v>64</v>
      </c>
      <c r="E72" s="2" t="s">
        <v>98</v>
      </c>
      <c r="F72" s="2" t="s">
        <v>106</v>
      </c>
      <c r="G72" s="2" t="s">
        <v>368</v>
      </c>
      <c r="H72" s="2" t="s">
        <v>22</v>
      </c>
      <c r="I72" s="2">
        <v>4</v>
      </c>
      <c r="J72" s="2">
        <v>206.55</v>
      </c>
      <c r="K72" s="2">
        <v>0.1</v>
      </c>
      <c r="L72" s="2" t="s">
        <v>143</v>
      </c>
      <c r="M72" s="2" t="s">
        <v>201</v>
      </c>
      <c r="N72" s="2" t="s">
        <v>111</v>
      </c>
      <c r="O72" s="2" t="s">
        <v>93</v>
      </c>
    </row>
    <row r="73" spans="1:15" x14ac:dyDescent="0.25">
      <c r="A73" s="2" t="s">
        <v>369</v>
      </c>
      <c r="B73" s="2" t="s">
        <v>370</v>
      </c>
      <c r="C73" s="2" t="s">
        <v>371</v>
      </c>
      <c r="D73" s="2" t="s">
        <v>334</v>
      </c>
      <c r="E73" s="2" t="s">
        <v>125</v>
      </c>
      <c r="F73" s="2" t="s">
        <v>136</v>
      </c>
      <c r="G73" s="2" t="s">
        <v>318</v>
      </c>
      <c r="H73" s="2" t="s">
        <v>48</v>
      </c>
      <c r="I73" s="2">
        <v>12</v>
      </c>
      <c r="J73" s="2">
        <v>308.79000000000002</v>
      </c>
      <c r="K73" s="2" t="s">
        <v>138</v>
      </c>
      <c r="L73" s="2" t="s">
        <v>69</v>
      </c>
      <c r="M73" s="2" t="s">
        <v>92</v>
      </c>
      <c r="N73" s="2"/>
      <c r="O73" s="2" t="s">
        <v>112</v>
      </c>
    </row>
    <row r="74" spans="1:15" x14ac:dyDescent="0.25">
      <c r="A74" s="2" t="s">
        <v>372</v>
      </c>
      <c r="B74" s="2" t="s">
        <v>373</v>
      </c>
      <c r="C74" s="2" t="s">
        <v>374</v>
      </c>
      <c r="D74" s="2" t="s">
        <v>44</v>
      </c>
      <c r="E74" s="2" t="s">
        <v>125</v>
      </c>
      <c r="F74" s="2" t="s">
        <v>106</v>
      </c>
      <c r="G74" s="2" t="s">
        <v>107</v>
      </c>
      <c r="H74" s="2" t="s">
        <v>200</v>
      </c>
      <c r="I74" s="2">
        <v>10</v>
      </c>
      <c r="J74" s="2">
        <v>281.63</v>
      </c>
      <c r="K74" s="2">
        <v>0.1</v>
      </c>
      <c r="L74" s="2" t="s">
        <v>260</v>
      </c>
      <c r="M74" s="2" t="s">
        <v>86</v>
      </c>
      <c r="N74" s="2" t="s">
        <v>111</v>
      </c>
      <c r="O74" s="2" t="s">
        <v>87</v>
      </c>
    </row>
    <row r="75" spans="1:15" x14ac:dyDescent="0.25">
      <c r="A75" s="2" t="s">
        <v>375</v>
      </c>
      <c r="B75" s="2" t="s">
        <v>376</v>
      </c>
      <c r="C75" s="2" t="s">
        <v>377</v>
      </c>
      <c r="D75" s="2" t="s">
        <v>31</v>
      </c>
      <c r="E75" s="2" t="s">
        <v>199</v>
      </c>
      <c r="F75" s="2" t="s">
        <v>91</v>
      </c>
      <c r="G75" s="2" t="s">
        <v>220</v>
      </c>
      <c r="H75" s="2" t="s">
        <v>48</v>
      </c>
      <c r="I75" s="2">
        <v>10</v>
      </c>
      <c r="J75" s="2">
        <v>481.83</v>
      </c>
      <c r="K75" s="2" t="s">
        <v>138</v>
      </c>
      <c r="L75" s="2" t="s">
        <v>59</v>
      </c>
      <c r="M75" s="2" t="s">
        <v>165</v>
      </c>
      <c r="N75" s="2" t="s">
        <v>26</v>
      </c>
      <c r="O75" s="2" t="s">
        <v>112</v>
      </c>
    </row>
    <row r="76" spans="1:15" x14ac:dyDescent="0.25">
      <c r="A76" s="2" t="s">
        <v>378</v>
      </c>
      <c r="B76" s="2" t="s">
        <v>379</v>
      </c>
      <c r="C76" s="2" t="s">
        <v>380</v>
      </c>
      <c r="D76" s="2" t="s">
        <v>152</v>
      </c>
      <c r="E76" s="2" t="s">
        <v>19</v>
      </c>
      <c r="F76" s="2" t="s">
        <v>33</v>
      </c>
      <c r="G76" s="2" t="s">
        <v>34</v>
      </c>
      <c r="H76" s="2" t="s">
        <v>58</v>
      </c>
      <c r="I76" s="2"/>
      <c r="J76" s="2"/>
      <c r="K76" s="2"/>
      <c r="L76" s="2" t="s">
        <v>260</v>
      </c>
      <c r="M76" s="2" t="s">
        <v>144</v>
      </c>
      <c r="N76" s="2" t="s">
        <v>50</v>
      </c>
      <c r="O76" s="2" t="s">
        <v>51</v>
      </c>
    </row>
    <row r="77" spans="1:15" x14ac:dyDescent="0.25">
      <c r="A77" s="2" t="s">
        <v>381</v>
      </c>
      <c r="B77" s="2" t="s">
        <v>95</v>
      </c>
      <c r="C77" s="2" t="s">
        <v>382</v>
      </c>
      <c r="D77" s="2" t="s">
        <v>18</v>
      </c>
      <c r="E77" s="2" t="s">
        <v>19</v>
      </c>
      <c r="F77" s="2" t="s">
        <v>46</v>
      </c>
      <c r="G77" s="2" t="s">
        <v>47</v>
      </c>
      <c r="H77" s="2" t="s">
        <v>22</v>
      </c>
      <c r="I77" s="2">
        <v>8</v>
      </c>
      <c r="J77" s="2">
        <v>258.02999999999997</v>
      </c>
      <c r="K77" s="2">
        <v>0.05</v>
      </c>
      <c r="L77" s="2" t="s">
        <v>132</v>
      </c>
      <c r="M77" s="2" t="s">
        <v>60</v>
      </c>
      <c r="N77" s="2" t="s">
        <v>71</v>
      </c>
      <c r="O77" s="2"/>
    </row>
    <row r="78" spans="1:15" x14ac:dyDescent="0.25">
      <c r="A78" s="2" t="s">
        <v>383</v>
      </c>
      <c r="B78" s="2" t="s">
        <v>384</v>
      </c>
      <c r="C78" s="2" t="s">
        <v>385</v>
      </c>
      <c r="D78" s="2" t="s">
        <v>188</v>
      </c>
      <c r="E78" s="2" t="s">
        <v>199</v>
      </c>
      <c r="F78" s="2" t="s">
        <v>184</v>
      </c>
      <c r="G78" s="2" t="s">
        <v>47</v>
      </c>
      <c r="H78" s="2" t="s">
        <v>58</v>
      </c>
      <c r="I78" s="2">
        <v>2</v>
      </c>
      <c r="J78" s="2">
        <v>163.71</v>
      </c>
      <c r="K78" s="2"/>
      <c r="L78" s="2" t="s">
        <v>102</v>
      </c>
      <c r="M78" s="2" t="s">
        <v>25</v>
      </c>
      <c r="N78" s="2" t="s">
        <v>26</v>
      </c>
      <c r="O78" s="2" t="s">
        <v>51</v>
      </c>
    </row>
    <row r="79" spans="1:15" x14ac:dyDescent="0.25">
      <c r="A79" s="2" t="s">
        <v>386</v>
      </c>
      <c r="B79" s="2" t="s">
        <v>387</v>
      </c>
      <c r="C79" s="2" t="s">
        <v>388</v>
      </c>
      <c r="D79" s="2" t="s">
        <v>258</v>
      </c>
      <c r="E79" s="2" t="s">
        <v>45</v>
      </c>
      <c r="F79" s="2" t="s">
        <v>136</v>
      </c>
      <c r="G79" s="2" t="s">
        <v>318</v>
      </c>
      <c r="H79" s="2" t="s">
        <v>58</v>
      </c>
      <c r="I79" s="2">
        <v>6</v>
      </c>
      <c r="J79" s="2">
        <v>311.61</v>
      </c>
      <c r="K79" s="2">
        <v>0.15</v>
      </c>
      <c r="L79" s="2" t="s">
        <v>281</v>
      </c>
      <c r="M79" s="2" t="s">
        <v>25</v>
      </c>
      <c r="N79" s="2" t="s">
        <v>50</v>
      </c>
      <c r="O79" s="2" t="s">
        <v>87</v>
      </c>
    </row>
    <row r="80" spans="1:15" x14ac:dyDescent="0.25">
      <c r="A80" s="2" t="s">
        <v>389</v>
      </c>
      <c r="B80" s="2" t="s">
        <v>390</v>
      </c>
      <c r="C80" s="2" t="s">
        <v>391</v>
      </c>
      <c r="D80" s="2" t="s">
        <v>18</v>
      </c>
      <c r="E80" s="2" t="s">
        <v>19</v>
      </c>
      <c r="F80" s="2" t="s">
        <v>56</v>
      </c>
      <c r="G80" s="2" t="s">
        <v>330</v>
      </c>
      <c r="H80" s="2" t="s">
        <v>108</v>
      </c>
      <c r="I80" s="2">
        <v>9</v>
      </c>
      <c r="J80" s="2">
        <v>287.47000000000003</v>
      </c>
      <c r="K80" s="2">
        <v>0.2</v>
      </c>
      <c r="L80" s="2" t="s">
        <v>260</v>
      </c>
      <c r="M80" s="2" t="s">
        <v>165</v>
      </c>
      <c r="N80" s="2" t="s">
        <v>39</v>
      </c>
      <c r="O80" s="2" t="s">
        <v>126</v>
      </c>
    </row>
    <row r="81" spans="1:15" x14ac:dyDescent="0.25">
      <c r="A81" s="2" t="s">
        <v>392</v>
      </c>
      <c r="B81" s="2" t="s">
        <v>393</v>
      </c>
      <c r="C81" s="2" t="s">
        <v>394</v>
      </c>
      <c r="D81" s="2" t="s">
        <v>44</v>
      </c>
      <c r="E81" s="2" t="s">
        <v>125</v>
      </c>
      <c r="F81" s="2" t="s">
        <v>184</v>
      </c>
      <c r="G81" s="2" t="s">
        <v>47</v>
      </c>
      <c r="H81" s="2" t="s">
        <v>68</v>
      </c>
      <c r="I81" s="2">
        <v>4</v>
      </c>
      <c r="J81" s="2">
        <v>197.79</v>
      </c>
      <c r="K81" s="2">
        <v>0</v>
      </c>
      <c r="L81" s="2" t="s">
        <v>237</v>
      </c>
      <c r="M81" s="2" t="s">
        <v>110</v>
      </c>
      <c r="N81" s="2" t="s">
        <v>50</v>
      </c>
      <c r="O81" s="2"/>
    </row>
    <row r="82" spans="1:15" x14ac:dyDescent="0.25">
      <c r="A82" s="2" t="s">
        <v>395</v>
      </c>
      <c r="B82" s="2" t="s">
        <v>396</v>
      </c>
      <c r="C82" s="2" t="s">
        <v>397</v>
      </c>
      <c r="D82" s="2" t="s">
        <v>258</v>
      </c>
      <c r="E82" s="2" t="s">
        <v>125</v>
      </c>
      <c r="F82" s="2" t="s">
        <v>33</v>
      </c>
      <c r="G82" s="2" t="s">
        <v>47</v>
      </c>
      <c r="H82" s="2" t="s">
        <v>48</v>
      </c>
      <c r="I82" s="2"/>
      <c r="J82" s="2">
        <v>175.49</v>
      </c>
      <c r="K82" s="2">
        <v>0.2</v>
      </c>
      <c r="L82" s="2" t="s">
        <v>139</v>
      </c>
      <c r="M82" s="2" t="s">
        <v>70</v>
      </c>
      <c r="N82" s="2" t="s">
        <v>50</v>
      </c>
      <c r="O82" s="2" t="s">
        <v>171</v>
      </c>
    </row>
    <row r="83" spans="1:15" x14ac:dyDescent="0.25">
      <c r="A83" s="2" t="s">
        <v>398</v>
      </c>
      <c r="B83" s="2" t="s">
        <v>399</v>
      </c>
      <c r="C83" s="2" t="s">
        <v>400</v>
      </c>
      <c r="D83" s="2" t="s">
        <v>188</v>
      </c>
      <c r="E83" s="2" t="s">
        <v>32</v>
      </c>
      <c r="F83" s="2" t="s">
        <v>267</v>
      </c>
      <c r="G83" s="2" t="s">
        <v>236</v>
      </c>
      <c r="H83" s="2" t="s">
        <v>178</v>
      </c>
      <c r="I83" s="2">
        <v>3</v>
      </c>
      <c r="J83" s="2">
        <v>322.95999999999998</v>
      </c>
      <c r="K83" s="2" t="s">
        <v>85</v>
      </c>
      <c r="L83" s="2" t="s">
        <v>281</v>
      </c>
      <c r="M83" s="2" t="s">
        <v>144</v>
      </c>
      <c r="N83" s="2" t="s">
        <v>26</v>
      </c>
      <c r="O83" s="2" t="s">
        <v>112</v>
      </c>
    </row>
    <row r="84" spans="1:15" x14ac:dyDescent="0.25">
      <c r="A84" s="2" t="s">
        <v>401</v>
      </c>
      <c r="B84" s="2" t="s">
        <v>402</v>
      </c>
      <c r="C84" s="2" t="s">
        <v>403</v>
      </c>
      <c r="D84" s="2" t="s">
        <v>212</v>
      </c>
      <c r="E84" s="2"/>
      <c r="F84" s="2" t="s">
        <v>33</v>
      </c>
      <c r="G84" s="2" t="s">
        <v>323</v>
      </c>
      <c r="H84" s="2" t="s">
        <v>68</v>
      </c>
      <c r="I84" s="2">
        <v>6</v>
      </c>
      <c r="J84" s="2"/>
      <c r="K84" s="2"/>
      <c r="L84" s="2" t="s">
        <v>37</v>
      </c>
      <c r="M84" s="2" t="s">
        <v>25</v>
      </c>
      <c r="N84" s="2" t="s">
        <v>111</v>
      </c>
      <c r="O84" s="2" t="s">
        <v>171</v>
      </c>
    </row>
    <row r="85" spans="1:15" x14ac:dyDescent="0.25">
      <c r="A85" s="2" t="s">
        <v>404</v>
      </c>
      <c r="B85" s="2" t="s">
        <v>405</v>
      </c>
      <c r="C85" s="2" t="s">
        <v>406</v>
      </c>
      <c r="D85" s="2" t="s">
        <v>285</v>
      </c>
      <c r="E85" s="2" t="s">
        <v>199</v>
      </c>
      <c r="F85" s="2" t="s">
        <v>91</v>
      </c>
      <c r="G85" s="2" t="s">
        <v>177</v>
      </c>
      <c r="H85" s="2" t="s">
        <v>195</v>
      </c>
      <c r="I85" s="2">
        <v>4</v>
      </c>
      <c r="J85" s="2">
        <v>179.4</v>
      </c>
      <c r="K85" s="2" t="s">
        <v>138</v>
      </c>
      <c r="L85" s="2" t="s">
        <v>132</v>
      </c>
      <c r="M85" s="2" t="s">
        <v>60</v>
      </c>
      <c r="N85" s="2"/>
      <c r="O85" s="2" t="s">
        <v>171</v>
      </c>
    </row>
    <row r="86" spans="1:15" x14ac:dyDescent="0.25">
      <c r="A86" s="2" t="s">
        <v>407</v>
      </c>
      <c r="B86" s="2" t="s">
        <v>408</v>
      </c>
      <c r="C86" s="2" t="s">
        <v>409</v>
      </c>
      <c r="D86" s="2" t="s">
        <v>152</v>
      </c>
      <c r="E86" s="2" t="s">
        <v>19</v>
      </c>
      <c r="F86" s="2" t="s">
        <v>235</v>
      </c>
      <c r="G86" s="2" t="s">
        <v>236</v>
      </c>
      <c r="H86" s="2" t="s">
        <v>35</v>
      </c>
      <c r="I86" s="2"/>
      <c r="J86" s="2" t="s">
        <v>410</v>
      </c>
      <c r="K86" s="2"/>
      <c r="L86" s="2" t="s">
        <v>237</v>
      </c>
      <c r="M86" s="2" t="s">
        <v>92</v>
      </c>
      <c r="N86" s="2" t="s">
        <v>71</v>
      </c>
      <c r="O86" s="2" t="s">
        <v>171</v>
      </c>
    </row>
    <row r="87" spans="1:15" x14ac:dyDescent="0.25">
      <c r="A87" s="2" t="s">
        <v>411</v>
      </c>
      <c r="B87" s="2" t="s">
        <v>412</v>
      </c>
      <c r="C87" s="2" t="s">
        <v>413</v>
      </c>
      <c r="D87" s="2" t="s">
        <v>124</v>
      </c>
      <c r="E87" s="2" t="s">
        <v>125</v>
      </c>
      <c r="F87" s="2" t="s">
        <v>20</v>
      </c>
      <c r="G87" s="2" t="s">
        <v>131</v>
      </c>
      <c r="H87" s="2" t="s">
        <v>48</v>
      </c>
      <c r="I87" s="2">
        <v>8</v>
      </c>
      <c r="J87" s="2" t="s">
        <v>414</v>
      </c>
      <c r="K87" s="2" t="s">
        <v>85</v>
      </c>
      <c r="L87" s="2" t="s">
        <v>143</v>
      </c>
      <c r="M87" s="2" t="s">
        <v>86</v>
      </c>
      <c r="N87" s="2" t="s">
        <v>71</v>
      </c>
      <c r="O87" s="2" t="s">
        <v>112</v>
      </c>
    </row>
    <row r="88" spans="1:15" x14ac:dyDescent="0.25">
      <c r="A88" s="2" t="s">
        <v>415</v>
      </c>
      <c r="B88" s="2" t="s">
        <v>416</v>
      </c>
      <c r="C88" s="2" t="s">
        <v>417</v>
      </c>
      <c r="D88" s="2" t="s">
        <v>18</v>
      </c>
      <c r="E88" s="2" t="s">
        <v>117</v>
      </c>
      <c r="F88" s="2" t="s">
        <v>163</v>
      </c>
      <c r="G88" s="2" t="s">
        <v>177</v>
      </c>
      <c r="H88" s="2" t="s">
        <v>22</v>
      </c>
      <c r="I88" s="2">
        <v>10</v>
      </c>
      <c r="J88" s="2">
        <v>350.13</v>
      </c>
      <c r="K88" s="2">
        <v>0</v>
      </c>
      <c r="L88" s="2" t="s">
        <v>132</v>
      </c>
      <c r="M88" s="2" t="s">
        <v>158</v>
      </c>
      <c r="N88" s="2" t="s">
        <v>39</v>
      </c>
      <c r="O88" s="2" t="s">
        <v>51</v>
      </c>
    </row>
    <row r="89" spans="1:15" x14ac:dyDescent="0.25">
      <c r="A89" s="2" t="s">
        <v>418</v>
      </c>
      <c r="B89" s="2" t="s">
        <v>419</v>
      </c>
      <c r="C89" s="2" t="s">
        <v>420</v>
      </c>
      <c r="D89" s="2" t="s">
        <v>224</v>
      </c>
      <c r="E89" s="2" t="s">
        <v>45</v>
      </c>
      <c r="F89" s="2" t="s">
        <v>33</v>
      </c>
      <c r="G89" s="2" t="s">
        <v>323</v>
      </c>
      <c r="H89" s="2" t="s">
        <v>35</v>
      </c>
      <c r="I89" s="2" t="s">
        <v>169</v>
      </c>
      <c r="J89" s="2">
        <v>276.33</v>
      </c>
      <c r="K89" s="2" t="s">
        <v>347</v>
      </c>
      <c r="L89" s="2" t="s">
        <v>139</v>
      </c>
      <c r="M89" s="2" t="s">
        <v>25</v>
      </c>
      <c r="N89" s="2" t="s">
        <v>39</v>
      </c>
      <c r="O89" s="2" t="s">
        <v>27</v>
      </c>
    </row>
    <row r="90" spans="1:15" x14ac:dyDescent="0.25">
      <c r="A90" s="2" t="s">
        <v>421</v>
      </c>
      <c r="B90" s="2" t="s">
        <v>422</v>
      </c>
      <c r="C90" s="2" t="s">
        <v>423</v>
      </c>
      <c r="D90" s="2" t="s">
        <v>116</v>
      </c>
      <c r="E90" s="2" t="s">
        <v>117</v>
      </c>
      <c r="F90" s="2" t="s">
        <v>136</v>
      </c>
      <c r="G90" s="2" t="s">
        <v>236</v>
      </c>
      <c r="H90" s="2" t="s">
        <v>58</v>
      </c>
      <c r="I90" s="2">
        <v>3</v>
      </c>
      <c r="J90" s="2">
        <v>464.64</v>
      </c>
      <c r="K90" s="2" t="s">
        <v>347</v>
      </c>
      <c r="L90" s="2" t="s">
        <v>180</v>
      </c>
      <c r="M90" s="2" t="s">
        <v>60</v>
      </c>
      <c r="N90" s="2" t="s">
        <v>111</v>
      </c>
      <c r="O90" s="2"/>
    </row>
    <row r="91" spans="1:15" x14ac:dyDescent="0.25">
      <c r="A91" s="2" t="s">
        <v>424</v>
      </c>
      <c r="B91" s="2" t="s">
        <v>425</v>
      </c>
      <c r="C91" s="2" t="s">
        <v>426</v>
      </c>
      <c r="D91" s="2" t="s">
        <v>212</v>
      </c>
      <c r="E91" s="2" t="s">
        <v>98</v>
      </c>
      <c r="F91" s="2" t="s">
        <v>118</v>
      </c>
      <c r="G91" s="2" t="s">
        <v>21</v>
      </c>
      <c r="H91" s="2" t="s">
        <v>195</v>
      </c>
      <c r="I91" s="2" t="s">
        <v>360</v>
      </c>
      <c r="J91" s="2">
        <v>146.44</v>
      </c>
      <c r="K91" s="2"/>
      <c r="L91" s="2" t="s">
        <v>102</v>
      </c>
      <c r="M91" s="2" t="s">
        <v>60</v>
      </c>
      <c r="N91" s="2" t="s">
        <v>111</v>
      </c>
      <c r="O91" s="2" t="s">
        <v>51</v>
      </c>
    </row>
    <row r="92" spans="1:15" x14ac:dyDescent="0.25">
      <c r="A92" s="2" t="s">
        <v>427</v>
      </c>
      <c r="B92" s="2" t="s">
        <v>428</v>
      </c>
      <c r="C92" s="2" t="s">
        <v>429</v>
      </c>
      <c r="D92" s="2" t="s">
        <v>224</v>
      </c>
      <c r="E92" s="2" t="s">
        <v>125</v>
      </c>
      <c r="F92" s="2" t="s">
        <v>153</v>
      </c>
      <c r="G92" s="2" t="s">
        <v>67</v>
      </c>
      <c r="H92" s="2" t="s">
        <v>58</v>
      </c>
      <c r="I92" s="2">
        <v>8</v>
      </c>
      <c r="J92" s="2">
        <v>494.01</v>
      </c>
      <c r="K92" s="2">
        <v>0.15</v>
      </c>
      <c r="L92" s="2" t="s">
        <v>79</v>
      </c>
      <c r="M92" s="2" t="s">
        <v>70</v>
      </c>
      <c r="N92" s="2" t="s">
        <v>26</v>
      </c>
      <c r="O92" s="2" t="s">
        <v>87</v>
      </c>
    </row>
    <row r="93" spans="1:15" x14ac:dyDescent="0.25">
      <c r="A93" s="2" t="s">
        <v>430</v>
      </c>
      <c r="B93" s="2" t="s">
        <v>431</v>
      </c>
      <c r="C93" s="2" t="s">
        <v>432</v>
      </c>
      <c r="D93" s="2" t="s">
        <v>285</v>
      </c>
      <c r="E93" s="2" t="s">
        <v>199</v>
      </c>
      <c r="F93" s="2" t="s">
        <v>298</v>
      </c>
      <c r="G93" s="2" t="s">
        <v>21</v>
      </c>
      <c r="H93" s="2" t="s">
        <v>195</v>
      </c>
      <c r="I93" s="2">
        <v>12</v>
      </c>
      <c r="J93" s="2">
        <v>461.16</v>
      </c>
      <c r="K93" s="2"/>
      <c r="L93" s="2" t="s">
        <v>281</v>
      </c>
      <c r="M93" s="2" t="s">
        <v>110</v>
      </c>
      <c r="N93" s="2"/>
      <c r="O93" s="2" t="s">
        <v>112</v>
      </c>
    </row>
    <row r="94" spans="1:15" x14ac:dyDescent="0.25">
      <c r="A94" s="2" t="s">
        <v>433</v>
      </c>
      <c r="B94" s="2" t="s">
        <v>434</v>
      </c>
      <c r="C94" s="2" t="s">
        <v>435</v>
      </c>
      <c r="D94" s="2" t="s">
        <v>188</v>
      </c>
      <c r="E94" s="2" t="s">
        <v>76</v>
      </c>
      <c r="F94" s="2" t="s">
        <v>77</v>
      </c>
      <c r="G94" s="2" t="s">
        <v>268</v>
      </c>
      <c r="H94" s="2" t="s">
        <v>58</v>
      </c>
      <c r="I94" s="2">
        <v>8</v>
      </c>
      <c r="J94" s="2">
        <v>495.96</v>
      </c>
      <c r="K94" s="2">
        <v>0.05</v>
      </c>
      <c r="L94" s="2" t="s">
        <v>132</v>
      </c>
      <c r="M94" s="2" t="s">
        <v>92</v>
      </c>
      <c r="N94" s="2" t="s">
        <v>111</v>
      </c>
      <c r="O94" s="2"/>
    </row>
    <row r="95" spans="1:15" x14ac:dyDescent="0.25">
      <c r="A95" s="2" t="s">
        <v>436</v>
      </c>
      <c r="B95" s="2" t="s">
        <v>233</v>
      </c>
      <c r="C95" s="2" t="s">
        <v>437</v>
      </c>
      <c r="D95" s="2" t="s">
        <v>194</v>
      </c>
      <c r="E95" s="2" t="s">
        <v>98</v>
      </c>
      <c r="F95" s="2" t="s">
        <v>153</v>
      </c>
      <c r="G95" s="2" t="s">
        <v>330</v>
      </c>
      <c r="H95" s="2" t="s">
        <v>35</v>
      </c>
      <c r="I95" s="2">
        <v>6</v>
      </c>
      <c r="J95" s="2">
        <v>236.18</v>
      </c>
      <c r="K95" s="2" t="s">
        <v>254</v>
      </c>
      <c r="L95" s="2" t="s">
        <v>143</v>
      </c>
      <c r="M95" s="2" t="s">
        <v>165</v>
      </c>
      <c r="N95" s="2"/>
      <c r="O95" s="2" t="s">
        <v>40</v>
      </c>
    </row>
    <row r="96" spans="1:15" x14ac:dyDescent="0.25">
      <c r="A96" s="2" t="s">
        <v>438</v>
      </c>
      <c r="B96" s="2" t="s">
        <v>439</v>
      </c>
      <c r="C96" s="2" t="s">
        <v>440</v>
      </c>
      <c r="D96" s="2" t="s">
        <v>152</v>
      </c>
      <c r="E96" s="2" t="s">
        <v>19</v>
      </c>
      <c r="F96" s="2" t="s">
        <v>118</v>
      </c>
      <c r="G96" s="2" t="s">
        <v>21</v>
      </c>
      <c r="H96" s="2" t="s">
        <v>200</v>
      </c>
      <c r="I96" s="2">
        <v>3</v>
      </c>
      <c r="J96" s="2">
        <v>438.85</v>
      </c>
      <c r="K96" s="2">
        <v>0.1</v>
      </c>
      <c r="L96" s="2" t="s">
        <v>281</v>
      </c>
      <c r="M96" s="2" t="s">
        <v>92</v>
      </c>
      <c r="N96" s="2" t="s">
        <v>50</v>
      </c>
      <c r="O96" s="2" t="s">
        <v>27</v>
      </c>
    </row>
    <row r="97" spans="1:15" x14ac:dyDescent="0.25">
      <c r="A97" s="2" t="s">
        <v>441</v>
      </c>
      <c r="B97" s="2" t="s">
        <v>442</v>
      </c>
      <c r="C97" s="2" t="s">
        <v>443</v>
      </c>
      <c r="D97" s="2" t="s">
        <v>224</v>
      </c>
      <c r="E97" s="2" t="s">
        <v>125</v>
      </c>
      <c r="F97" s="2" t="s">
        <v>176</v>
      </c>
      <c r="G97" s="2" t="s">
        <v>177</v>
      </c>
      <c r="H97" s="2" t="s">
        <v>35</v>
      </c>
      <c r="I97" s="2">
        <v>11</v>
      </c>
      <c r="J97" s="2"/>
      <c r="K97" s="2"/>
      <c r="L97" s="2" t="s">
        <v>79</v>
      </c>
      <c r="M97" s="2" t="s">
        <v>144</v>
      </c>
      <c r="N97" s="2" t="s">
        <v>50</v>
      </c>
      <c r="O97" s="2" t="s">
        <v>93</v>
      </c>
    </row>
    <row r="98" spans="1:15" x14ac:dyDescent="0.25">
      <c r="A98" s="2" t="s">
        <v>444</v>
      </c>
      <c r="B98" s="2" t="s">
        <v>445</v>
      </c>
      <c r="C98" s="2" t="s">
        <v>446</v>
      </c>
      <c r="D98" s="2" t="s">
        <v>97</v>
      </c>
      <c r="E98" s="2" t="s">
        <v>65</v>
      </c>
      <c r="F98" s="2" t="s">
        <v>130</v>
      </c>
      <c r="G98" s="2" t="s">
        <v>119</v>
      </c>
      <c r="H98" s="2" t="s">
        <v>195</v>
      </c>
      <c r="I98" s="2" t="s">
        <v>360</v>
      </c>
      <c r="J98" s="2">
        <v>383.31</v>
      </c>
      <c r="K98" s="2">
        <v>0.2</v>
      </c>
      <c r="L98" s="2" t="s">
        <v>281</v>
      </c>
      <c r="M98" s="2" t="s">
        <v>86</v>
      </c>
      <c r="N98" s="2" t="s">
        <v>26</v>
      </c>
      <c r="O98" s="2" t="s">
        <v>93</v>
      </c>
    </row>
    <row r="99" spans="1:15" x14ac:dyDescent="0.25">
      <c r="A99" s="2" t="s">
        <v>447</v>
      </c>
      <c r="B99" s="2" t="s">
        <v>448</v>
      </c>
      <c r="C99" s="2" t="s">
        <v>449</v>
      </c>
      <c r="D99" s="2" t="s">
        <v>258</v>
      </c>
      <c r="E99" s="2" t="s">
        <v>125</v>
      </c>
      <c r="F99" s="2" t="s">
        <v>189</v>
      </c>
      <c r="G99" s="2" t="s">
        <v>330</v>
      </c>
      <c r="H99" s="2" t="s">
        <v>200</v>
      </c>
      <c r="I99" s="2">
        <v>7</v>
      </c>
      <c r="J99" s="2">
        <v>432.85</v>
      </c>
      <c r="K99" s="2"/>
      <c r="L99" s="2" t="s">
        <v>132</v>
      </c>
      <c r="M99" s="2" t="s">
        <v>201</v>
      </c>
      <c r="N99" s="2" t="s">
        <v>50</v>
      </c>
      <c r="O99" s="2"/>
    </row>
    <row r="100" spans="1:15" x14ac:dyDescent="0.25">
      <c r="A100" s="2" t="s">
        <v>450</v>
      </c>
      <c r="B100" s="2" t="s">
        <v>451</v>
      </c>
      <c r="C100" s="2" t="s">
        <v>452</v>
      </c>
      <c r="D100" s="2" t="s">
        <v>18</v>
      </c>
      <c r="E100" s="2" t="s">
        <v>19</v>
      </c>
      <c r="F100" s="2" t="s">
        <v>20</v>
      </c>
      <c r="G100" s="2" t="s">
        <v>264</v>
      </c>
      <c r="H100" s="2" t="s">
        <v>200</v>
      </c>
      <c r="I100" s="2">
        <v>8</v>
      </c>
      <c r="J100" s="2"/>
      <c r="K100" s="2"/>
      <c r="L100" s="2" t="s">
        <v>79</v>
      </c>
      <c r="M100" s="2" t="s">
        <v>25</v>
      </c>
      <c r="N100" s="2" t="s">
        <v>39</v>
      </c>
      <c r="O100" s="2" t="s">
        <v>126</v>
      </c>
    </row>
    <row r="101" spans="1:15" x14ac:dyDescent="0.25">
      <c r="A101" s="2" t="s">
        <v>453</v>
      </c>
      <c r="B101" s="2" t="s">
        <v>454</v>
      </c>
      <c r="C101" s="2" t="s">
        <v>391</v>
      </c>
      <c r="D101" s="2" t="s">
        <v>194</v>
      </c>
      <c r="E101" s="2" t="s">
        <v>98</v>
      </c>
      <c r="F101" s="2" t="s">
        <v>235</v>
      </c>
      <c r="G101" s="2" t="s">
        <v>268</v>
      </c>
      <c r="H101" s="2" t="s">
        <v>22</v>
      </c>
      <c r="I101" s="2" t="s">
        <v>190</v>
      </c>
      <c r="J101" s="2">
        <v>327.81</v>
      </c>
      <c r="K101" s="2"/>
      <c r="L101" s="2" t="s">
        <v>180</v>
      </c>
      <c r="M101" s="2" t="s">
        <v>144</v>
      </c>
      <c r="N101" s="2" t="s">
        <v>111</v>
      </c>
      <c r="O101" s="2" t="s">
        <v>87</v>
      </c>
    </row>
    <row r="102" spans="1:15" x14ac:dyDescent="0.25">
      <c r="A102" s="2" t="s">
        <v>455</v>
      </c>
      <c r="B102" s="2" t="s">
        <v>456</v>
      </c>
      <c r="C102" s="2" t="s">
        <v>457</v>
      </c>
      <c r="D102" s="2" t="s">
        <v>55</v>
      </c>
      <c r="E102" s="2" t="s">
        <v>76</v>
      </c>
      <c r="F102" s="2" t="s">
        <v>83</v>
      </c>
      <c r="G102" s="2" t="s">
        <v>177</v>
      </c>
      <c r="H102" s="2" t="s">
        <v>195</v>
      </c>
      <c r="I102" s="2">
        <v>9</v>
      </c>
      <c r="J102" s="2">
        <v>210.67</v>
      </c>
      <c r="K102" s="2">
        <v>0.15</v>
      </c>
      <c r="L102" s="2" t="s">
        <v>102</v>
      </c>
      <c r="M102" s="2" t="s">
        <v>208</v>
      </c>
      <c r="N102" s="2" t="s">
        <v>50</v>
      </c>
      <c r="O102" s="2" t="s">
        <v>93</v>
      </c>
    </row>
    <row r="103" spans="1:15" x14ac:dyDescent="0.25">
      <c r="A103" s="2" t="s">
        <v>458</v>
      </c>
      <c r="B103" s="2" t="s">
        <v>459</v>
      </c>
      <c r="C103" s="2" t="s">
        <v>460</v>
      </c>
      <c r="D103" s="2" t="s">
        <v>31</v>
      </c>
      <c r="E103" s="2" t="s">
        <v>32</v>
      </c>
      <c r="F103" s="2" t="s">
        <v>77</v>
      </c>
      <c r="G103" s="2" t="s">
        <v>318</v>
      </c>
      <c r="H103" s="2" t="s">
        <v>195</v>
      </c>
      <c r="I103" s="2">
        <v>1</v>
      </c>
      <c r="J103" s="2">
        <v>177.55</v>
      </c>
      <c r="K103" s="2">
        <v>0</v>
      </c>
      <c r="L103" s="2" t="s">
        <v>237</v>
      </c>
      <c r="M103" s="2" t="s">
        <v>144</v>
      </c>
      <c r="N103" s="2" t="s">
        <v>111</v>
      </c>
      <c r="O103" s="2"/>
    </row>
    <row r="104" spans="1:15" x14ac:dyDescent="0.25">
      <c r="A104" s="2" t="s">
        <v>461</v>
      </c>
      <c r="B104" s="2" t="s">
        <v>462</v>
      </c>
      <c r="C104" s="2" t="s">
        <v>463</v>
      </c>
      <c r="D104" s="2" t="s">
        <v>44</v>
      </c>
      <c r="E104" s="2" t="s">
        <v>125</v>
      </c>
      <c r="F104" s="2" t="s">
        <v>99</v>
      </c>
      <c r="G104" s="2" t="s">
        <v>84</v>
      </c>
      <c r="H104" s="2" t="s">
        <v>35</v>
      </c>
      <c r="I104" s="2">
        <v>8</v>
      </c>
      <c r="J104" s="2">
        <v>484.71</v>
      </c>
      <c r="K104" s="2">
        <v>0.15</v>
      </c>
      <c r="L104" s="2" t="s">
        <v>139</v>
      </c>
      <c r="M104" s="2" t="s">
        <v>201</v>
      </c>
      <c r="N104" s="2" t="s">
        <v>50</v>
      </c>
      <c r="O104" s="2" t="s">
        <v>40</v>
      </c>
    </row>
    <row r="105" spans="1:15" x14ac:dyDescent="0.25">
      <c r="A105" s="2" t="s">
        <v>464</v>
      </c>
      <c r="B105" s="2" t="s">
        <v>465</v>
      </c>
      <c r="C105" s="2" t="s">
        <v>466</v>
      </c>
      <c r="D105" s="2" t="s">
        <v>64</v>
      </c>
      <c r="E105" s="2"/>
      <c r="F105" s="2" t="s">
        <v>267</v>
      </c>
      <c r="G105" s="2" t="s">
        <v>318</v>
      </c>
      <c r="H105" s="2" t="s">
        <v>200</v>
      </c>
      <c r="I105" s="2">
        <v>10</v>
      </c>
      <c r="J105" s="2">
        <v>30.02</v>
      </c>
      <c r="K105" s="2">
        <v>0.15</v>
      </c>
      <c r="L105" s="2" t="s">
        <v>260</v>
      </c>
      <c r="M105" s="2" t="s">
        <v>201</v>
      </c>
      <c r="N105" s="2" t="s">
        <v>39</v>
      </c>
      <c r="O105" s="2" t="s">
        <v>112</v>
      </c>
    </row>
    <row r="106" spans="1:15" x14ac:dyDescent="0.25">
      <c r="A106" s="2" t="s">
        <v>149</v>
      </c>
      <c r="B106" s="2" t="s">
        <v>150</v>
      </c>
      <c r="C106" s="2" t="s">
        <v>467</v>
      </c>
      <c r="D106" s="2" t="s">
        <v>152</v>
      </c>
      <c r="E106" s="2" t="s">
        <v>19</v>
      </c>
      <c r="F106" s="2" t="s">
        <v>153</v>
      </c>
      <c r="G106" s="2" t="s">
        <v>154</v>
      </c>
      <c r="H106" s="2" t="s">
        <v>108</v>
      </c>
      <c r="I106" s="2"/>
      <c r="J106" s="2">
        <v>464.9</v>
      </c>
      <c r="K106" s="2">
        <v>0.1</v>
      </c>
      <c r="L106" s="2" t="s">
        <v>24</v>
      </c>
      <c r="M106" s="2" t="s">
        <v>86</v>
      </c>
      <c r="N106" s="2" t="s">
        <v>111</v>
      </c>
      <c r="O106" s="2" t="s">
        <v>27</v>
      </c>
    </row>
    <row r="107" spans="1:15" x14ac:dyDescent="0.25">
      <c r="A107" s="2" t="s">
        <v>468</v>
      </c>
      <c r="B107" s="2" t="s">
        <v>469</v>
      </c>
      <c r="C107" s="2" t="s">
        <v>470</v>
      </c>
      <c r="D107" s="2" t="s">
        <v>212</v>
      </c>
      <c r="E107" s="2"/>
      <c r="F107" s="2" t="s">
        <v>189</v>
      </c>
      <c r="G107" s="2" t="s">
        <v>57</v>
      </c>
      <c r="H107" s="2" t="s">
        <v>178</v>
      </c>
      <c r="I107" s="2" t="s">
        <v>241</v>
      </c>
      <c r="J107" s="2" t="s">
        <v>471</v>
      </c>
      <c r="K107" s="2"/>
      <c r="L107" s="2" t="s">
        <v>59</v>
      </c>
      <c r="M107" s="2" t="s">
        <v>60</v>
      </c>
      <c r="N107" s="2" t="s">
        <v>71</v>
      </c>
      <c r="O107" s="2" t="s">
        <v>93</v>
      </c>
    </row>
    <row r="108" spans="1:15" x14ac:dyDescent="0.25">
      <c r="A108" s="2" t="s">
        <v>472</v>
      </c>
      <c r="B108" s="2" t="s">
        <v>473</v>
      </c>
      <c r="C108" s="2" t="s">
        <v>474</v>
      </c>
      <c r="D108" s="2" t="s">
        <v>212</v>
      </c>
      <c r="E108" s="2" t="s">
        <v>65</v>
      </c>
      <c r="F108" s="2" t="s">
        <v>91</v>
      </c>
      <c r="G108" s="2" t="s">
        <v>84</v>
      </c>
      <c r="H108" s="2" t="s">
        <v>48</v>
      </c>
      <c r="I108" s="2">
        <v>7</v>
      </c>
      <c r="J108" s="2">
        <v>244.05</v>
      </c>
      <c r="K108" s="2">
        <v>0.05</v>
      </c>
      <c r="L108" s="2" t="s">
        <v>37</v>
      </c>
      <c r="M108" s="2" t="s">
        <v>110</v>
      </c>
      <c r="N108" s="2" t="s">
        <v>111</v>
      </c>
      <c r="O108" s="2" t="s">
        <v>51</v>
      </c>
    </row>
    <row r="109" spans="1:15" x14ac:dyDescent="0.25">
      <c r="A109" s="2" t="s">
        <v>475</v>
      </c>
      <c r="B109" s="2" t="s">
        <v>476</v>
      </c>
      <c r="C109" s="2" t="s">
        <v>477</v>
      </c>
      <c r="D109" s="2" t="s">
        <v>285</v>
      </c>
      <c r="E109" s="2" t="s">
        <v>32</v>
      </c>
      <c r="F109" s="2" t="s">
        <v>298</v>
      </c>
      <c r="G109" s="2" t="s">
        <v>264</v>
      </c>
      <c r="H109" s="2" t="s">
        <v>178</v>
      </c>
      <c r="I109" s="2">
        <v>1</v>
      </c>
      <c r="J109" s="2" t="s">
        <v>478</v>
      </c>
      <c r="K109" s="2">
        <v>0.05</v>
      </c>
      <c r="L109" s="2" t="s">
        <v>139</v>
      </c>
      <c r="M109" s="2" t="s">
        <v>201</v>
      </c>
      <c r="N109" s="2" t="s">
        <v>50</v>
      </c>
      <c r="O109" s="2" t="s">
        <v>87</v>
      </c>
    </row>
    <row r="110" spans="1:15" x14ac:dyDescent="0.25">
      <c r="A110" s="2" t="s">
        <v>479</v>
      </c>
      <c r="B110" s="2" t="s">
        <v>81</v>
      </c>
      <c r="C110" s="2" t="s">
        <v>480</v>
      </c>
      <c r="D110" s="2" t="s">
        <v>55</v>
      </c>
      <c r="E110" s="2" t="s">
        <v>76</v>
      </c>
      <c r="F110" s="2" t="s">
        <v>153</v>
      </c>
      <c r="G110" s="2" t="s">
        <v>57</v>
      </c>
      <c r="H110" s="2" t="s">
        <v>35</v>
      </c>
      <c r="I110" s="2">
        <v>4</v>
      </c>
      <c r="J110" s="2">
        <v>137.16</v>
      </c>
      <c r="K110" s="2" t="s">
        <v>259</v>
      </c>
      <c r="L110" s="2" t="s">
        <v>143</v>
      </c>
      <c r="M110" s="2" t="s">
        <v>92</v>
      </c>
      <c r="N110" s="2"/>
      <c r="O110" s="2" t="s">
        <v>126</v>
      </c>
    </row>
    <row r="111" spans="1:15" x14ac:dyDescent="0.25">
      <c r="A111" s="2" t="s">
        <v>481</v>
      </c>
      <c r="B111" s="2" t="s">
        <v>482</v>
      </c>
      <c r="C111" s="2" t="s">
        <v>483</v>
      </c>
      <c r="D111" s="2" t="s">
        <v>188</v>
      </c>
      <c r="E111" s="2" t="s">
        <v>32</v>
      </c>
      <c r="F111" s="2" t="s">
        <v>91</v>
      </c>
      <c r="G111" s="2" t="s">
        <v>164</v>
      </c>
      <c r="H111" s="2" t="s">
        <v>200</v>
      </c>
      <c r="I111" s="2">
        <v>11</v>
      </c>
      <c r="J111" s="2">
        <v>261.95</v>
      </c>
      <c r="K111" s="2" t="s">
        <v>347</v>
      </c>
      <c r="L111" s="2" t="s">
        <v>132</v>
      </c>
      <c r="M111" s="2" t="s">
        <v>70</v>
      </c>
      <c r="N111" s="2" t="s">
        <v>111</v>
      </c>
      <c r="O111" s="2" t="s">
        <v>51</v>
      </c>
    </row>
    <row r="112" spans="1:15" x14ac:dyDescent="0.25">
      <c r="A112" s="2" t="s">
        <v>484</v>
      </c>
      <c r="B112" s="2" t="s">
        <v>485</v>
      </c>
      <c r="C112" s="2" t="s">
        <v>486</v>
      </c>
      <c r="D112" s="2" t="s">
        <v>258</v>
      </c>
      <c r="E112" s="2" t="s">
        <v>45</v>
      </c>
      <c r="F112" s="2" t="s">
        <v>184</v>
      </c>
      <c r="G112" s="2" t="s">
        <v>323</v>
      </c>
      <c r="H112" s="2" t="s">
        <v>68</v>
      </c>
      <c r="I112" s="2">
        <v>12</v>
      </c>
      <c r="J112" s="2">
        <v>224.47</v>
      </c>
      <c r="K112" s="2">
        <v>0</v>
      </c>
      <c r="L112" s="2" t="s">
        <v>132</v>
      </c>
      <c r="M112" s="2" t="s">
        <v>170</v>
      </c>
      <c r="N112" s="2" t="s">
        <v>26</v>
      </c>
      <c r="O112" s="2" t="s">
        <v>126</v>
      </c>
    </row>
    <row r="113" spans="1:15" x14ac:dyDescent="0.25">
      <c r="A113" s="2" t="s">
        <v>487</v>
      </c>
      <c r="B113" s="2" t="s">
        <v>488</v>
      </c>
      <c r="C113" s="2" t="s">
        <v>489</v>
      </c>
      <c r="D113" s="2" t="s">
        <v>194</v>
      </c>
      <c r="E113" s="2" t="s">
        <v>98</v>
      </c>
      <c r="F113" s="2" t="s">
        <v>184</v>
      </c>
      <c r="G113" s="2" t="s">
        <v>323</v>
      </c>
      <c r="H113" s="2" t="s">
        <v>68</v>
      </c>
      <c r="I113" s="2">
        <v>1</v>
      </c>
      <c r="J113" s="2" t="s">
        <v>490</v>
      </c>
      <c r="K113" s="2">
        <v>0.1</v>
      </c>
      <c r="L113" s="2" t="s">
        <v>281</v>
      </c>
      <c r="M113" s="2" t="s">
        <v>201</v>
      </c>
      <c r="N113" s="2" t="s">
        <v>71</v>
      </c>
      <c r="O113" s="2" t="s">
        <v>87</v>
      </c>
    </row>
    <row r="114" spans="1:15" x14ac:dyDescent="0.25">
      <c r="A114" s="2" t="s">
        <v>491</v>
      </c>
      <c r="B114" s="2" t="s">
        <v>492</v>
      </c>
      <c r="C114" s="2" t="s">
        <v>493</v>
      </c>
      <c r="D114" s="2" t="s">
        <v>194</v>
      </c>
      <c r="E114" s="2" t="s">
        <v>65</v>
      </c>
      <c r="F114" s="2" t="s">
        <v>20</v>
      </c>
      <c r="G114" s="2" t="s">
        <v>119</v>
      </c>
      <c r="H114" s="2" t="s">
        <v>108</v>
      </c>
      <c r="I114" s="2">
        <v>6</v>
      </c>
      <c r="J114" s="2">
        <v>192.67</v>
      </c>
      <c r="K114" s="2">
        <v>0.1</v>
      </c>
      <c r="L114" s="2" t="s">
        <v>180</v>
      </c>
      <c r="M114" s="2" t="s">
        <v>38</v>
      </c>
      <c r="N114" s="2" t="s">
        <v>39</v>
      </c>
      <c r="O114" s="2"/>
    </row>
    <row r="115" spans="1:15" x14ac:dyDescent="0.25">
      <c r="A115" s="2" t="s">
        <v>494</v>
      </c>
      <c r="B115" s="2" t="s">
        <v>495</v>
      </c>
      <c r="C115" s="2" t="s">
        <v>496</v>
      </c>
      <c r="D115" s="2" t="s">
        <v>31</v>
      </c>
      <c r="E115" s="2" t="s">
        <v>76</v>
      </c>
      <c r="F115" s="2" t="s">
        <v>136</v>
      </c>
      <c r="G115" s="2" t="s">
        <v>268</v>
      </c>
      <c r="H115" s="2" t="s">
        <v>48</v>
      </c>
      <c r="I115" s="2">
        <v>7</v>
      </c>
      <c r="J115" s="2" t="s">
        <v>497</v>
      </c>
      <c r="K115" s="2"/>
      <c r="L115" s="2" t="s">
        <v>260</v>
      </c>
      <c r="M115" s="2" t="s">
        <v>170</v>
      </c>
      <c r="N115" s="2" t="s">
        <v>26</v>
      </c>
      <c r="O115" s="2" t="s">
        <v>87</v>
      </c>
    </row>
    <row r="116" spans="1:15" x14ac:dyDescent="0.25">
      <c r="A116" s="2" t="s">
        <v>498</v>
      </c>
      <c r="B116" s="2" t="s">
        <v>186</v>
      </c>
      <c r="C116" s="2" t="s">
        <v>499</v>
      </c>
      <c r="D116" s="2" t="s">
        <v>44</v>
      </c>
      <c r="E116" s="2" t="s">
        <v>45</v>
      </c>
      <c r="F116" s="2" t="s">
        <v>235</v>
      </c>
      <c r="G116" s="2" t="s">
        <v>236</v>
      </c>
      <c r="H116" s="2" t="s">
        <v>108</v>
      </c>
      <c r="I116" s="2" t="s">
        <v>343</v>
      </c>
      <c r="J116" s="2">
        <v>7.57</v>
      </c>
      <c r="K116" s="2">
        <v>0.1</v>
      </c>
      <c r="L116" s="2" t="s">
        <v>180</v>
      </c>
      <c r="M116" s="2" t="s">
        <v>208</v>
      </c>
      <c r="N116" s="2" t="s">
        <v>39</v>
      </c>
      <c r="O116" s="2" t="s">
        <v>87</v>
      </c>
    </row>
    <row r="117" spans="1:15" x14ac:dyDescent="0.25">
      <c r="A117" s="2" t="s">
        <v>500</v>
      </c>
      <c r="B117" s="2" t="s">
        <v>501</v>
      </c>
      <c r="C117" s="2" t="s">
        <v>502</v>
      </c>
      <c r="D117" s="2" t="s">
        <v>224</v>
      </c>
      <c r="E117" s="2"/>
      <c r="F117" s="2" t="s">
        <v>184</v>
      </c>
      <c r="G117" s="2" t="s">
        <v>323</v>
      </c>
      <c r="H117" s="2" t="s">
        <v>108</v>
      </c>
      <c r="I117" s="2">
        <v>7</v>
      </c>
      <c r="J117" s="2">
        <v>258.14999999999998</v>
      </c>
      <c r="K117" s="2" t="s">
        <v>85</v>
      </c>
      <c r="L117" s="2" t="s">
        <v>143</v>
      </c>
      <c r="M117" s="2" t="s">
        <v>70</v>
      </c>
      <c r="N117" s="2" t="s">
        <v>50</v>
      </c>
      <c r="O117" s="2" t="s">
        <v>93</v>
      </c>
    </row>
    <row r="118" spans="1:15" x14ac:dyDescent="0.25">
      <c r="A118" s="2" t="s">
        <v>503</v>
      </c>
      <c r="B118" s="2" t="s">
        <v>504</v>
      </c>
      <c r="C118" s="2" t="s">
        <v>505</v>
      </c>
      <c r="D118" s="2" t="s">
        <v>55</v>
      </c>
      <c r="E118" s="2"/>
      <c r="F118" s="2" t="s">
        <v>136</v>
      </c>
      <c r="G118" s="2" t="s">
        <v>236</v>
      </c>
      <c r="H118" s="2" t="s">
        <v>195</v>
      </c>
      <c r="I118" s="2">
        <v>7</v>
      </c>
      <c r="J118" s="2">
        <v>366.6</v>
      </c>
      <c r="K118" s="2" t="s">
        <v>347</v>
      </c>
      <c r="L118" s="2" t="s">
        <v>281</v>
      </c>
      <c r="M118" s="2" t="s">
        <v>25</v>
      </c>
      <c r="N118" s="2" t="s">
        <v>71</v>
      </c>
      <c r="O118" s="2" t="s">
        <v>93</v>
      </c>
    </row>
    <row r="119" spans="1:15" x14ac:dyDescent="0.25">
      <c r="A119" s="2" t="s">
        <v>506</v>
      </c>
      <c r="B119" s="2" t="s">
        <v>507</v>
      </c>
      <c r="C119" s="2" t="s">
        <v>508</v>
      </c>
      <c r="D119" s="2" t="s">
        <v>285</v>
      </c>
      <c r="E119" s="2" t="s">
        <v>76</v>
      </c>
      <c r="F119" s="2" t="s">
        <v>184</v>
      </c>
      <c r="G119" s="2" t="s">
        <v>47</v>
      </c>
      <c r="H119" s="2" t="s">
        <v>200</v>
      </c>
      <c r="I119" s="2">
        <v>2</v>
      </c>
      <c r="J119" s="2">
        <v>416.13</v>
      </c>
      <c r="K119" s="2" t="s">
        <v>85</v>
      </c>
      <c r="L119" s="2" t="s">
        <v>132</v>
      </c>
      <c r="M119" s="2" t="s">
        <v>110</v>
      </c>
      <c r="N119" s="2" t="s">
        <v>39</v>
      </c>
      <c r="O119" s="2"/>
    </row>
    <row r="120" spans="1:15" x14ac:dyDescent="0.25">
      <c r="A120" s="2" t="s">
        <v>509</v>
      </c>
      <c r="B120" s="2" t="s">
        <v>510</v>
      </c>
      <c r="C120" s="2" t="s">
        <v>511</v>
      </c>
      <c r="D120" s="2" t="s">
        <v>97</v>
      </c>
      <c r="E120" s="2" t="s">
        <v>98</v>
      </c>
      <c r="F120" s="2" t="s">
        <v>189</v>
      </c>
      <c r="G120" s="2" t="s">
        <v>154</v>
      </c>
      <c r="H120" s="2" t="s">
        <v>178</v>
      </c>
      <c r="I120" s="2">
        <v>2</v>
      </c>
      <c r="J120" s="2">
        <v>54.99</v>
      </c>
      <c r="K120" s="2">
        <v>0.1</v>
      </c>
      <c r="L120" s="2" t="s">
        <v>69</v>
      </c>
      <c r="M120" s="2" t="s">
        <v>92</v>
      </c>
      <c r="N120" s="2" t="s">
        <v>50</v>
      </c>
      <c r="O120" s="2" t="s">
        <v>87</v>
      </c>
    </row>
    <row r="121" spans="1:15" x14ac:dyDescent="0.25">
      <c r="A121" s="2" t="s">
        <v>424</v>
      </c>
      <c r="B121" s="2" t="s">
        <v>425</v>
      </c>
      <c r="C121" s="2" t="s">
        <v>426</v>
      </c>
      <c r="D121" s="2" t="s">
        <v>212</v>
      </c>
      <c r="E121" s="2" t="s">
        <v>98</v>
      </c>
      <c r="F121" s="2" t="s">
        <v>118</v>
      </c>
      <c r="G121" s="2" t="s">
        <v>21</v>
      </c>
      <c r="H121" s="2" t="s">
        <v>195</v>
      </c>
      <c r="I121" s="2" t="s">
        <v>360</v>
      </c>
      <c r="J121" s="2">
        <v>146.44</v>
      </c>
      <c r="K121" s="2"/>
      <c r="L121" s="2" t="s">
        <v>102</v>
      </c>
      <c r="M121" s="2" t="s">
        <v>60</v>
      </c>
      <c r="N121" s="2" t="s">
        <v>111</v>
      </c>
      <c r="O121" s="2" t="s">
        <v>51</v>
      </c>
    </row>
    <row r="122" spans="1:15" x14ac:dyDescent="0.25">
      <c r="A122" s="2" t="s">
        <v>512</v>
      </c>
      <c r="B122" s="2" t="s">
        <v>513</v>
      </c>
      <c r="C122" s="2" t="s">
        <v>216</v>
      </c>
      <c r="D122" s="2" t="s">
        <v>175</v>
      </c>
      <c r="E122" s="2" t="s">
        <v>76</v>
      </c>
      <c r="F122" s="2" t="s">
        <v>136</v>
      </c>
      <c r="G122" s="2" t="s">
        <v>78</v>
      </c>
      <c r="H122" s="2" t="s">
        <v>200</v>
      </c>
      <c r="I122" s="2" t="s">
        <v>36</v>
      </c>
      <c r="J122" s="2">
        <v>330.15</v>
      </c>
      <c r="K122" s="2">
        <v>0</v>
      </c>
      <c r="L122" s="2" t="s">
        <v>237</v>
      </c>
      <c r="M122" s="2" t="s">
        <v>25</v>
      </c>
      <c r="N122" s="2" t="s">
        <v>26</v>
      </c>
      <c r="O122" s="2" t="s">
        <v>112</v>
      </c>
    </row>
    <row r="123" spans="1:15" x14ac:dyDescent="0.25">
      <c r="A123" s="2" t="s">
        <v>514</v>
      </c>
      <c r="B123" s="2" t="s">
        <v>515</v>
      </c>
      <c r="C123" s="2" t="s">
        <v>516</v>
      </c>
      <c r="D123" s="2" t="s">
        <v>285</v>
      </c>
      <c r="E123" s="2" t="s">
        <v>32</v>
      </c>
      <c r="F123" s="2" t="s">
        <v>91</v>
      </c>
      <c r="G123" s="2" t="s">
        <v>220</v>
      </c>
      <c r="H123" s="2" t="s">
        <v>48</v>
      </c>
      <c r="I123" s="2">
        <v>10</v>
      </c>
      <c r="J123" s="2">
        <v>224.17</v>
      </c>
      <c r="K123" s="2">
        <v>0.05</v>
      </c>
      <c r="L123" s="2" t="s">
        <v>237</v>
      </c>
      <c r="M123" s="2" t="s">
        <v>170</v>
      </c>
      <c r="N123" s="2" t="s">
        <v>50</v>
      </c>
      <c r="O123" s="2" t="s">
        <v>126</v>
      </c>
    </row>
    <row r="124" spans="1:15" x14ac:dyDescent="0.25">
      <c r="A124" s="2" t="s">
        <v>517</v>
      </c>
      <c r="B124" s="2" t="s">
        <v>518</v>
      </c>
      <c r="C124" s="2" t="s">
        <v>519</v>
      </c>
      <c r="D124" s="2" t="s">
        <v>97</v>
      </c>
      <c r="E124" s="2" t="s">
        <v>65</v>
      </c>
      <c r="F124" s="2" t="s">
        <v>153</v>
      </c>
      <c r="G124" s="2" t="s">
        <v>57</v>
      </c>
      <c r="H124" s="2" t="s">
        <v>48</v>
      </c>
      <c r="I124" s="2">
        <v>3</v>
      </c>
      <c r="J124" s="2">
        <v>25.71</v>
      </c>
      <c r="K124" s="2">
        <v>0</v>
      </c>
      <c r="L124" s="2" t="s">
        <v>139</v>
      </c>
      <c r="M124" s="2" t="s">
        <v>25</v>
      </c>
      <c r="N124" s="2"/>
      <c r="O124" s="2"/>
    </row>
    <row r="125" spans="1:15" x14ac:dyDescent="0.25">
      <c r="A125" s="2" t="s">
        <v>520</v>
      </c>
      <c r="B125" s="2" t="s">
        <v>521</v>
      </c>
      <c r="C125" s="2" t="s">
        <v>522</v>
      </c>
      <c r="D125" s="2" t="s">
        <v>334</v>
      </c>
      <c r="E125" s="2" t="s">
        <v>45</v>
      </c>
      <c r="F125" s="2" t="s">
        <v>77</v>
      </c>
      <c r="G125" s="2" t="s">
        <v>236</v>
      </c>
      <c r="H125" s="2" t="s">
        <v>200</v>
      </c>
      <c r="I125" s="2" t="s">
        <v>364</v>
      </c>
      <c r="J125" s="2">
        <v>299.55</v>
      </c>
      <c r="K125" s="2">
        <v>0</v>
      </c>
      <c r="L125" s="2" t="s">
        <v>180</v>
      </c>
      <c r="M125" s="2" t="s">
        <v>165</v>
      </c>
      <c r="N125" s="2" t="s">
        <v>26</v>
      </c>
      <c r="O125" s="2"/>
    </row>
    <row r="126" spans="1:15" x14ac:dyDescent="0.25">
      <c r="A126" s="2" t="s">
        <v>523</v>
      </c>
      <c r="B126" s="2" t="s">
        <v>524</v>
      </c>
      <c r="C126" s="2" t="s">
        <v>525</v>
      </c>
      <c r="D126" s="2" t="s">
        <v>212</v>
      </c>
      <c r="E126" s="2" t="s">
        <v>98</v>
      </c>
      <c r="F126" s="2" t="s">
        <v>136</v>
      </c>
      <c r="G126" s="2" t="s">
        <v>78</v>
      </c>
      <c r="H126" s="2" t="s">
        <v>68</v>
      </c>
      <c r="I126" s="2">
        <v>10</v>
      </c>
      <c r="J126" s="2">
        <v>54.12</v>
      </c>
      <c r="K126" s="2" t="s">
        <v>85</v>
      </c>
      <c r="L126" s="2" t="s">
        <v>132</v>
      </c>
      <c r="M126" s="2" t="s">
        <v>60</v>
      </c>
      <c r="N126" s="2" t="s">
        <v>111</v>
      </c>
      <c r="O126" s="2" t="s">
        <v>93</v>
      </c>
    </row>
    <row r="127" spans="1:15" x14ac:dyDescent="0.25">
      <c r="A127" s="2" t="s">
        <v>526</v>
      </c>
      <c r="B127" s="2" t="s">
        <v>527</v>
      </c>
      <c r="C127" s="2" t="s">
        <v>528</v>
      </c>
      <c r="D127" s="2" t="s">
        <v>18</v>
      </c>
      <c r="E127" s="2" t="s">
        <v>19</v>
      </c>
      <c r="F127" s="2" t="s">
        <v>20</v>
      </c>
      <c r="G127" s="2" t="s">
        <v>131</v>
      </c>
      <c r="H127" s="2" t="s">
        <v>35</v>
      </c>
      <c r="I127" s="2">
        <v>3</v>
      </c>
      <c r="J127" s="2">
        <v>153.5</v>
      </c>
      <c r="K127" s="2">
        <v>0</v>
      </c>
      <c r="L127" s="2" t="s">
        <v>143</v>
      </c>
      <c r="M127" s="2" t="s">
        <v>38</v>
      </c>
      <c r="N127" s="2" t="s">
        <v>26</v>
      </c>
      <c r="O127" s="2" t="s">
        <v>27</v>
      </c>
    </row>
    <row r="128" spans="1:15" x14ac:dyDescent="0.25">
      <c r="A128" s="2" t="s">
        <v>529</v>
      </c>
      <c r="B128" s="2" t="s">
        <v>530</v>
      </c>
      <c r="C128" s="2" t="s">
        <v>531</v>
      </c>
      <c r="D128" s="2" t="s">
        <v>152</v>
      </c>
      <c r="E128" s="2" t="s">
        <v>19</v>
      </c>
      <c r="F128" s="2" t="s">
        <v>136</v>
      </c>
      <c r="G128" s="2" t="s">
        <v>236</v>
      </c>
      <c r="H128" s="2" t="s">
        <v>178</v>
      </c>
      <c r="I128" s="2" t="s">
        <v>225</v>
      </c>
      <c r="J128" s="2">
        <v>114.89</v>
      </c>
      <c r="K128" s="2" t="s">
        <v>259</v>
      </c>
      <c r="L128" s="2" t="s">
        <v>24</v>
      </c>
      <c r="M128" s="2" t="s">
        <v>38</v>
      </c>
      <c r="N128" s="2" t="s">
        <v>71</v>
      </c>
      <c r="O128" s="2" t="s">
        <v>93</v>
      </c>
    </row>
    <row r="129" spans="1:15" x14ac:dyDescent="0.25">
      <c r="A129" s="2" t="s">
        <v>532</v>
      </c>
      <c r="B129" s="2" t="s">
        <v>533</v>
      </c>
      <c r="C129" s="2" t="s">
        <v>534</v>
      </c>
      <c r="D129" s="2" t="s">
        <v>334</v>
      </c>
      <c r="E129" s="2" t="s">
        <v>125</v>
      </c>
      <c r="F129" s="2" t="s">
        <v>189</v>
      </c>
      <c r="G129" s="2" t="s">
        <v>148</v>
      </c>
      <c r="H129" s="2" t="s">
        <v>178</v>
      </c>
      <c r="I129" s="2">
        <v>10</v>
      </c>
      <c r="J129" s="2">
        <v>311.76</v>
      </c>
      <c r="K129" s="2">
        <v>0.05</v>
      </c>
      <c r="L129" s="2" t="s">
        <v>24</v>
      </c>
      <c r="M129" s="2" t="s">
        <v>38</v>
      </c>
      <c r="N129" s="2"/>
      <c r="O129" s="2" t="s">
        <v>171</v>
      </c>
    </row>
    <row r="130" spans="1:15" x14ac:dyDescent="0.25">
      <c r="A130" s="2" t="s">
        <v>535</v>
      </c>
      <c r="B130" s="2" t="s">
        <v>536</v>
      </c>
      <c r="C130" s="2" t="s">
        <v>528</v>
      </c>
      <c r="D130" s="2" t="s">
        <v>212</v>
      </c>
      <c r="E130" s="2" t="s">
        <v>98</v>
      </c>
      <c r="F130" s="2" t="s">
        <v>99</v>
      </c>
      <c r="G130" s="2" t="s">
        <v>164</v>
      </c>
      <c r="H130" s="2" t="s">
        <v>195</v>
      </c>
      <c r="I130" s="2">
        <v>11</v>
      </c>
      <c r="J130" s="2" t="s">
        <v>537</v>
      </c>
      <c r="K130" s="2"/>
      <c r="L130" s="2" t="s">
        <v>37</v>
      </c>
      <c r="M130" s="2" t="s">
        <v>70</v>
      </c>
      <c r="N130" s="2" t="s">
        <v>71</v>
      </c>
      <c r="O130" s="2" t="s">
        <v>93</v>
      </c>
    </row>
    <row r="131" spans="1:15" x14ac:dyDescent="0.25">
      <c r="A131" s="2" t="s">
        <v>538</v>
      </c>
      <c r="B131" s="2" t="s">
        <v>539</v>
      </c>
      <c r="C131" s="2" t="s">
        <v>540</v>
      </c>
      <c r="D131" s="2" t="s">
        <v>285</v>
      </c>
      <c r="E131" s="2" t="s">
        <v>32</v>
      </c>
      <c r="F131" s="2" t="s">
        <v>33</v>
      </c>
      <c r="G131" s="2" t="s">
        <v>107</v>
      </c>
      <c r="H131" s="2" t="s">
        <v>48</v>
      </c>
      <c r="I131" s="2">
        <v>2</v>
      </c>
      <c r="J131" s="2" t="s">
        <v>541</v>
      </c>
      <c r="K131" s="2">
        <v>0.15</v>
      </c>
      <c r="L131" s="2" t="s">
        <v>180</v>
      </c>
      <c r="M131" s="2" t="s">
        <v>110</v>
      </c>
      <c r="N131" s="2" t="s">
        <v>111</v>
      </c>
      <c r="O131" s="2" t="s">
        <v>126</v>
      </c>
    </row>
    <row r="132" spans="1:15" x14ac:dyDescent="0.25">
      <c r="A132" s="2" t="s">
        <v>542</v>
      </c>
      <c r="B132" s="2" t="s">
        <v>543</v>
      </c>
      <c r="C132" s="2" t="s">
        <v>544</v>
      </c>
      <c r="D132" s="2" t="s">
        <v>55</v>
      </c>
      <c r="E132" s="2" t="s">
        <v>32</v>
      </c>
      <c r="F132" s="2" t="s">
        <v>46</v>
      </c>
      <c r="G132" s="2" t="s">
        <v>47</v>
      </c>
      <c r="H132" s="2" t="s">
        <v>178</v>
      </c>
      <c r="I132" s="2">
        <v>8</v>
      </c>
      <c r="J132" s="2">
        <v>351.37</v>
      </c>
      <c r="K132" s="2">
        <v>0.15</v>
      </c>
      <c r="L132" s="2" t="s">
        <v>59</v>
      </c>
      <c r="M132" s="2" t="s">
        <v>60</v>
      </c>
      <c r="N132" s="2" t="s">
        <v>26</v>
      </c>
      <c r="O132" s="2"/>
    </row>
    <row r="133" spans="1:15" x14ac:dyDescent="0.25">
      <c r="A133" s="2" t="s">
        <v>545</v>
      </c>
      <c r="B133" s="2" t="s">
        <v>546</v>
      </c>
      <c r="C133" s="2" t="s">
        <v>547</v>
      </c>
      <c r="D133" s="2" t="s">
        <v>152</v>
      </c>
      <c r="E133" s="2" t="s">
        <v>19</v>
      </c>
      <c r="F133" s="2" t="s">
        <v>46</v>
      </c>
      <c r="G133" s="2" t="s">
        <v>34</v>
      </c>
      <c r="H133" s="2" t="s">
        <v>35</v>
      </c>
      <c r="I133" s="2">
        <v>10</v>
      </c>
      <c r="J133" s="2">
        <v>113.56</v>
      </c>
      <c r="K133" s="2">
        <v>0</v>
      </c>
      <c r="L133" s="2" t="s">
        <v>237</v>
      </c>
      <c r="M133" s="2" t="s">
        <v>86</v>
      </c>
      <c r="N133" s="2" t="s">
        <v>39</v>
      </c>
      <c r="O133" s="2" t="s">
        <v>51</v>
      </c>
    </row>
    <row r="134" spans="1:15" x14ac:dyDescent="0.25">
      <c r="A134" s="2" t="s">
        <v>548</v>
      </c>
      <c r="B134" s="2" t="s">
        <v>549</v>
      </c>
      <c r="C134" s="2" t="s">
        <v>550</v>
      </c>
      <c r="D134" s="2" t="s">
        <v>188</v>
      </c>
      <c r="E134" s="2" t="s">
        <v>199</v>
      </c>
      <c r="F134" s="2" t="s">
        <v>184</v>
      </c>
      <c r="G134" s="2" t="s">
        <v>34</v>
      </c>
      <c r="H134" s="2" t="s">
        <v>178</v>
      </c>
      <c r="I134" s="2">
        <v>5</v>
      </c>
      <c r="J134" s="2" t="s">
        <v>551</v>
      </c>
      <c r="K134" s="2" t="s">
        <v>347</v>
      </c>
      <c r="L134" s="2" t="s">
        <v>24</v>
      </c>
      <c r="M134" s="2" t="s">
        <v>60</v>
      </c>
      <c r="N134" s="2" t="s">
        <v>111</v>
      </c>
      <c r="O134" s="2" t="s">
        <v>112</v>
      </c>
    </row>
    <row r="135" spans="1:15" x14ac:dyDescent="0.25">
      <c r="A135" s="2" t="s">
        <v>552</v>
      </c>
      <c r="B135" s="2" t="s">
        <v>553</v>
      </c>
      <c r="C135" s="2" t="s">
        <v>554</v>
      </c>
      <c r="D135" s="2" t="s">
        <v>152</v>
      </c>
      <c r="E135" s="2" t="s">
        <v>117</v>
      </c>
      <c r="F135" s="2" t="s">
        <v>267</v>
      </c>
      <c r="G135" s="2" t="s">
        <v>137</v>
      </c>
      <c r="H135" s="2" t="s">
        <v>195</v>
      </c>
      <c r="I135" s="2">
        <v>8</v>
      </c>
      <c r="J135" s="2">
        <v>92.01</v>
      </c>
      <c r="K135" s="2">
        <v>0.05</v>
      </c>
      <c r="L135" s="2" t="s">
        <v>102</v>
      </c>
      <c r="M135" s="2" t="s">
        <v>25</v>
      </c>
      <c r="N135" s="2" t="s">
        <v>71</v>
      </c>
      <c r="O135" s="2" t="s">
        <v>27</v>
      </c>
    </row>
    <row r="136" spans="1:15" x14ac:dyDescent="0.25">
      <c r="A136" s="2" t="s">
        <v>555</v>
      </c>
      <c r="B136" s="2" t="s">
        <v>556</v>
      </c>
      <c r="C136" s="2" t="s">
        <v>557</v>
      </c>
      <c r="D136" s="2" t="s">
        <v>152</v>
      </c>
      <c r="E136" s="2" t="s">
        <v>19</v>
      </c>
      <c r="F136" s="2" t="s">
        <v>235</v>
      </c>
      <c r="G136" s="2" t="s">
        <v>137</v>
      </c>
      <c r="H136" s="2" t="s">
        <v>48</v>
      </c>
      <c r="I136" s="2">
        <v>3</v>
      </c>
      <c r="J136" s="2">
        <v>450.3</v>
      </c>
      <c r="K136" s="2"/>
      <c r="L136" s="2" t="s">
        <v>24</v>
      </c>
      <c r="M136" s="2" t="s">
        <v>70</v>
      </c>
      <c r="N136" s="2" t="s">
        <v>71</v>
      </c>
      <c r="O136" s="2"/>
    </row>
    <row r="137" spans="1:15" x14ac:dyDescent="0.25">
      <c r="A137" s="2" t="s">
        <v>558</v>
      </c>
      <c r="B137" s="2" t="s">
        <v>559</v>
      </c>
      <c r="C137" s="2" t="s">
        <v>560</v>
      </c>
      <c r="D137" s="2" t="s">
        <v>97</v>
      </c>
      <c r="E137" s="2" t="s">
        <v>65</v>
      </c>
      <c r="F137" s="2" t="s">
        <v>189</v>
      </c>
      <c r="G137" s="2" t="s">
        <v>57</v>
      </c>
      <c r="H137" s="2" t="s">
        <v>195</v>
      </c>
      <c r="I137" s="2">
        <v>6</v>
      </c>
      <c r="J137" s="2">
        <v>199.51</v>
      </c>
      <c r="K137" s="2"/>
      <c r="L137" s="2" t="s">
        <v>59</v>
      </c>
      <c r="M137" s="2" t="s">
        <v>92</v>
      </c>
      <c r="N137" s="2" t="s">
        <v>111</v>
      </c>
      <c r="O137" s="2" t="s">
        <v>112</v>
      </c>
    </row>
    <row r="138" spans="1:15" x14ac:dyDescent="0.25">
      <c r="A138" s="2" t="s">
        <v>561</v>
      </c>
      <c r="B138" s="2" t="s">
        <v>562</v>
      </c>
      <c r="C138" s="2" t="s">
        <v>382</v>
      </c>
      <c r="D138" s="2" t="s">
        <v>31</v>
      </c>
      <c r="E138" s="2" t="s">
        <v>76</v>
      </c>
      <c r="F138" s="2" t="s">
        <v>176</v>
      </c>
      <c r="G138" s="2" t="s">
        <v>177</v>
      </c>
      <c r="H138" s="2" t="s">
        <v>108</v>
      </c>
      <c r="I138" s="2">
        <v>10</v>
      </c>
      <c r="J138" s="2">
        <v>487.05</v>
      </c>
      <c r="K138" s="2">
        <v>0.05</v>
      </c>
      <c r="L138" s="2" t="s">
        <v>24</v>
      </c>
      <c r="M138" s="2" t="s">
        <v>70</v>
      </c>
      <c r="N138" s="2" t="s">
        <v>26</v>
      </c>
      <c r="O138" s="2" t="s">
        <v>126</v>
      </c>
    </row>
    <row r="139" spans="1:15" x14ac:dyDescent="0.25">
      <c r="A139" s="2" t="s">
        <v>563</v>
      </c>
      <c r="B139" s="2" t="s">
        <v>564</v>
      </c>
      <c r="C139" s="2" t="s">
        <v>565</v>
      </c>
      <c r="D139" s="2" t="s">
        <v>285</v>
      </c>
      <c r="E139" s="2" t="s">
        <v>199</v>
      </c>
      <c r="F139" s="2" t="s">
        <v>33</v>
      </c>
      <c r="G139" s="2" t="s">
        <v>107</v>
      </c>
      <c r="H139" s="2" t="s">
        <v>48</v>
      </c>
      <c r="I139" s="2">
        <v>5</v>
      </c>
      <c r="J139" s="2">
        <v>499.37</v>
      </c>
      <c r="K139" s="2">
        <v>0.1</v>
      </c>
      <c r="L139" s="2" t="s">
        <v>69</v>
      </c>
      <c r="M139" s="2" t="s">
        <v>25</v>
      </c>
      <c r="N139" s="2" t="s">
        <v>26</v>
      </c>
      <c r="O139" s="2" t="s">
        <v>87</v>
      </c>
    </row>
    <row r="140" spans="1:15" x14ac:dyDescent="0.25">
      <c r="A140" s="2" t="s">
        <v>566</v>
      </c>
      <c r="B140" s="2" t="s">
        <v>567</v>
      </c>
      <c r="C140" s="2" t="s">
        <v>568</v>
      </c>
      <c r="D140" s="2" t="s">
        <v>188</v>
      </c>
      <c r="E140" s="2" t="s">
        <v>76</v>
      </c>
      <c r="F140" s="2" t="s">
        <v>91</v>
      </c>
      <c r="G140" s="2" t="s">
        <v>100</v>
      </c>
      <c r="H140" s="2" t="s">
        <v>200</v>
      </c>
      <c r="I140" s="2">
        <v>3</v>
      </c>
      <c r="J140" s="2">
        <v>61.62</v>
      </c>
      <c r="K140" s="2">
        <v>0.1</v>
      </c>
      <c r="L140" s="2" t="s">
        <v>237</v>
      </c>
      <c r="M140" s="2" t="s">
        <v>170</v>
      </c>
      <c r="N140" s="2" t="s">
        <v>111</v>
      </c>
      <c r="O140" s="2" t="s">
        <v>27</v>
      </c>
    </row>
    <row r="141" spans="1:15" x14ac:dyDescent="0.25">
      <c r="A141" s="2" t="s">
        <v>569</v>
      </c>
      <c r="B141" s="2" t="s">
        <v>570</v>
      </c>
      <c r="C141" s="2" t="s">
        <v>571</v>
      </c>
      <c r="D141" s="2" t="s">
        <v>75</v>
      </c>
      <c r="E141" s="2" t="s">
        <v>199</v>
      </c>
      <c r="F141" s="2" t="s">
        <v>189</v>
      </c>
      <c r="G141" s="2" t="s">
        <v>57</v>
      </c>
      <c r="H141" s="2" t="s">
        <v>35</v>
      </c>
      <c r="I141" s="2">
        <v>6</v>
      </c>
      <c r="J141" s="2">
        <v>9.81</v>
      </c>
      <c r="K141" s="2"/>
      <c r="L141" s="2" t="s">
        <v>180</v>
      </c>
      <c r="M141" s="2" t="s">
        <v>165</v>
      </c>
      <c r="N141" s="2"/>
      <c r="O141" s="2" t="s">
        <v>93</v>
      </c>
    </row>
    <row r="142" spans="1:15" x14ac:dyDescent="0.25">
      <c r="A142" s="2" t="s">
        <v>572</v>
      </c>
      <c r="B142" s="2" t="s">
        <v>321</v>
      </c>
      <c r="C142" s="2" t="s">
        <v>573</v>
      </c>
      <c r="D142" s="2" t="s">
        <v>212</v>
      </c>
      <c r="E142" s="2" t="s">
        <v>65</v>
      </c>
      <c r="F142" s="2" t="s">
        <v>235</v>
      </c>
      <c r="G142" s="2" t="s">
        <v>318</v>
      </c>
      <c r="H142" s="2" t="s">
        <v>68</v>
      </c>
      <c r="I142" s="2">
        <v>5</v>
      </c>
      <c r="J142" s="2">
        <v>54.99</v>
      </c>
      <c r="K142" s="2" t="s">
        <v>138</v>
      </c>
      <c r="L142" s="2" t="s">
        <v>69</v>
      </c>
      <c r="M142" s="2" t="s">
        <v>60</v>
      </c>
      <c r="N142" s="2" t="s">
        <v>26</v>
      </c>
      <c r="O142" s="2" t="s">
        <v>171</v>
      </c>
    </row>
    <row r="143" spans="1:15" x14ac:dyDescent="0.25">
      <c r="A143" s="2" t="s">
        <v>574</v>
      </c>
      <c r="B143" s="2" t="s">
        <v>575</v>
      </c>
      <c r="C143" s="2" t="s">
        <v>576</v>
      </c>
      <c r="D143" s="2" t="s">
        <v>55</v>
      </c>
      <c r="E143" s="2" t="s">
        <v>199</v>
      </c>
      <c r="F143" s="2" t="s">
        <v>20</v>
      </c>
      <c r="G143" s="2" t="s">
        <v>213</v>
      </c>
      <c r="H143" s="2" t="s">
        <v>35</v>
      </c>
      <c r="I143" s="2">
        <v>2</v>
      </c>
      <c r="J143" s="2" t="s">
        <v>577</v>
      </c>
      <c r="K143" s="2"/>
      <c r="L143" s="2" t="s">
        <v>260</v>
      </c>
      <c r="M143" s="2" t="s">
        <v>86</v>
      </c>
      <c r="N143" s="2" t="s">
        <v>39</v>
      </c>
      <c r="O143" s="2" t="s">
        <v>171</v>
      </c>
    </row>
    <row r="144" spans="1:15" x14ac:dyDescent="0.25">
      <c r="A144" s="2" t="s">
        <v>578</v>
      </c>
      <c r="B144" s="2" t="s">
        <v>465</v>
      </c>
      <c r="C144" s="2" t="s">
        <v>147</v>
      </c>
      <c r="D144" s="2" t="s">
        <v>334</v>
      </c>
      <c r="E144" s="2" t="s">
        <v>45</v>
      </c>
      <c r="F144" s="2" t="s">
        <v>66</v>
      </c>
      <c r="G144" s="2" t="s">
        <v>330</v>
      </c>
      <c r="H144" s="2" t="s">
        <v>58</v>
      </c>
      <c r="I144" s="2">
        <v>12</v>
      </c>
      <c r="J144" s="2">
        <v>392.28</v>
      </c>
      <c r="K144" s="2" t="s">
        <v>138</v>
      </c>
      <c r="L144" s="2" t="s">
        <v>260</v>
      </c>
      <c r="M144" s="2" t="s">
        <v>208</v>
      </c>
      <c r="N144" s="2"/>
      <c r="O144" s="2" t="s">
        <v>126</v>
      </c>
    </row>
    <row r="145" spans="1:15" x14ac:dyDescent="0.25">
      <c r="A145" s="2" t="s">
        <v>579</v>
      </c>
      <c r="B145" s="2" t="s">
        <v>580</v>
      </c>
      <c r="C145" s="2" t="s">
        <v>581</v>
      </c>
      <c r="D145" s="2" t="s">
        <v>75</v>
      </c>
      <c r="E145" s="2" t="s">
        <v>32</v>
      </c>
      <c r="F145" s="2" t="s">
        <v>298</v>
      </c>
      <c r="G145" s="2" t="s">
        <v>264</v>
      </c>
      <c r="H145" s="2" t="s">
        <v>108</v>
      </c>
      <c r="I145" s="2">
        <v>9</v>
      </c>
      <c r="J145" s="2"/>
      <c r="K145" s="2">
        <v>0.05</v>
      </c>
      <c r="L145" s="2" t="s">
        <v>139</v>
      </c>
      <c r="M145" s="2" t="s">
        <v>201</v>
      </c>
      <c r="N145" s="2" t="s">
        <v>39</v>
      </c>
      <c r="O145" s="2" t="s">
        <v>93</v>
      </c>
    </row>
    <row r="146" spans="1:15" x14ac:dyDescent="0.25">
      <c r="A146" s="2" t="s">
        <v>582</v>
      </c>
      <c r="B146" s="2" t="s">
        <v>583</v>
      </c>
      <c r="C146" s="2" t="s">
        <v>584</v>
      </c>
      <c r="D146" s="2" t="s">
        <v>44</v>
      </c>
      <c r="E146" s="2" t="s">
        <v>45</v>
      </c>
      <c r="F146" s="2" t="s">
        <v>106</v>
      </c>
      <c r="G146" s="2" t="s">
        <v>34</v>
      </c>
      <c r="H146" s="2" t="s">
        <v>22</v>
      </c>
      <c r="I146" s="2">
        <v>11</v>
      </c>
      <c r="J146" s="2" t="s">
        <v>585</v>
      </c>
      <c r="K146" s="2"/>
      <c r="L146" s="2" t="s">
        <v>37</v>
      </c>
      <c r="M146" s="2" t="s">
        <v>110</v>
      </c>
      <c r="N146" s="2" t="s">
        <v>50</v>
      </c>
      <c r="O146" s="2" t="s">
        <v>112</v>
      </c>
    </row>
    <row r="147" spans="1:15" x14ac:dyDescent="0.25">
      <c r="A147" s="2" t="s">
        <v>586</v>
      </c>
      <c r="B147" s="2" t="s">
        <v>587</v>
      </c>
      <c r="C147" s="2" t="s">
        <v>588</v>
      </c>
      <c r="D147" s="2" t="s">
        <v>97</v>
      </c>
      <c r="E147" s="2" t="s">
        <v>98</v>
      </c>
      <c r="F147" s="2" t="s">
        <v>91</v>
      </c>
      <c r="G147" s="2" t="s">
        <v>100</v>
      </c>
      <c r="H147" s="2" t="s">
        <v>68</v>
      </c>
      <c r="I147" s="2">
        <v>4</v>
      </c>
      <c r="J147" s="2">
        <v>495.54</v>
      </c>
      <c r="K147" s="2" t="s">
        <v>85</v>
      </c>
      <c r="L147" s="2" t="s">
        <v>139</v>
      </c>
      <c r="M147" s="2" t="s">
        <v>92</v>
      </c>
      <c r="N147" s="2" t="s">
        <v>50</v>
      </c>
      <c r="O147" s="2" t="s">
        <v>126</v>
      </c>
    </row>
    <row r="148" spans="1:15" x14ac:dyDescent="0.25">
      <c r="A148" s="2" t="s">
        <v>589</v>
      </c>
      <c r="B148" s="2" t="s">
        <v>590</v>
      </c>
      <c r="C148" s="2" t="s">
        <v>591</v>
      </c>
      <c r="D148" s="2" t="s">
        <v>44</v>
      </c>
      <c r="E148" s="2" t="s">
        <v>125</v>
      </c>
      <c r="F148" s="2" t="s">
        <v>56</v>
      </c>
      <c r="G148" s="2" t="s">
        <v>330</v>
      </c>
      <c r="H148" s="2" t="s">
        <v>68</v>
      </c>
      <c r="I148" s="2">
        <v>8</v>
      </c>
      <c r="J148" s="2" t="s">
        <v>592</v>
      </c>
      <c r="K148" s="2">
        <v>0.15</v>
      </c>
      <c r="L148" s="2" t="s">
        <v>237</v>
      </c>
      <c r="M148" s="2" t="s">
        <v>144</v>
      </c>
      <c r="N148" s="2" t="s">
        <v>39</v>
      </c>
      <c r="O148" s="2" t="s">
        <v>51</v>
      </c>
    </row>
    <row r="149" spans="1:15" x14ac:dyDescent="0.25">
      <c r="A149" s="2" t="s">
        <v>593</v>
      </c>
      <c r="B149" s="2" t="s">
        <v>594</v>
      </c>
      <c r="C149" s="2" t="s">
        <v>595</v>
      </c>
      <c r="D149" s="2" t="s">
        <v>258</v>
      </c>
      <c r="E149" s="2" t="s">
        <v>45</v>
      </c>
      <c r="F149" s="2" t="s">
        <v>77</v>
      </c>
      <c r="G149" s="2" t="s">
        <v>236</v>
      </c>
      <c r="H149" s="2" t="s">
        <v>108</v>
      </c>
      <c r="I149" s="2">
        <v>11</v>
      </c>
      <c r="J149" s="2" t="s">
        <v>596</v>
      </c>
      <c r="K149" s="2">
        <v>0.05</v>
      </c>
      <c r="L149" s="2" t="s">
        <v>79</v>
      </c>
      <c r="M149" s="2" t="s">
        <v>201</v>
      </c>
      <c r="N149" s="2" t="s">
        <v>39</v>
      </c>
      <c r="O149" s="2" t="s">
        <v>126</v>
      </c>
    </row>
    <row r="150" spans="1:15" x14ac:dyDescent="0.25">
      <c r="A150" s="2" t="s">
        <v>597</v>
      </c>
      <c r="B150" s="2" t="s">
        <v>598</v>
      </c>
      <c r="C150" s="2" t="s">
        <v>599</v>
      </c>
      <c r="D150" s="2" t="s">
        <v>162</v>
      </c>
      <c r="E150" s="2" t="s">
        <v>19</v>
      </c>
      <c r="F150" s="2" t="s">
        <v>46</v>
      </c>
      <c r="G150" s="2" t="s">
        <v>323</v>
      </c>
      <c r="H150" s="2" t="s">
        <v>48</v>
      </c>
      <c r="I150" s="2">
        <v>7</v>
      </c>
      <c r="J150" s="2">
        <v>307.88</v>
      </c>
      <c r="K150" s="2">
        <v>0.05</v>
      </c>
      <c r="L150" s="2" t="s">
        <v>69</v>
      </c>
      <c r="M150" s="2" t="s">
        <v>201</v>
      </c>
      <c r="N150" s="2" t="s">
        <v>26</v>
      </c>
      <c r="O150" s="2"/>
    </row>
    <row r="151" spans="1:15" x14ac:dyDescent="0.25">
      <c r="A151" s="2" t="s">
        <v>600</v>
      </c>
      <c r="B151" s="2" t="s">
        <v>601</v>
      </c>
      <c r="C151" s="2" t="s">
        <v>602</v>
      </c>
      <c r="D151" s="2" t="s">
        <v>194</v>
      </c>
      <c r="E151" s="2" t="s">
        <v>65</v>
      </c>
      <c r="F151" s="2" t="s">
        <v>153</v>
      </c>
      <c r="G151" s="2" t="s">
        <v>154</v>
      </c>
      <c r="H151" s="2" t="s">
        <v>108</v>
      </c>
      <c r="I151" s="2">
        <v>9</v>
      </c>
      <c r="J151" s="2">
        <v>271.69</v>
      </c>
      <c r="K151" s="2">
        <v>0.1</v>
      </c>
      <c r="L151" s="2" t="s">
        <v>79</v>
      </c>
      <c r="M151" s="2" t="s">
        <v>92</v>
      </c>
      <c r="N151" s="2" t="s">
        <v>26</v>
      </c>
      <c r="O151" s="2" t="s">
        <v>112</v>
      </c>
    </row>
    <row r="152" spans="1:15" x14ac:dyDescent="0.25">
      <c r="A152" s="2" t="s">
        <v>603</v>
      </c>
      <c r="B152" s="2" t="s">
        <v>604</v>
      </c>
      <c r="C152" s="2" t="s">
        <v>605</v>
      </c>
      <c r="D152" s="2" t="s">
        <v>258</v>
      </c>
      <c r="E152" s="2" t="s">
        <v>125</v>
      </c>
      <c r="F152" s="2" t="s">
        <v>56</v>
      </c>
      <c r="G152" s="2" t="s">
        <v>57</v>
      </c>
      <c r="H152" s="2" t="s">
        <v>108</v>
      </c>
      <c r="I152" s="2">
        <v>10</v>
      </c>
      <c r="J152" s="2" t="s">
        <v>606</v>
      </c>
      <c r="K152" s="2">
        <v>0</v>
      </c>
      <c r="L152" s="2" t="s">
        <v>132</v>
      </c>
      <c r="M152" s="2" t="s">
        <v>60</v>
      </c>
      <c r="N152" s="2" t="s">
        <v>71</v>
      </c>
      <c r="O152" s="2" t="s">
        <v>87</v>
      </c>
    </row>
    <row r="153" spans="1:15" x14ac:dyDescent="0.25">
      <c r="A153" s="2" t="s">
        <v>607</v>
      </c>
      <c r="B153" s="2" t="s">
        <v>262</v>
      </c>
      <c r="C153" s="2" t="s">
        <v>608</v>
      </c>
      <c r="D153" s="2" t="s">
        <v>194</v>
      </c>
      <c r="E153" s="2" t="s">
        <v>65</v>
      </c>
      <c r="F153" s="2" t="s">
        <v>66</v>
      </c>
      <c r="G153" s="2" t="s">
        <v>330</v>
      </c>
      <c r="H153" s="2" t="s">
        <v>48</v>
      </c>
      <c r="I153" s="2">
        <v>7</v>
      </c>
      <c r="J153" s="2" t="s">
        <v>609</v>
      </c>
      <c r="K153" s="2"/>
      <c r="L153" s="2" t="s">
        <v>24</v>
      </c>
      <c r="M153" s="2" t="s">
        <v>170</v>
      </c>
      <c r="N153" s="2"/>
      <c r="O153" s="2"/>
    </row>
    <row r="154" spans="1:15" x14ac:dyDescent="0.25">
      <c r="A154" s="2" t="s">
        <v>610</v>
      </c>
      <c r="B154" s="2" t="s">
        <v>611</v>
      </c>
      <c r="C154" s="2" t="s">
        <v>612</v>
      </c>
      <c r="D154" s="2" t="s">
        <v>97</v>
      </c>
      <c r="E154" s="2" t="s">
        <v>98</v>
      </c>
      <c r="F154" s="2" t="s">
        <v>163</v>
      </c>
      <c r="G154" s="2" t="s">
        <v>164</v>
      </c>
      <c r="H154" s="2" t="s">
        <v>195</v>
      </c>
      <c r="I154" s="2">
        <v>11</v>
      </c>
      <c r="J154" s="2">
        <v>204.19</v>
      </c>
      <c r="K154" s="2"/>
      <c r="L154" s="2" t="s">
        <v>69</v>
      </c>
      <c r="M154" s="2" t="s">
        <v>158</v>
      </c>
      <c r="N154" s="2" t="s">
        <v>50</v>
      </c>
      <c r="O154" s="2" t="s">
        <v>171</v>
      </c>
    </row>
    <row r="155" spans="1:15" x14ac:dyDescent="0.25">
      <c r="A155" s="2" t="s">
        <v>613</v>
      </c>
      <c r="B155" s="2" t="s">
        <v>614</v>
      </c>
      <c r="C155" s="2" t="s">
        <v>615</v>
      </c>
      <c r="D155" s="2" t="s">
        <v>124</v>
      </c>
      <c r="E155" s="2" t="s">
        <v>125</v>
      </c>
      <c r="F155" s="2" t="s">
        <v>83</v>
      </c>
      <c r="G155" s="2" t="s">
        <v>100</v>
      </c>
      <c r="H155" s="2" t="s">
        <v>48</v>
      </c>
      <c r="I155" s="2">
        <v>2</v>
      </c>
      <c r="J155" s="2">
        <v>217.11</v>
      </c>
      <c r="K155" s="2"/>
      <c r="L155" s="2" t="s">
        <v>79</v>
      </c>
      <c r="M155" s="2" t="s">
        <v>92</v>
      </c>
      <c r="N155" s="2" t="s">
        <v>39</v>
      </c>
      <c r="O155" s="2" t="s">
        <v>112</v>
      </c>
    </row>
    <row r="156" spans="1:15" x14ac:dyDescent="0.25">
      <c r="A156" s="2" t="s">
        <v>616</v>
      </c>
      <c r="B156" s="2" t="s">
        <v>617</v>
      </c>
      <c r="C156" s="2" t="s">
        <v>618</v>
      </c>
      <c r="D156" s="2" t="s">
        <v>64</v>
      </c>
      <c r="E156" s="2" t="s">
        <v>65</v>
      </c>
      <c r="F156" s="2" t="s">
        <v>153</v>
      </c>
      <c r="G156" s="2" t="s">
        <v>154</v>
      </c>
      <c r="H156" s="2" t="s">
        <v>195</v>
      </c>
      <c r="I156" s="2">
        <v>8</v>
      </c>
      <c r="J156" s="2">
        <v>20.420000000000002</v>
      </c>
      <c r="K156" s="2">
        <v>0.15</v>
      </c>
      <c r="L156" s="2" t="s">
        <v>132</v>
      </c>
      <c r="M156" s="2" t="s">
        <v>60</v>
      </c>
      <c r="N156" s="2" t="s">
        <v>50</v>
      </c>
      <c r="O156" s="2" t="s">
        <v>27</v>
      </c>
    </row>
    <row r="157" spans="1:15" x14ac:dyDescent="0.25">
      <c r="A157" s="2" t="s">
        <v>619</v>
      </c>
      <c r="B157" s="2" t="s">
        <v>620</v>
      </c>
      <c r="C157" s="2" t="s">
        <v>621</v>
      </c>
      <c r="D157" s="2" t="s">
        <v>116</v>
      </c>
      <c r="E157" s="2" t="s">
        <v>19</v>
      </c>
      <c r="F157" s="2" t="s">
        <v>46</v>
      </c>
      <c r="G157" s="2" t="s">
        <v>34</v>
      </c>
      <c r="H157" s="2" t="s">
        <v>195</v>
      </c>
      <c r="I157" s="2" t="s">
        <v>36</v>
      </c>
      <c r="J157" s="2" t="s">
        <v>622</v>
      </c>
      <c r="K157" s="2"/>
      <c r="L157" s="2" t="s">
        <v>102</v>
      </c>
      <c r="M157" s="2" t="s">
        <v>25</v>
      </c>
      <c r="N157" s="2"/>
      <c r="O157" s="2" t="s">
        <v>27</v>
      </c>
    </row>
    <row r="158" spans="1:15" x14ac:dyDescent="0.25">
      <c r="A158" s="2" t="s">
        <v>623</v>
      </c>
      <c r="B158" s="2" t="s">
        <v>624</v>
      </c>
      <c r="C158" s="2" t="s">
        <v>625</v>
      </c>
      <c r="D158" s="2" t="s">
        <v>152</v>
      </c>
      <c r="E158" s="2" t="s">
        <v>117</v>
      </c>
      <c r="F158" s="2" t="s">
        <v>184</v>
      </c>
      <c r="G158" s="2" t="s">
        <v>323</v>
      </c>
      <c r="H158" s="2" t="s">
        <v>48</v>
      </c>
      <c r="I158" s="2" t="s">
        <v>364</v>
      </c>
      <c r="J158" s="2">
        <v>238.15</v>
      </c>
      <c r="K158" s="2"/>
      <c r="L158" s="2" t="s">
        <v>79</v>
      </c>
      <c r="M158" s="2" t="s">
        <v>60</v>
      </c>
      <c r="N158" s="2" t="s">
        <v>39</v>
      </c>
      <c r="O158" s="2" t="s">
        <v>126</v>
      </c>
    </row>
    <row r="159" spans="1:15" x14ac:dyDescent="0.25">
      <c r="A159" s="2" t="s">
        <v>626</v>
      </c>
      <c r="B159" s="2" t="s">
        <v>627</v>
      </c>
      <c r="C159" s="2" t="s">
        <v>628</v>
      </c>
      <c r="D159" s="2" t="s">
        <v>116</v>
      </c>
      <c r="E159" s="2" t="s">
        <v>117</v>
      </c>
      <c r="F159" s="2" t="s">
        <v>56</v>
      </c>
      <c r="G159" s="2" t="s">
        <v>154</v>
      </c>
      <c r="H159" s="2" t="s">
        <v>58</v>
      </c>
      <c r="I159" s="2">
        <v>5</v>
      </c>
      <c r="J159" s="2" t="s">
        <v>629</v>
      </c>
      <c r="K159" s="2">
        <v>0.2</v>
      </c>
      <c r="L159" s="2" t="s">
        <v>237</v>
      </c>
      <c r="M159" s="2" t="s">
        <v>25</v>
      </c>
      <c r="N159" s="2"/>
      <c r="O159" s="2" t="s">
        <v>93</v>
      </c>
    </row>
    <row r="160" spans="1:15" x14ac:dyDescent="0.25">
      <c r="A160" s="2" t="s">
        <v>517</v>
      </c>
      <c r="B160" s="2" t="s">
        <v>518</v>
      </c>
      <c r="C160" s="2" t="s">
        <v>519</v>
      </c>
      <c r="D160" s="2" t="s">
        <v>97</v>
      </c>
      <c r="E160" s="2" t="s">
        <v>65</v>
      </c>
      <c r="F160" s="2" t="s">
        <v>153</v>
      </c>
      <c r="G160" s="2" t="s">
        <v>57</v>
      </c>
      <c r="H160" s="2" t="s">
        <v>48</v>
      </c>
      <c r="I160" s="2">
        <v>3</v>
      </c>
      <c r="J160" s="2">
        <v>25.71</v>
      </c>
      <c r="K160" s="2">
        <v>0</v>
      </c>
      <c r="L160" s="2" t="s">
        <v>139</v>
      </c>
      <c r="M160" s="2" t="s">
        <v>25</v>
      </c>
      <c r="N160" s="2"/>
      <c r="O160" s="2"/>
    </row>
    <row r="161" spans="1:15" x14ac:dyDescent="0.25">
      <c r="A161" s="2" t="s">
        <v>630</v>
      </c>
      <c r="B161" s="2" t="s">
        <v>631</v>
      </c>
      <c r="C161" s="2" t="s">
        <v>632</v>
      </c>
      <c r="D161" s="2" t="s">
        <v>152</v>
      </c>
      <c r="E161" s="2" t="s">
        <v>117</v>
      </c>
      <c r="F161" s="2" t="s">
        <v>298</v>
      </c>
      <c r="G161" s="2" t="s">
        <v>131</v>
      </c>
      <c r="H161" s="2" t="s">
        <v>108</v>
      </c>
      <c r="I161" s="2">
        <v>10</v>
      </c>
      <c r="J161" s="2">
        <v>478.89</v>
      </c>
      <c r="K161" s="2">
        <v>0.2</v>
      </c>
      <c r="L161" s="2" t="s">
        <v>139</v>
      </c>
      <c r="M161" s="2" t="s">
        <v>165</v>
      </c>
      <c r="N161" s="2"/>
      <c r="O161" s="2" t="s">
        <v>93</v>
      </c>
    </row>
    <row r="162" spans="1:15" x14ac:dyDescent="0.25">
      <c r="A162" s="2" t="s">
        <v>633</v>
      </c>
      <c r="B162" s="2" t="s">
        <v>634</v>
      </c>
      <c r="C162" s="2" t="s">
        <v>635</v>
      </c>
      <c r="D162" s="2" t="s">
        <v>175</v>
      </c>
      <c r="E162" s="2" t="s">
        <v>199</v>
      </c>
      <c r="F162" s="2" t="s">
        <v>163</v>
      </c>
      <c r="G162" s="2" t="s">
        <v>177</v>
      </c>
      <c r="H162" s="2" t="s">
        <v>35</v>
      </c>
      <c r="I162" s="2">
        <v>7</v>
      </c>
      <c r="J162" s="2" t="s">
        <v>636</v>
      </c>
      <c r="K162" s="2"/>
      <c r="L162" s="2" t="s">
        <v>37</v>
      </c>
      <c r="M162" s="2" t="s">
        <v>165</v>
      </c>
      <c r="N162" s="2" t="s">
        <v>26</v>
      </c>
      <c r="O162" s="2" t="s">
        <v>171</v>
      </c>
    </row>
    <row r="163" spans="1:15" x14ac:dyDescent="0.25">
      <c r="A163" s="2" t="s">
        <v>637</v>
      </c>
      <c r="B163" s="2" t="s">
        <v>638</v>
      </c>
      <c r="C163" s="2" t="s">
        <v>639</v>
      </c>
      <c r="D163" s="2" t="s">
        <v>152</v>
      </c>
      <c r="E163" s="2" t="s">
        <v>117</v>
      </c>
      <c r="F163" s="2" t="s">
        <v>298</v>
      </c>
      <c r="G163" s="2" t="s">
        <v>213</v>
      </c>
      <c r="H163" s="2" t="s">
        <v>108</v>
      </c>
      <c r="I163" s="2">
        <v>7</v>
      </c>
      <c r="J163" s="2">
        <v>36.619999999999997</v>
      </c>
      <c r="K163" s="2" t="s">
        <v>254</v>
      </c>
      <c r="L163" s="2" t="s">
        <v>59</v>
      </c>
      <c r="M163" s="2" t="s">
        <v>38</v>
      </c>
      <c r="N163" s="2" t="s">
        <v>26</v>
      </c>
      <c r="O163" s="2" t="s">
        <v>87</v>
      </c>
    </row>
    <row r="164" spans="1:15" x14ac:dyDescent="0.25">
      <c r="A164" s="2" t="s">
        <v>640</v>
      </c>
      <c r="B164" s="2" t="s">
        <v>641</v>
      </c>
      <c r="C164" s="2" t="s">
        <v>642</v>
      </c>
      <c r="D164" s="2" t="s">
        <v>212</v>
      </c>
      <c r="E164" s="2" t="s">
        <v>98</v>
      </c>
      <c r="F164" s="2" t="s">
        <v>267</v>
      </c>
      <c r="G164" s="2" t="s">
        <v>137</v>
      </c>
      <c r="H164" s="2" t="s">
        <v>178</v>
      </c>
      <c r="I164" s="2">
        <v>8</v>
      </c>
      <c r="J164" s="2">
        <v>13.8</v>
      </c>
      <c r="K164" s="2"/>
      <c r="L164" s="2" t="s">
        <v>102</v>
      </c>
      <c r="M164" s="2" t="s">
        <v>86</v>
      </c>
      <c r="N164" s="2" t="s">
        <v>39</v>
      </c>
      <c r="O164" s="2" t="s">
        <v>171</v>
      </c>
    </row>
    <row r="165" spans="1:15" x14ac:dyDescent="0.25">
      <c r="A165" s="2" t="s">
        <v>643</v>
      </c>
      <c r="B165" s="2" t="s">
        <v>283</v>
      </c>
      <c r="C165" s="2" t="s">
        <v>644</v>
      </c>
      <c r="D165" s="2" t="s">
        <v>152</v>
      </c>
      <c r="E165" s="2" t="s">
        <v>19</v>
      </c>
      <c r="F165" s="2" t="s">
        <v>130</v>
      </c>
      <c r="G165" s="2" t="s">
        <v>119</v>
      </c>
      <c r="H165" s="2" t="s">
        <v>195</v>
      </c>
      <c r="I165" s="2">
        <v>8</v>
      </c>
      <c r="J165" s="2">
        <v>103.61</v>
      </c>
      <c r="K165" s="2">
        <v>0.05</v>
      </c>
      <c r="L165" s="2" t="s">
        <v>69</v>
      </c>
      <c r="M165" s="2" t="s">
        <v>110</v>
      </c>
      <c r="N165" s="2" t="s">
        <v>71</v>
      </c>
      <c r="O165" s="2" t="s">
        <v>171</v>
      </c>
    </row>
    <row r="166" spans="1:15" x14ac:dyDescent="0.25">
      <c r="A166" s="2" t="s">
        <v>645</v>
      </c>
      <c r="B166" s="2" t="s">
        <v>646</v>
      </c>
      <c r="C166" s="2" t="s">
        <v>647</v>
      </c>
      <c r="D166" s="2" t="s">
        <v>152</v>
      </c>
      <c r="E166" s="2" t="s">
        <v>117</v>
      </c>
      <c r="F166" s="2" t="s">
        <v>130</v>
      </c>
      <c r="G166" s="2" t="s">
        <v>131</v>
      </c>
      <c r="H166" s="2" t="s">
        <v>178</v>
      </c>
      <c r="I166" s="2">
        <v>10</v>
      </c>
      <c r="J166" s="2">
        <v>192.95</v>
      </c>
      <c r="K166" s="2">
        <v>0.05</v>
      </c>
      <c r="L166" s="2" t="s">
        <v>260</v>
      </c>
      <c r="M166" s="2" t="s">
        <v>86</v>
      </c>
      <c r="N166" s="2" t="s">
        <v>71</v>
      </c>
      <c r="O166" s="2"/>
    </row>
    <row r="167" spans="1:15" x14ac:dyDescent="0.25">
      <c r="A167" s="2" t="s">
        <v>648</v>
      </c>
      <c r="B167" s="2" t="s">
        <v>649</v>
      </c>
      <c r="C167" s="2" t="s">
        <v>650</v>
      </c>
      <c r="D167" s="2" t="s">
        <v>258</v>
      </c>
      <c r="E167" s="2" t="s">
        <v>125</v>
      </c>
      <c r="F167" s="2" t="s">
        <v>130</v>
      </c>
      <c r="G167" s="2" t="s">
        <v>119</v>
      </c>
      <c r="H167" s="2" t="s">
        <v>195</v>
      </c>
      <c r="I167" s="2" t="s">
        <v>360</v>
      </c>
      <c r="J167" s="2">
        <v>69.91</v>
      </c>
      <c r="K167" s="2"/>
      <c r="L167" s="2" t="s">
        <v>180</v>
      </c>
      <c r="M167" s="2" t="s">
        <v>70</v>
      </c>
      <c r="N167" s="2" t="s">
        <v>71</v>
      </c>
      <c r="O167" s="2" t="s">
        <v>51</v>
      </c>
    </row>
    <row r="168" spans="1:15" x14ac:dyDescent="0.25">
      <c r="A168" s="2" t="s">
        <v>651</v>
      </c>
      <c r="B168" s="2" t="s">
        <v>652</v>
      </c>
      <c r="C168" s="2" t="s">
        <v>653</v>
      </c>
      <c r="D168" s="2" t="s">
        <v>162</v>
      </c>
      <c r="E168" s="2" t="s">
        <v>19</v>
      </c>
      <c r="F168" s="2" t="s">
        <v>130</v>
      </c>
      <c r="G168" s="2" t="s">
        <v>21</v>
      </c>
      <c r="H168" s="2" t="s">
        <v>200</v>
      </c>
      <c r="I168" s="2" t="s">
        <v>343</v>
      </c>
      <c r="J168" s="2">
        <v>193.06</v>
      </c>
      <c r="K168" s="2"/>
      <c r="L168" s="2" t="s">
        <v>260</v>
      </c>
      <c r="M168" s="2" t="s">
        <v>144</v>
      </c>
      <c r="N168" s="2" t="s">
        <v>39</v>
      </c>
      <c r="O168" s="2" t="s">
        <v>27</v>
      </c>
    </row>
    <row r="169" spans="1:15" x14ac:dyDescent="0.25">
      <c r="A169" s="2" t="s">
        <v>654</v>
      </c>
      <c r="B169" s="2" t="s">
        <v>655</v>
      </c>
      <c r="C169" s="2" t="s">
        <v>656</v>
      </c>
      <c r="D169" s="2" t="s">
        <v>75</v>
      </c>
      <c r="E169" s="2" t="s">
        <v>32</v>
      </c>
      <c r="F169" s="2" t="s">
        <v>77</v>
      </c>
      <c r="G169" s="2" t="s">
        <v>137</v>
      </c>
      <c r="H169" s="2" t="s">
        <v>195</v>
      </c>
      <c r="I169" s="2" t="s">
        <v>343</v>
      </c>
      <c r="J169" s="2" t="s">
        <v>657</v>
      </c>
      <c r="K169" s="2">
        <v>0</v>
      </c>
      <c r="L169" s="2" t="s">
        <v>139</v>
      </c>
      <c r="M169" s="2" t="s">
        <v>201</v>
      </c>
      <c r="N169" s="2" t="s">
        <v>71</v>
      </c>
      <c r="O169" s="2" t="s">
        <v>40</v>
      </c>
    </row>
    <row r="170" spans="1:15" x14ac:dyDescent="0.25">
      <c r="A170" s="2" t="s">
        <v>658</v>
      </c>
      <c r="B170" s="2" t="s">
        <v>659</v>
      </c>
      <c r="C170" s="2" t="s">
        <v>660</v>
      </c>
      <c r="D170" s="2" t="s">
        <v>64</v>
      </c>
      <c r="E170" s="2" t="s">
        <v>65</v>
      </c>
      <c r="F170" s="2" t="s">
        <v>33</v>
      </c>
      <c r="G170" s="2" t="s">
        <v>34</v>
      </c>
      <c r="H170" s="2" t="s">
        <v>58</v>
      </c>
      <c r="I170" s="2" t="s">
        <v>360</v>
      </c>
      <c r="J170" s="2">
        <v>285.35000000000002</v>
      </c>
      <c r="K170" s="2">
        <v>0.05</v>
      </c>
      <c r="L170" s="2" t="s">
        <v>37</v>
      </c>
      <c r="M170" s="2" t="s">
        <v>70</v>
      </c>
      <c r="N170" s="2" t="s">
        <v>50</v>
      </c>
      <c r="O170" s="2" t="s">
        <v>40</v>
      </c>
    </row>
    <row r="171" spans="1:15" x14ac:dyDescent="0.25">
      <c r="A171" s="2" t="s">
        <v>661</v>
      </c>
      <c r="B171" s="2" t="s">
        <v>662</v>
      </c>
      <c r="C171" s="2" t="s">
        <v>663</v>
      </c>
      <c r="D171" s="2" t="s">
        <v>97</v>
      </c>
      <c r="E171" s="2" t="s">
        <v>98</v>
      </c>
      <c r="F171" s="2" t="s">
        <v>298</v>
      </c>
      <c r="G171" s="2" t="s">
        <v>131</v>
      </c>
      <c r="H171" s="2" t="s">
        <v>58</v>
      </c>
      <c r="I171" s="2"/>
      <c r="J171" s="2">
        <v>459.11</v>
      </c>
      <c r="K171" s="2">
        <v>0.15</v>
      </c>
      <c r="L171" s="2" t="s">
        <v>59</v>
      </c>
      <c r="M171" s="2" t="s">
        <v>110</v>
      </c>
      <c r="N171" s="2" t="s">
        <v>39</v>
      </c>
      <c r="O171" s="2" t="s">
        <v>171</v>
      </c>
    </row>
    <row r="172" spans="1:15" x14ac:dyDescent="0.25">
      <c r="A172" s="2" t="s">
        <v>664</v>
      </c>
      <c r="B172" s="2" t="s">
        <v>665</v>
      </c>
      <c r="C172" s="2" t="s">
        <v>666</v>
      </c>
      <c r="D172" s="2" t="s">
        <v>258</v>
      </c>
      <c r="E172" s="2" t="s">
        <v>45</v>
      </c>
      <c r="F172" s="2" t="s">
        <v>118</v>
      </c>
      <c r="G172" s="2" t="s">
        <v>119</v>
      </c>
      <c r="H172" s="2" t="s">
        <v>48</v>
      </c>
      <c r="I172" s="2">
        <v>11</v>
      </c>
      <c r="J172" s="2">
        <v>134.47</v>
      </c>
      <c r="K172" s="2">
        <v>0</v>
      </c>
      <c r="L172" s="2" t="s">
        <v>237</v>
      </c>
      <c r="M172" s="2" t="s">
        <v>70</v>
      </c>
      <c r="N172" s="2" t="s">
        <v>50</v>
      </c>
      <c r="O172" s="2"/>
    </row>
    <row r="173" spans="1:15" x14ac:dyDescent="0.25">
      <c r="A173" s="2" t="s">
        <v>667</v>
      </c>
      <c r="B173" s="2" t="s">
        <v>668</v>
      </c>
      <c r="C173" s="2" t="s">
        <v>669</v>
      </c>
      <c r="D173" s="2" t="s">
        <v>97</v>
      </c>
      <c r="E173" s="2" t="s">
        <v>98</v>
      </c>
      <c r="F173" s="2" t="s">
        <v>106</v>
      </c>
      <c r="G173" s="2" t="s">
        <v>47</v>
      </c>
      <c r="H173" s="2" t="s">
        <v>200</v>
      </c>
      <c r="I173" s="2" t="s">
        <v>190</v>
      </c>
      <c r="J173" s="2">
        <v>341.95</v>
      </c>
      <c r="K173" s="2">
        <v>0.05</v>
      </c>
      <c r="L173" s="2" t="s">
        <v>281</v>
      </c>
      <c r="M173" s="2" t="s">
        <v>25</v>
      </c>
      <c r="N173" s="2" t="s">
        <v>71</v>
      </c>
      <c r="O173" s="2" t="s">
        <v>87</v>
      </c>
    </row>
    <row r="174" spans="1:15" x14ac:dyDescent="0.25">
      <c r="A174" s="2" t="s">
        <v>670</v>
      </c>
      <c r="B174" s="2" t="s">
        <v>671</v>
      </c>
      <c r="C174" s="2" t="s">
        <v>672</v>
      </c>
      <c r="D174" s="2" t="s">
        <v>97</v>
      </c>
      <c r="E174" s="2" t="s">
        <v>98</v>
      </c>
      <c r="F174" s="2" t="s">
        <v>235</v>
      </c>
      <c r="G174" s="2" t="s">
        <v>268</v>
      </c>
      <c r="H174" s="2" t="s">
        <v>48</v>
      </c>
      <c r="I174" s="2" t="s">
        <v>343</v>
      </c>
      <c r="J174" s="2">
        <v>265.39999999999998</v>
      </c>
      <c r="K174" s="2">
        <v>0.2</v>
      </c>
      <c r="L174" s="2" t="s">
        <v>143</v>
      </c>
      <c r="M174" s="2" t="s">
        <v>165</v>
      </c>
      <c r="N174" s="2" t="s">
        <v>50</v>
      </c>
      <c r="O174" s="2"/>
    </row>
    <row r="175" spans="1:15" x14ac:dyDescent="0.25">
      <c r="A175" s="2" t="s">
        <v>673</v>
      </c>
      <c r="B175" s="2" t="s">
        <v>674</v>
      </c>
      <c r="C175" s="2" t="s">
        <v>675</v>
      </c>
      <c r="D175" s="2" t="s">
        <v>64</v>
      </c>
      <c r="E175" s="2" t="s">
        <v>65</v>
      </c>
      <c r="F175" s="2" t="s">
        <v>189</v>
      </c>
      <c r="G175" s="2" t="s">
        <v>154</v>
      </c>
      <c r="H175" s="2" t="s">
        <v>68</v>
      </c>
      <c r="I175" s="2">
        <v>12</v>
      </c>
      <c r="J175" s="2">
        <v>355.64</v>
      </c>
      <c r="K175" s="2"/>
      <c r="L175" s="2" t="s">
        <v>37</v>
      </c>
      <c r="M175" s="2" t="s">
        <v>60</v>
      </c>
      <c r="N175" s="2" t="s">
        <v>50</v>
      </c>
      <c r="O175" s="2" t="s">
        <v>112</v>
      </c>
    </row>
    <row r="176" spans="1:15" x14ac:dyDescent="0.25">
      <c r="A176" s="2" t="s">
        <v>676</v>
      </c>
      <c r="B176" s="2" t="s">
        <v>677</v>
      </c>
      <c r="C176" s="2" t="s">
        <v>678</v>
      </c>
      <c r="D176" s="2" t="s">
        <v>97</v>
      </c>
      <c r="E176" s="2" t="s">
        <v>98</v>
      </c>
      <c r="F176" s="2" t="s">
        <v>99</v>
      </c>
      <c r="G176" s="2" t="s">
        <v>100</v>
      </c>
      <c r="H176" s="2" t="s">
        <v>108</v>
      </c>
      <c r="I176" s="2">
        <v>5</v>
      </c>
      <c r="J176" s="2">
        <v>393.21</v>
      </c>
      <c r="K176" s="2"/>
      <c r="L176" s="2" t="s">
        <v>180</v>
      </c>
      <c r="M176" s="2" t="s">
        <v>38</v>
      </c>
      <c r="N176" s="2"/>
      <c r="O176" s="2"/>
    </row>
    <row r="177" spans="1:15" x14ac:dyDescent="0.25">
      <c r="A177" s="2" t="s">
        <v>679</v>
      </c>
      <c r="B177" s="2" t="s">
        <v>680</v>
      </c>
      <c r="C177" s="2" t="s">
        <v>681</v>
      </c>
      <c r="D177" s="2" t="s">
        <v>188</v>
      </c>
      <c r="E177" s="2" t="s">
        <v>76</v>
      </c>
      <c r="F177" s="2" t="s">
        <v>56</v>
      </c>
      <c r="G177" s="2" t="s">
        <v>57</v>
      </c>
      <c r="H177" s="2" t="s">
        <v>22</v>
      </c>
      <c r="I177" s="2">
        <v>10</v>
      </c>
      <c r="J177" s="2">
        <v>367.87</v>
      </c>
      <c r="K177" s="2"/>
      <c r="L177" s="2" t="s">
        <v>180</v>
      </c>
      <c r="M177" s="2" t="s">
        <v>165</v>
      </c>
      <c r="N177" s="2" t="s">
        <v>50</v>
      </c>
      <c r="O177" s="2" t="s">
        <v>51</v>
      </c>
    </row>
    <row r="178" spans="1:15" x14ac:dyDescent="0.25">
      <c r="A178" s="2" t="s">
        <v>229</v>
      </c>
      <c r="B178" s="2" t="s">
        <v>230</v>
      </c>
      <c r="C178" s="2" t="s">
        <v>682</v>
      </c>
      <c r="D178" s="2" t="s">
        <v>152</v>
      </c>
      <c r="E178" s="2" t="s">
        <v>19</v>
      </c>
      <c r="F178" s="2" t="s">
        <v>130</v>
      </c>
      <c r="G178" s="2" t="s">
        <v>131</v>
      </c>
      <c r="H178" s="2" t="s">
        <v>200</v>
      </c>
      <c r="I178" s="2">
        <v>10</v>
      </c>
      <c r="J178" s="2">
        <v>498.33</v>
      </c>
      <c r="K178" s="2">
        <v>0</v>
      </c>
      <c r="L178" s="2" t="s">
        <v>180</v>
      </c>
      <c r="M178" s="2" t="s">
        <v>158</v>
      </c>
      <c r="N178" s="2" t="s">
        <v>71</v>
      </c>
      <c r="O178" s="2" t="s">
        <v>40</v>
      </c>
    </row>
    <row r="179" spans="1:15" x14ac:dyDescent="0.25">
      <c r="A179" s="2" t="s">
        <v>683</v>
      </c>
      <c r="B179" s="2" t="s">
        <v>62</v>
      </c>
      <c r="C179" s="2" t="s">
        <v>684</v>
      </c>
      <c r="D179" s="2" t="s">
        <v>116</v>
      </c>
      <c r="E179" s="2" t="s">
        <v>19</v>
      </c>
      <c r="F179" s="2" t="s">
        <v>136</v>
      </c>
      <c r="G179" s="2" t="s">
        <v>236</v>
      </c>
      <c r="H179" s="2" t="s">
        <v>195</v>
      </c>
      <c r="I179" s="2">
        <v>8</v>
      </c>
      <c r="J179" s="2">
        <v>183.76</v>
      </c>
      <c r="K179" s="2">
        <v>0.15</v>
      </c>
      <c r="L179" s="2" t="s">
        <v>79</v>
      </c>
      <c r="M179" s="2" t="s">
        <v>110</v>
      </c>
      <c r="N179" s="2" t="s">
        <v>111</v>
      </c>
      <c r="O179" s="2" t="s">
        <v>112</v>
      </c>
    </row>
    <row r="180" spans="1:15" x14ac:dyDescent="0.25">
      <c r="A180" s="2" t="s">
        <v>685</v>
      </c>
      <c r="B180" s="2" t="s">
        <v>686</v>
      </c>
      <c r="C180" s="2" t="s">
        <v>687</v>
      </c>
      <c r="D180" s="2" t="s">
        <v>31</v>
      </c>
      <c r="E180" s="2" t="s">
        <v>199</v>
      </c>
      <c r="F180" s="2" t="s">
        <v>298</v>
      </c>
      <c r="G180" s="2" t="s">
        <v>21</v>
      </c>
      <c r="H180" s="2" t="s">
        <v>195</v>
      </c>
      <c r="I180" s="2">
        <v>8</v>
      </c>
      <c r="J180" s="2">
        <v>77.94</v>
      </c>
      <c r="K180" s="2">
        <v>0.05</v>
      </c>
      <c r="L180" s="2" t="s">
        <v>59</v>
      </c>
      <c r="M180" s="2" t="s">
        <v>170</v>
      </c>
      <c r="N180" s="2" t="s">
        <v>39</v>
      </c>
      <c r="O180" s="2" t="s">
        <v>51</v>
      </c>
    </row>
    <row r="181" spans="1:15" x14ac:dyDescent="0.25">
      <c r="A181" s="2" t="s">
        <v>613</v>
      </c>
      <c r="B181" s="2" t="s">
        <v>614</v>
      </c>
      <c r="C181" s="2" t="s">
        <v>688</v>
      </c>
      <c r="D181" s="2" t="s">
        <v>124</v>
      </c>
      <c r="E181" s="2" t="s">
        <v>125</v>
      </c>
      <c r="F181" s="2" t="s">
        <v>83</v>
      </c>
      <c r="G181" s="2" t="s">
        <v>100</v>
      </c>
      <c r="H181" s="2" t="s">
        <v>48</v>
      </c>
      <c r="I181" s="2">
        <v>2</v>
      </c>
      <c r="J181" s="2">
        <v>217.11</v>
      </c>
      <c r="K181" s="2"/>
      <c r="L181" s="2" t="s">
        <v>79</v>
      </c>
      <c r="M181" s="2" t="s">
        <v>92</v>
      </c>
      <c r="N181" s="2" t="s">
        <v>39</v>
      </c>
      <c r="O181" s="2" t="s">
        <v>112</v>
      </c>
    </row>
    <row r="182" spans="1:15" x14ac:dyDescent="0.25">
      <c r="A182" s="2" t="s">
        <v>689</v>
      </c>
      <c r="B182" s="2" t="s">
        <v>690</v>
      </c>
      <c r="C182" s="2" t="s">
        <v>691</v>
      </c>
      <c r="D182" s="2" t="s">
        <v>224</v>
      </c>
      <c r="E182" s="2" t="s">
        <v>125</v>
      </c>
      <c r="F182" s="2" t="s">
        <v>118</v>
      </c>
      <c r="G182" s="2" t="s">
        <v>264</v>
      </c>
      <c r="H182" s="2" t="s">
        <v>178</v>
      </c>
      <c r="I182" s="2">
        <v>4</v>
      </c>
      <c r="J182" s="2"/>
      <c r="K182" s="2">
        <v>0.2</v>
      </c>
      <c r="L182" s="2" t="s">
        <v>132</v>
      </c>
      <c r="M182" s="2" t="s">
        <v>165</v>
      </c>
      <c r="N182" s="2" t="s">
        <v>111</v>
      </c>
      <c r="O182" s="2" t="s">
        <v>112</v>
      </c>
    </row>
    <row r="183" spans="1:15" x14ac:dyDescent="0.25">
      <c r="A183" s="2" t="s">
        <v>692</v>
      </c>
      <c r="B183" s="2" t="s">
        <v>693</v>
      </c>
      <c r="C183" s="2" t="s">
        <v>694</v>
      </c>
      <c r="D183" s="2" t="s">
        <v>152</v>
      </c>
      <c r="E183" s="2" t="s">
        <v>19</v>
      </c>
      <c r="F183" s="2" t="s">
        <v>20</v>
      </c>
      <c r="G183" s="2" t="s">
        <v>119</v>
      </c>
      <c r="H183" s="2" t="s">
        <v>22</v>
      </c>
      <c r="I183" s="2">
        <v>3</v>
      </c>
      <c r="J183" s="2">
        <v>138.01</v>
      </c>
      <c r="K183" s="2">
        <v>0</v>
      </c>
      <c r="L183" s="2" t="s">
        <v>69</v>
      </c>
      <c r="M183" s="2" t="s">
        <v>201</v>
      </c>
      <c r="N183" s="2"/>
      <c r="O183" s="2" t="s">
        <v>87</v>
      </c>
    </row>
    <row r="184" spans="1:15" x14ac:dyDescent="0.25">
      <c r="A184" s="2" t="s">
        <v>695</v>
      </c>
      <c r="B184" s="2" t="s">
        <v>696</v>
      </c>
      <c r="C184" s="2" t="s">
        <v>697</v>
      </c>
      <c r="D184" s="2" t="s">
        <v>152</v>
      </c>
      <c r="E184" s="2" t="s">
        <v>19</v>
      </c>
      <c r="F184" s="2" t="s">
        <v>91</v>
      </c>
      <c r="G184" s="2" t="s">
        <v>84</v>
      </c>
      <c r="H184" s="2" t="s">
        <v>35</v>
      </c>
      <c r="I184" s="2"/>
      <c r="J184" s="2">
        <v>113.23</v>
      </c>
      <c r="K184" s="2"/>
      <c r="L184" s="2" t="s">
        <v>24</v>
      </c>
      <c r="M184" s="2" t="s">
        <v>70</v>
      </c>
      <c r="N184" s="2"/>
      <c r="O184" s="2" t="s">
        <v>51</v>
      </c>
    </row>
    <row r="185" spans="1:15" x14ac:dyDescent="0.25">
      <c r="A185" s="2" t="s">
        <v>698</v>
      </c>
      <c r="B185" s="2" t="s">
        <v>699</v>
      </c>
      <c r="C185" s="2" t="s">
        <v>700</v>
      </c>
      <c r="D185" s="2" t="s">
        <v>18</v>
      </c>
      <c r="E185" s="2" t="s">
        <v>19</v>
      </c>
      <c r="F185" s="2" t="s">
        <v>83</v>
      </c>
      <c r="G185" s="2" t="s">
        <v>220</v>
      </c>
      <c r="H185" s="2" t="s">
        <v>178</v>
      </c>
      <c r="I185" s="2">
        <v>4</v>
      </c>
      <c r="J185" s="2">
        <v>193.16</v>
      </c>
      <c r="K185" s="2">
        <v>0.05</v>
      </c>
      <c r="L185" s="2" t="s">
        <v>139</v>
      </c>
      <c r="M185" s="2" t="s">
        <v>170</v>
      </c>
      <c r="N185" s="2" t="s">
        <v>111</v>
      </c>
      <c r="O185" s="2" t="s">
        <v>27</v>
      </c>
    </row>
    <row r="186" spans="1:15" x14ac:dyDescent="0.25">
      <c r="A186" s="2" t="s">
        <v>701</v>
      </c>
      <c r="B186" s="2" t="s">
        <v>702</v>
      </c>
      <c r="C186" s="2" t="s">
        <v>703</v>
      </c>
      <c r="D186" s="2" t="s">
        <v>175</v>
      </c>
      <c r="E186" s="2" t="s">
        <v>76</v>
      </c>
      <c r="F186" s="2" t="s">
        <v>91</v>
      </c>
      <c r="G186" s="2" t="s">
        <v>220</v>
      </c>
      <c r="H186" s="2" t="s">
        <v>58</v>
      </c>
      <c r="I186" s="2">
        <v>1</v>
      </c>
      <c r="J186" s="2">
        <v>172.58</v>
      </c>
      <c r="K186" s="2">
        <v>0.15</v>
      </c>
      <c r="L186" s="2" t="s">
        <v>37</v>
      </c>
      <c r="M186" s="2" t="s">
        <v>38</v>
      </c>
      <c r="N186" s="2"/>
      <c r="O186" s="2" t="s">
        <v>27</v>
      </c>
    </row>
    <row r="187" spans="1:15" x14ac:dyDescent="0.25">
      <c r="A187" s="2" t="s">
        <v>630</v>
      </c>
      <c r="B187" s="2" t="s">
        <v>631</v>
      </c>
      <c r="C187" s="2" t="s">
        <v>632</v>
      </c>
      <c r="D187" s="2" t="s">
        <v>152</v>
      </c>
      <c r="E187" s="2" t="s">
        <v>117</v>
      </c>
      <c r="F187" s="2" t="s">
        <v>298</v>
      </c>
      <c r="G187" s="2" t="s">
        <v>131</v>
      </c>
      <c r="H187" s="2" t="s">
        <v>108</v>
      </c>
      <c r="I187" s="2">
        <v>10</v>
      </c>
      <c r="J187" s="2">
        <v>478.89</v>
      </c>
      <c r="K187" s="2">
        <v>0.2</v>
      </c>
      <c r="L187" s="2" t="s">
        <v>139</v>
      </c>
      <c r="M187" s="2" t="s">
        <v>165</v>
      </c>
      <c r="N187" s="2"/>
      <c r="O187" s="2" t="s">
        <v>93</v>
      </c>
    </row>
    <row r="188" spans="1:15" x14ac:dyDescent="0.25">
      <c r="A188" s="2" t="s">
        <v>704</v>
      </c>
      <c r="B188" s="2" t="s">
        <v>705</v>
      </c>
      <c r="C188" s="2" t="s">
        <v>706</v>
      </c>
      <c r="D188" s="2" t="s">
        <v>212</v>
      </c>
      <c r="E188" s="2" t="s">
        <v>98</v>
      </c>
      <c r="F188" s="2" t="s">
        <v>46</v>
      </c>
      <c r="G188" s="2" t="s">
        <v>323</v>
      </c>
      <c r="H188" s="2" t="s">
        <v>58</v>
      </c>
      <c r="I188" s="2" t="s">
        <v>360</v>
      </c>
      <c r="J188" s="2">
        <v>223.89</v>
      </c>
      <c r="K188" s="2"/>
      <c r="L188" s="2" t="s">
        <v>143</v>
      </c>
      <c r="M188" s="2" t="s">
        <v>170</v>
      </c>
      <c r="N188" s="2" t="s">
        <v>26</v>
      </c>
      <c r="O188" s="2" t="s">
        <v>87</v>
      </c>
    </row>
    <row r="189" spans="1:15" x14ac:dyDescent="0.25">
      <c r="A189" s="2" t="s">
        <v>707</v>
      </c>
      <c r="B189" s="2" t="s">
        <v>708</v>
      </c>
      <c r="C189" s="2" t="s">
        <v>709</v>
      </c>
      <c r="D189" s="2" t="s">
        <v>44</v>
      </c>
      <c r="E189" s="2" t="s">
        <v>45</v>
      </c>
      <c r="F189" s="2" t="s">
        <v>267</v>
      </c>
      <c r="G189" s="2" t="s">
        <v>78</v>
      </c>
      <c r="H189" s="2" t="s">
        <v>35</v>
      </c>
      <c r="I189" s="2">
        <v>4</v>
      </c>
      <c r="J189" s="2">
        <v>176.35</v>
      </c>
      <c r="K189" s="2">
        <v>0</v>
      </c>
      <c r="L189" s="2" t="s">
        <v>143</v>
      </c>
      <c r="M189" s="2" t="s">
        <v>144</v>
      </c>
      <c r="N189" s="2"/>
      <c r="O189" s="2" t="s">
        <v>126</v>
      </c>
    </row>
    <row r="190" spans="1:15" x14ac:dyDescent="0.25">
      <c r="A190" s="2" t="s">
        <v>710</v>
      </c>
      <c r="B190" s="2" t="s">
        <v>276</v>
      </c>
      <c r="C190" s="2" t="s">
        <v>711</v>
      </c>
      <c r="D190" s="2" t="s">
        <v>194</v>
      </c>
      <c r="E190" s="2" t="s">
        <v>98</v>
      </c>
      <c r="F190" s="2" t="s">
        <v>153</v>
      </c>
      <c r="G190" s="2" t="s">
        <v>154</v>
      </c>
      <c r="H190" s="2" t="s">
        <v>178</v>
      </c>
      <c r="I190" s="2"/>
      <c r="J190" s="2" t="s">
        <v>712</v>
      </c>
      <c r="K190" s="2" t="s">
        <v>347</v>
      </c>
      <c r="L190" s="2" t="s">
        <v>102</v>
      </c>
      <c r="M190" s="2" t="s">
        <v>144</v>
      </c>
      <c r="N190" s="2" t="s">
        <v>26</v>
      </c>
      <c r="O190" s="2" t="s">
        <v>112</v>
      </c>
    </row>
    <row r="191" spans="1:15" x14ac:dyDescent="0.25">
      <c r="A191" s="2" t="s">
        <v>713</v>
      </c>
      <c r="B191" s="2" t="s">
        <v>714</v>
      </c>
      <c r="C191" s="2" t="s">
        <v>715</v>
      </c>
      <c r="D191" s="2" t="s">
        <v>152</v>
      </c>
      <c r="E191" s="2" t="s">
        <v>19</v>
      </c>
      <c r="F191" s="2" t="s">
        <v>163</v>
      </c>
      <c r="G191" s="2" t="s">
        <v>220</v>
      </c>
      <c r="H191" s="2" t="s">
        <v>48</v>
      </c>
      <c r="I191" s="2">
        <v>7</v>
      </c>
      <c r="J191" s="2">
        <v>273.8</v>
      </c>
      <c r="K191" s="2">
        <v>0.05</v>
      </c>
      <c r="L191" s="2" t="s">
        <v>260</v>
      </c>
      <c r="M191" s="2" t="s">
        <v>170</v>
      </c>
      <c r="N191" s="2" t="s">
        <v>39</v>
      </c>
      <c r="O191" s="2" t="s">
        <v>171</v>
      </c>
    </row>
    <row r="192" spans="1:15" x14ac:dyDescent="0.25">
      <c r="A192" s="2" t="s">
        <v>716</v>
      </c>
      <c r="B192" s="2" t="s">
        <v>717</v>
      </c>
      <c r="C192" s="2" t="s">
        <v>718</v>
      </c>
      <c r="D192" s="2" t="s">
        <v>285</v>
      </c>
      <c r="E192" s="2" t="s">
        <v>199</v>
      </c>
      <c r="F192" s="2" t="s">
        <v>176</v>
      </c>
      <c r="G192" s="2" t="s">
        <v>100</v>
      </c>
      <c r="H192" s="2" t="s">
        <v>48</v>
      </c>
      <c r="I192" s="2">
        <v>1</v>
      </c>
      <c r="J192" s="2">
        <v>388.56</v>
      </c>
      <c r="K192" s="2">
        <v>0.1</v>
      </c>
      <c r="L192" s="2" t="s">
        <v>143</v>
      </c>
      <c r="M192" s="2" t="s">
        <v>70</v>
      </c>
      <c r="N192" s="2" t="s">
        <v>26</v>
      </c>
      <c r="O192" s="2" t="s">
        <v>87</v>
      </c>
    </row>
    <row r="193" spans="1:15" x14ac:dyDescent="0.25">
      <c r="A193" s="2" t="s">
        <v>719</v>
      </c>
      <c r="B193" s="2" t="s">
        <v>720</v>
      </c>
      <c r="C193" s="2" t="s">
        <v>721</v>
      </c>
      <c r="D193" s="2" t="s">
        <v>152</v>
      </c>
      <c r="E193" s="2" t="s">
        <v>19</v>
      </c>
      <c r="F193" s="2" t="s">
        <v>83</v>
      </c>
      <c r="G193" s="2" t="s">
        <v>177</v>
      </c>
      <c r="H193" s="2" t="s">
        <v>178</v>
      </c>
      <c r="I193" s="2">
        <v>8</v>
      </c>
      <c r="J193" s="2" t="s">
        <v>722</v>
      </c>
      <c r="K193" s="2" t="s">
        <v>347</v>
      </c>
      <c r="L193" s="2" t="s">
        <v>69</v>
      </c>
      <c r="M193" s="2" t="s">
        <v>25</v>
      </c>
      <c r="N193" s="2" t="s">
        <v>111</v>
      </c>
      <c r="O193" s="2" t="s">
        <v>27</v>
      </c>
    </row>
    <row r="194" spans="1:15" x14ac:dyDescent="0.25">
      <c r="A194" s="2" t="s">
        <v>487</v>
      </c>
      <c r="B194" s="2" t="s">
        <v>488</v>
      </c>
      <c r="C194" s="2" t="s">
        <v>489</v>
      </c>
      <c r="D194" s="2" t="s">
        <v>194</v>
      </c>
      <c r="E194" s="2" t="s">
        <v>98</v>
      </c>
      <c r="F194" s="2" t="s">
        <v>184</v>
      </c>
      <c r="G194" s="2" t="s">
        <v>323</v>
      </c>
      <c r="H194" s="2" t="s">
        <v>68</v>
      </c>
      <c r="I194" s="2">
        <v>1</v>
      </c>
      <c r="J194" s="2" t="s">
        <v>490</v>
      </c>
      <c r="K194" s="2">
        <v>0.1</v>
      </c>
      <c r="L194" s="2" t="s">
        <v>281</v>
      </c>
      <c r="M194" s="2" t="s">
        <v>201</v>
      </c>
      <c r="N194" s="2" t="s">
        <v>71</v>
      </c>
      <c r="O194" s="2" t="s">
        <v>87</v>
      </c>
    </row>
    <row r="195" spans="1:15" x14ac:dyDescent="0.25">
      <c r="A195" s="2" t="s">
        <v>723</v>
      </c>
      <c r="B195" s="2" t="s">
        <v>724</v>
      </c>
      <c r="C195" s="2" t="s">
        <v>725</v>
      </c>
      <c r="D195" s="2" t="s">
        <v>334</v>
      </c>
      <c r="E195" s="2" t="s">
        <v>45</v>
      </c>
      <c r="F195" s="2" t="s">
        <v>83</v>
      </c>
      <c r="G195" s="2" t="s">
        <v>177</v>
      </c>
      <c r="H195" s="2" t="s">
        <v>108</v>
      </c>
      <c r="I195" s="2" t="s">
        <v>23</v>
      </c>
      <c r="J195" s="2">
        <v>339.24</v>
      </c>
      <c r="K195" s="2" t="s">
        <v>347</v>
      </c>
      <c r="L195" s="2" t="s">
        <v>143</v>
      </c>
      <c r="M195" s="2" t="s">
        <v>25</v>
      </c>
      <c r="N195" s="2" t="s">
        <v>39</v>
      </c>
      <c r="O195" s="2" t="s">
        <v>112</v>
      </c>
    </row>
    <row r="196" spans="1:15" x14ac:dyDescent="0.25">
      <c r="A196" s="2" t="s">
        <v>726</v>
      </c>
      <c r="B196" s="2" t="s">
        <v>696</v>
      </c>
      <c r="C196" s="2" t="s">
        <v>727</v>
      </c>
      <c r="D196" s="2" t="s">
        <v>152</v>
      </c>
      <c r="E196" s="2" t="s">
        <v>117</v>
      </c>
      <c r="F196" s="2" t="s">
        <v>176</v>
      </c>
      <c r="G196" s="2" t="s">
        <v>164</v>
      </c>
      <c r="H196" s="2" t="s">
        <v>22</v>
      </c>
      <c r="I196" s="2">
        <v>10</v>
      </c>
      <c r="J196" s="2">
        <v>255.77</v>
      </c>
      <c r="K196" s="2" t="s">
        <v>259</v>
      </c>
      <c r="L196" s="2" t="s">
        <v>143</v>
      </c>
      <c r="M196" s="2" t="s">
        <v>144</v>
      </c>
      <c r="N196" s="2" t="s">
        <v>71</v>
      </c>
      <c r="O196" s="2" t="s">
        <v>27</v>
      </c>
    </row>
    <row r="197" spans="1:15" x14ac:dyDescent="0.25">
      <c r="A197" s="2" t="s">
        <v>728</v>
      </c>
      <c r="B197" s="2" t="s">
        <v>206</v>
      </c>
      <c r="C197" s="2" t="s">
        <v>729</v>
      </c>
      <c r="D197" s="2" t="s">
        <v>175</v>
      </c>
      <c r="E197" s="2" t="s">
        <v>76</v>
      </c>
      <c r="F197" s="2" t="s">
        <v>118</v>
      </c>
      <c r="G197" s="2" t="s">
        <v>21</v>
      </c>
      <c r="H197" s="2" t="s">
        <v>58</v>
      </c>
      <c r="I197" s="2"/>
      <c r="J197" s="2">
        <v>472.97</v>
      </c>
      <c r="K197" s="2">
        <v>0.05</v>
      </c>
      <c r="L197" s="2" t="s">
        <v>139</v>
      </c>
      <c r="M197" s="2" t="s">
        <v>110</v>
      </c>
      <c r="N197" s="2"/>
      <c r="O197" s="2" t="s">
        <v>112</v>
      </c>
    </row>
    <row r="198" spans="1:15" x14ac:dyDescent="0.25">
      <c r="A198" s="2" t="s">
        <v>730</v>
      </c>
      <c r="B198" s="2" t="s">
        <v>731</v>
      </c>
      <c r="C198" s="2" t="s">
        <v>732</v>
      </c>
      <c r="D198" s="2" t="s">
        <v>116</v>
      </c>
      <c r="E198" s="2" t="s">
        <v>117</v>
      </c>
      <c r="F198" s="2" t="s">
        <v>235</v>
      </c>
      <c r="G198" s="2" t="s">
        <v>137</v>
      </c>
      <c r="H198" s="2" t="s">
        <v>108</v>
      </c>
      <c r="I198" s="2">
        <v>10</v>
      </c>
      <c r="J198" s="2">
        <v>104.42</v>
      </c>
      <c r="K198" s="2">
        <v>0.1</v>
      </c>
      <c r="L198" s="2" t="s">
        <v>260</v>
      </c>
      <c r="M198" s="2" t="s">
        <v>70</v>
      </c>
      <c r="N198" s="2"/>
      <c r="O198" s="2" t="s">
        <v>40</v>
      </c>
    </row>
    <row r="199" spans="1:15" x14ac:dyDescent="0.25">
      <c r="A199" s="2" t="s">
        <v>733</v>
      </c>
      <c r="B199" s="2" t="s">
        <v>570</v>
      </c>
      <c r="C199" s="2" t="s">
        <v>734</v>
      </c>
      <c r="D199" s="2" t="s">
        <v>44</v>
      </c>
      <c r="E199" s="2" t="s">
        <v>125</v>
      </c>
      <c r="F199" s="2" t="s">
        <v>66</v>
      </c>
      <c r="G199" s="2" t="s">
        <v>330</v>
      </c>
      <c r="H199" s="2" t="s">
        <v>178</v>
      </c>
      <c r="I199" s="2">
        <v>1</v>
      </c>
      <c r="J199" s="2">
        <v>43.58</v>
      </c>
      <c r="K199" s="2">
        <v>0.15</v>
      </c>
      <c r="L199" s="2" t="s">
        <v>143</v>
      </c>
      <c r="M199" s="2" t="s">
        <v>86</v>
      </c>
      <c r="N199" s="2"/>
      <c r="O199" s="2" t="s">
        <v>51</v>
      </c>
    </row>
    <row r="200" spans="1:15" x14ac:dyDescent="0.25">
      <c r="A200" s="2" t="s">
        <v>735</v>
      </c>
      <c r="B200" s="2" t="s">
        <v>736</v>
      </c>
      <c r="C200" s="2" t="s">
        <v>737</v>
      </c>
      <c r="D200" s="2" t="s">
        <v>55</v>
      </c>
      <c r="E200" s="2" t="s">
        <v>199</v>
      </c>
      <c r="F200" s="2" t="s">
        <v>66</v>
      </c>
      <c r="G200" s="2" t="s">
        <v>330</v>
      </c>
      <c r="H200" s="2" t="s">
        <v>200</v>
      </c>
      <c r="I200" s="2">
        <v>9</v>
      </c>
      <c r="J200" s="2">
        <v>439.93</v>
      </c>
      <c r="K200" s="2">
        <v>0</v>
      </c>
      <c r="L200" s="2" t="s">
        <v>37</v>
      </c>
      <c r="M200" s="2" t="s">
        <v>158</v>
      </c>
      <c r="N200" s="2" t="s">
        <v>111</v>
      </c>
      <c r="O200" s="2"/>
    </row>
    <row r="201" spans="1:15" x14ac:dyDescent="0.25">
      <c r="A201" s="2" t="s">
        <v>738</v>
      </c>
      <c r="B201" s="2" t="s">
        <v>739</v>
      </c>
      <c r="C201" s="2" t="s">
        <v>740</v>
      </c>
      <c r="D201" s="2" t="s">
        <v>124</v>
      </c>
      <c r="E201" s="2" t="s">
        <v>125</v>
      </c>
      <c r="F201" s="2" t="s">
        <v>77</v>
      </c>
      <c r="G201" s="2" t="s">
        <v>137</v>
      </c>
      <c r="H201" s="2" t="s">
        <v>22</v>
      </c>
      <c r="I201" s="2">
        <v>8</v>
      </c>
      <c r="J201" s="2">
        <v>419.35</v>
      </c>
      <c r="K201" s="2"/>
      <c r="L201" s="2" t="s">
        <v>37</v>
      </c>
      <c r="M201" s="2" t="s">
        <v>158</v>
      </c>
      <c r="N201" s="2" t="s">
        <v>39</v>
      </c>
      <c r="O201" s="2" t="s">
        <v>93</v>
      </c>
    </row>
    <row r="202" spans="1:15" x14ac:dyDescent="0.25">
      <c r="A202" s="2" t="s">
        <v>526</v>
      </c>
      <c r="B202" s="2" t="s">
        <v>527</v>
      </c>
      <c r="C202" s="2" t="s">
        <v>528</v>
      </c>
      <c r="D202" s="2" t="s">
        <v>18</v>
      </c>
      <c r="E202" s="2" t="s">
        <v>19</v>
      </c>
      <c r="F202" s="2" t="s">
        <v>20</v>
      </c>
      <c r="G202" s="2" t="s">
        <v>131</v>
      </c>
      <c r="H202" s="2" t="s">
        <v>35</v>
      </c>
      <c r="I202" s="2">
        <v>3</v>
      </c>
      <c r="J202" s="2">
        <v>153.5</v>
      </c>
      <c r="K202" s="2">
        <v>0</v>
      </c>
      <c r="L202" s="2" t="s">
        <v>143</v>
      </c>
      <c r="M202" s="2" t="s">
        <v>38</v>
      </c>
      <c r="N202" s="2" t="s">
        <v>26</v>
      </c>
      <c r="O202" s="2" t="s">
        <v>27</v>
      </c>
    </row>
    <row r="203" spans="1:15" x14ac:dyDescent="0.25">
      <c r="A203" s="2" t="s">
        <v>741</v>
      </c>
      <c r="B203" s="2" t="s">
        <v>742</v>
      </c>
      <c r="C203" s="2" t="s">
        <v>743</v>
      </c>
      <c r="D203" s="2" t="s">
        <v>334</v>
      </c>
      <c r="E203" s="2" t="s">
        <v>45</v>
      </c>
      <c r="F203" s="2" t="s">
        <v>184</v>
      </c>
      <c r="G203" s="2" t="s">
        <v>323</v>
      </c>
      <c r="H203" s="2" t="s">
        <v>58</v>
      </c>
      <c r="I203" s="2">
        <v>4</v>
      </c>
      <c r="J203" s="2">
        <v>193.02</v>
      </c>
      <c r="K203" s="2">
        <v>0.1</v>
      </c>
      <c r="L203" s="2" t="s">
        <v>260</v>
      </c>
      <c r="M203" s="2" t="s">
        <v>144</v>
      </c>
      <c r="N203" s="2" t="s">
        <v>50</v>
      </c>
      <c r="O203" s="2" t="s">
        <v>87</v>
      </c>
    </row>
    <row r="204" spans="1:15" x14ac:dyDescent="0.25">
      <c r="A204" s="2" t="s">
        <v>744</v>
      </c>
      <c r="B204" s="2" t="s">
        <v>745</v>
      </c>
      <c r="C204" s="2" t="s">
        <v>746</v>
      </c>
      <c r="D204" s="2" t="s">
        <v>152</v>
      </c>
      <c r="E204" s="2" t="s">
        <v>117</v>
      </c>
      <c r="F204" s="2" t="s">
        <v>106</v>
      </c>
      <c r="G204" s="2" t="s">
        <v>368</v>
      </c>
      <c r="H204" s="2" t="s">
        <v>48</v>
      </c>
      <c r="I204" s="2"/>
      <c r="J204" s="2">
        <v>432.15</v>
      </c>
      <c r="K204" s="2">
        <v>0.15</v>
      </c>
      <c r="L204" s="2" t="s">
        <v>281</v>
      </c>
      <c r="M204" s="2" t="s">
        <v>208</v>
      </c>
      <c r="N204" s="2" t="s">
        <v>39</v>
      </c>
      <c r="O204" s="2" t="s">
        <v>40</v>
      </c>
    </row>
    <row r="205" spans="1:15" x14ac:dyDescent="0.25">
      <c r="A205" s="2" t="s">
        <v>747</v>
      </c>
      <c r="B205" s="2" t="s">
        <v>748</v>
      </c>
      <c r="C205" s="2" t="s">
        <v>749</v>
      </c>
      <c r="D205" s="2" t="s">
        <v>75</v>
      </c>
      <c r="E205" s="2" t="s">
        <v>76</v>
      </c>
      <c r="F205" s="2" t="s">
        <v>184</v>
      </c>
      <c r="G205" s="2" t="s">
        <v>368</v>
      </c>
      <c r="H205" s="2" t="s">
        <v>178</v>
      </c>
      <c r="I205" s="2">
        <v>1</v>
      </c>
      <c r="J205" s="2">
        <v>320.89999999999998</v>
      </c>
      <c r="K205" s="2">
        <v>0</v>
      </c>
      <c r="L205" s="2" t="s">
        <v>260</v>
      </c>
      <c r="M205" s="2" t="s">
        <v>144</v>
      </c>
      <c r="N205" s="2" t="s">
        <v>50</v>
      </c>
      <c r="O205" s="2" t="s">
        <v>171</v>
      </c>
    </row>
    <row r="206" spans="1:15" x14ac:dyDescent="0.25">
      <c r="A206" s="2" t="s">
        <v>750</v>
      </c>
      <c r="B206" s="2" t="s">
        <v>751</v>
      </c>
      <c r="C206" s="2" t="s">
        <v>752</v>
      </c>
      <c r="D206" s="2" t="s">
        <v>116</v>
      </c>
      <c r="E206" s="2" t="s">
        <v>117</v>
      </c>
      <c r="F206" s="2" t="s">
        <v>56</v>
      </c>
      <c r="G206" s="2" t="s">
        <v>67</v>
      </c>
      <c r="H206" s="2" t="s">
        <v>108</v>
      </c>
      <c r="I206" s="2">
        <v>5</v>
      </c>
      <c r="J206" s="2">
        <v>71.02</v>
      </c>
      <c r="K206" s="2">
        <v>0.2</v>
      </c>
      <c r="L206" s="2" t="s">
        <v>260</v>
      </c>
      <c r="M206" s="2" t="s">
        <v>70</v>
      </c>
      <c r="N206" s="2" t="s">
        <v>26</v>
      </c>
      <c r="O206" s="2" t="s">
        <v>40</v>
      </c>
    </row>
    <row r="207" spans="1:15" x14ac:dyDescent="0.25">
      <c r="A207" s="2" t="s">
        <v>753</v>
      </c>
      <c r="B207" s="2" t="s">
        <v>754</v>
      </c>
      <c r="C207" s="2" t="s">
        <v>755</v>
      </c>
      <c r="D207" s="2" t="s">
        <v>194</v>
      </c>
      <c r="E207" s="2" t="s">
        <v>65</v>
      </c>
      <c r="F207" s="2" t="s">
        <v>189</v>
      </c>
      <c r="G207" s="2" t="s">
        <v>67</v>
      </c>
      <c r="H207" s="2" t="s">
        <v>48</v>
      </c>
      <c r="I207" s="2">
        <v>12</v>
      </c>
      <c r="J207" s="2">
        <v>272.36</v>
      </c>
      <c r="K207" s="2"/>
      <c r="L207" s="2" t="s">
        <v>180</v>
      </c>
      <c r="M207" s="2" t="s">
        <v>86</v>
      </c>
      <c r="N207" s="2" t="s">
        <v>50</v>
      </c>
      <c r="O207" s="2" t="s">
        <v>87</v>
      </c>
    </row>
    <row r="208" spans="1:15" x14ac:dyDescent="0.25">
      <c r="A208" s="2" t="s">
        <v>756</v>
      </c>
      <c r="B208" s="2" t="s">
        <v>614</v>
      </c>
      <c r="C208" s="2" t="s">
        <v>757</v>
      </c>
      <c r="D208" s="2" t="s">
        <v>162</v>
      </c>
      <c r="E208" s="2" t="s">
        <v>19</v>
      </c>
      <c r="F208" s="2" t="s">
        <v>298</v>
      </c>
      <c r="G208" s="2" t="s">
        <v>21</v>
      </c>
      <c r="H208" s="2" t="s">
        <v>58</v>
      </c>
      <c r="I208" s="2">
        <v>12</v>
      </c>
      <c r="J208" s="2">
        <v>464.79</v>
      </c>
      <c r="K208" s="2" t="s">
        <v>259</v>
      </c>
      <c r="L208" s="2" t="s">
        <v>69</v>
      </c>
      <c r="M208" s="2" t="s">
        <v>158</v>
      </c>
      <c r="N208" s="2" t="s">
        <v>26</v>
      </c>
      <c r="O208" s="2" t="s">
        <v>112</v>
      </c>
    </row>
    <row r="209" spans="1:15" x14ac:dyDescent="0.25">
      <c r="A209" s="2" t="s">
        <v>758</v>
      </c>
      <c r="B209" s="2" t="s">
        <v>759</v>
      </c>
      <c r="C209" s="2" t="s">
        <v>760</v>
      </c>
      <c r="D209" s="2" t="s">
        <v>212</v>
      </c>
      <c r="E209" s="2"/>
      <c r="F209" s="2" t="s">
        <v>235</v>
      </c>
      <c r="G209" s="2" t="s">
        <v>137</v>
      </c>
      <c r="H209" s="2" t="s">
        <v>200</v>
      </c>
      <c r="I209" s="2">
        <v>3</v>
      </c>
      <c r="J209" s="2" t="s">
        <v>761</v>
      </c>
      <c r="K209" s="2" t="s">
        <v>259</v>
      </c>
      <c r="L209" s="2" t="s">
        <v>24</v>
      </c>
      <c r="M209" s="2" t="s">
        <v>158</v>
      </c>
      <c r="N209" s="2" t="s">
        <v>71</v>
      </c>
      <c r="O209" s="2" t="s">
        <v>93</v>
      </c>
    </row>
    <row r="210" spans="1:15" x14ac:dyDescent="0.25">
      <c r="A210" s="2" t="s">
        <v>762</v>
      </c>
      <c r="B210" s="2" t="s">
        <v>763</v>
      </c>
      <c r="C210" s="2" t="s">
        <v>764</v>
      </c>
      <c r="D210" s="2" t="s">
        <v>258</v>
      </c>
      <c r="E210" s="2" t="s">
        <v>125</v>
      </c>
      <c r="F210" s="2" t="s">
        <v>91</v>
      </c>
      <c r="G210" s="2" t="s">
        <v>164</v>
      </c>
      <c r="H210" s="2" t="s">
        <v>195</v>
      </c>
      <c r="I210" s="2"/>
      <c r="J210" s="2">
        <v>36.909999999999997</v>
      </c>
      <c r="K210" s="2">
        <v>0.05</v>
      </c>
      <c r="L210" s="2" t="s">
        <v>180</v>
      </c>
      <c r="M210" s="2" t="s">
        <v>144</v>
      </c>
      <c r="N210" s="2" t="s">
        <v>71</v>
      </c>
      <c r="O210" s="2" t="s">
        <v>87</v>
      </c>
    </row>
    <row r="211" spans="1:15" x14ac:dyDescent="0.25">
      <c r="A211" s="2" t="s">
        <v>765</v>
      </c>
      <c r="B211" s="2" t="s">
        <v>766</v>
      </c>
      <c r="C211" s="2" t="s">
        <v>767</v>
      </c>
      <c r="D211" s="2" t="s">
        <v>285</v>
      </c>
      <c r="E211" s="2"/>
      <c r="F211" s="2" t="s">
        <v>66</v>
      </c>
      <c r="G211" s="2" t="s">
        <v>148</v>
      </c>
      <c r="H211" s="2" t="s">
        <v>178</v>
      </c>
      <c r="I211" s="2">
        <v>8</v>
      </c>
      <c r="J211" s="2">
        <v>136.19</v>
      </c>
      <c r="K211" s="2">
        <v>0</v>
      </c>
      <c r="L211" s="2" t="s">
        <v>139</v>
      </c>
      <c r="M211" s="2" t="s">
        <v>158</v>
      </c>
      <c r="N211" s="2" t="s">
        <v>26</v>
      </c>
      <c r="O211" s="2" t="s">
        <v>87</v>
      </c>
    </row>
    <row r="212" spans="1:15" x14ac:dyDescent="0.25">
      <c r="A212" s="2" t="s">
        <v>768</v>
      </c>
      <c r="B212" s="2" t="s">
        <v>769</v>
      </c>
      <c r="C212" s="2" t="s">
        <v>770</v>
      </c>
      <c r="D212" s="2" t="s">
        <v>18</v>
      </c>
      <c r="E212" s="2" t="s">
        <v>117</v>
      </c>
      <c r="F212" s="2" t="s">
        <v>235</v>
      </c>
      <c r="G212" s="2" t="s">
        <v>268</v>
      </c>
      <c r="H212" s="2" t="s">
        <v>200</v>
      </c>
      <c r="I212" s="2">
        <v>8</v>
      </c>
      <c r="J212" s="2" t="s">
        <v>771</v>
      </c>
      <c r="K212" s="2">
        <v>0.1</v>
      </c>
      <c r="L212" s="2" t="s">
        <v>237</v>
      </c>
      <c r="M212" s="2" t="s">
        <v>201</v>
      </c>
      <c r="N212" s="2" t="s">
        <v>26</v>
      </c>
      <c r="O212" s="2" t="s">
        <v>112</v>
      </c>
    </row>
    <row r="213" spans="1:15" x14ac:dyDescent="0.25">
      <c r="A213" s="2" t="s">
        <v>772</v>
      </c>
      <c r="B213" s="2" t="s">
        <v>773</v>
      </c>
      <c r="C213" s="2" t="s">
        <v>774</v>
      </c>
      <c r="D213" s="2" t="s">
        <v>152</v>
      </c>
      <c r="E213" s="2" t="s">
        <v>19</v>
      </c>
      <c r="F213" s="2" t="s">
        <v>130</v>
      </c>
      <c r="G213" s="2" t="s">
        <v>119</v>
      </c>
      <c r="H213" s="2" t="s">
        <v>48</v>
      </c>
      <c r="I213" s="2">
        <v>10</v>
      </c>
      <c r="J213" s="2">
        <v>219.66</v>
      </c>
      <c r="K213" s="2"/>
      <c r="L213" s="2" t="s">
        <v>59</v>
      </c>
      <c r="M213" s="2" t="s">
        <v>170</v>
      </c>
      <c r="N213" s="2" t="s">
        <v>111</v>
      </c>
      <c r="O213" s="2" t="s">
        <v>126</v>
      </c>
    </row>
    <row r="214" spans="1:15" x14ac:dyDescent="0.25">
      <c r="A214" s="2" t="s">
        <v>775</v>
      </c>
      <c r="B214" s="2" t="s">
        <v>776</v>
      </c>
      <c r="C214" s="2" t="s">
        <v>777</v>
      </c>
      <c r="D214" s="2" t="s">
        <v>124</v>
      </c>
      <c r="E214" s="2" t="s">
        <v>45</v>
      </c>
      <c r="F214" s="2" t="s">
        <v>298</v>
      </c>
      <c r="G214" s="2" t="s">
        <v>264</v>
      </c>
      <c r="H214" s="2" t="s">
        <v>58</v>
      </c>
      <c r="I214" s="2"/>
      <c r="J214" s="2">
        <v>31.99</v>
      </c>
      <c r="K214" s="2">
        <v>0.15</v>
      </c>
      <c r="L214" s="2" t="s">
        <v>180</v>
      </c>
      <c r="M214" s="2" t="s">
        <v>86</v>
      </c>
      <c r="N214" s="2" t="s">
        <v>26</v>
      </c>
      <c r="O214" s="2" t="s">
        <v>87</v>
      </c>
    </row>
    <row r="215" spans="1:15" x14ac:dyDescent="0.25">
      <c r="A215" s="2" t="s">
        <v>630</v>
      </c>
      <c r="B215" s="2" t="s">
        <v>631</v>
      </c>
      <c r="C215" s="2" t="s">
        <v>632</v>
      </c>
      <c r="D215" s="2" t="s">
        <v>152</v>
      </c>
      <c r="E215" s="2" t="s">
        <v>117</v>
      </c>
      <c r="F215" s="2" t="s">
        <v>298</v>
      </c>
      <c r="G215" s="2" t="s">
        <v>131</v>
      </c>
      <c r="H215" s="2" t="s">
        <v>108</v>
      </c>
      <c r="I215" s="2">
        <v>10</v>
      </c>
      <c r="J215" s="2">
        <v>478.89</v>
      </c>
      <c r="K215" s="2">
        <v>0.2</v>
      </c>
      <c r="L215" s="2" t="s">
        <v>139</v>
      </c>
      <c r="M215" s="2" t="s">
        <v>165</v>
      </c>
      <c r="N215" s="2"/>
      <c r="O215" s="2" t="s">
        <v>93</v>
      </c>
    </row>
    <row r="216" spans="1:15" x14ac:dyDescent="0.25">
      <c r="A216" s="2" t="s">
        <v>623</v>
      </c>
      <c r="B216" s="2" t="s">
        <v>624</v>
      </c>
      <c r="C216" s="2" t="s">
        <v>625</v>
      </c>
      <c r="D216" s="2" t="s">
        <v>152</v>
      </c>
      <c r="E216" s="2" t="s">
        <v>117</v>
      </c>
      <c r="F216" s="2" t="s">
        <v>184</v>
      </c>
      <c r="G216" s="2" t="s">
        <v>323</v>
      </c>
      <c r="H216" s="2" t="s">
        <v>48</v>
      </c>
      <c r="I216" s="2" t="s">
        <v>364</v>
      </c>
      <c r="J216" s="2">
        <v>238.15</v>
      </c>
      <c r="K216" s="2"/>
      <c r="L216" s="2" t="s">
        <v>79</v>
      </c>
      <c r="M216" s="2" t="s">
        <v>60</v>
      </c>
      <c r="N216" s="2" t="s">
        <v>39</v>
      </c>
      <c r="O216" s="2" t="s">
        <v>126</v>
      </c>
    </row>
    <row r="217" spans="1:15" x14ac:dyDescent="0.25">
      <c r="A217" s="2" t="s">
        <v>778</v>
      </c>
      <c r="B217" s="2" t="s">
        <v>739</v>
      </c>
      <c r="C217" s="2" t="s">
        <v>779</v>
      </c>
      <c r="D217" s="2" t="s">
        <v>162</v>
      </c>
      <c r="E217" s="2" t="s">
        <v>117</v>
      </c>
      <c r="F217" s="2" t="s">
        <v>33</v>
      </c>
      <c r="G217" s="2" t="s">
        <v>323</v>
      </c>
      <c r="H217" s="2" t="s">
        <v>178</v>
      </c>
      <c r="I217" s="2">
        <v>10</v>
      </c>
      <c r="J217" s="2">
        <v>458.79</v>
      </c>
      <c r="K217" s="2" t="s">
        <v>347</v>
      </c>
      <c r="L217" s="2" t="s">
        <v>281</v>
      </c>
      <c r="M217" s="2" t="s">
        <v>110</v>
      </c>
      <c r="N217" s="2"/>
      <c r="O217" s="2" t="s">
        <v>93</v>
      </c>
    </row>
    <row r="218" spans="1:15" x14ac:dyDescent="0.25">
      <c r="A218" s="2" t="s">
        <v>780</v>
      </c>
      <c r="B218" s="2" t="s">
        <v>243</v>
      </c>
      <c r="C218" s="2" t="s">
        <v>781</v>
      </c>
      <c r="D218" s="2" t="s">
        <v>152</v>
      </c>
      <c r="E218" s="2" t="s">
        <v>19</v>
      </c>
      <c r="F218" s="2" t="s">
        <v>184</v>
      </c>
      <c r="G218" s="2" t="s">
        <v>368</v>
      </c>
      <c r="H218" s="2" t="s">
        <v>178</v>
      </c>
      <c r="I218" s="2" t="s">
        <v>782</v>
      </c>
      <c r="J218" s="2">
        <v>65.959999999999994</v>
      </c>
      <c r="K218" s="2">
        <v>0.15</v>
      </c>
      <c r="L218" s="2" t="s">
        <v>139</v>
      </c>
      <c r="M218" s="2" t="s">
        <v>144</v>
      </c>
      <c r="N218" s="2" t="s">
        <v>111</v>
      </c>
      <c r="O218" s="2" t="s">
        <v>27</v>
      </c>
    </row>
    <row r="219" spans="1:15" x14ac:dyDescent="0.25">
      <c r="A219" s="2" t="s">
        <v>783</v>
      </c>
      <c r="B219" s="2" t="s">
        <v>784</v>
      </c>
      <c r="C219" s="2" t="s">
        <v>785</v>
      </c>
      <c r="D219" s="2" t="s">
        <v>97</v>
      </c>
      <c r="E219" s="2" t="s">
        <v>65</v>
      </c>
      <c r="F219" s="2" t="s">
        <v>106</v>
      </c>
      <c r="G219" s="2" t="s">
        <v>34</v>
      </c>
      <c r="H219" s="2" t="s">
        <v>108</v>
      </c>
      <c r="I219" s="2"/>
      <c r="J219" s="2">
        <v>209.84</v>
      </c>
      <c r="K219" s="2">
        <v>0.2</v>
      </c>
      <c r="L219" s="2" t="s">
        <v>24</v>
      </c>
      <c r="M219" s="2" t="s">
        <v>110</v>
      </c>
      <c r="N219" s="2" t="s">
        <v>26</v>
      </c>
      <c r="O219" s="2" t="s">
        <v>112</v>
      </c>
    </row>
    <row r="220" spans="1:15" x14ac:dyDescent="0.25">
      <c r="A220" s="2" t="s">
        <v>730</v>
      </c>
      <c r="B220" s="2" t="s">
        <v>731</v>
      </c>
      <c r="C220" s="2" t="s">
        <v>732</v>
      </c>
      <c r="D220" s="2" t="s">
        <v>116</v>
      </c>
      <c r="E220" s="2" t="s">
        <v>117</v>
      </c>
      <c r="F220" s="2" t="s">
        <v>235</v>
      </c>
      <c r="G220" s="2" t="s">
        <v>137</v>
      </c>
      <c r="H220" s="2" t="s">
        <v>108</v>
      </c>
      <c r="I220" s="2">
        <v>10</v>
      </c>
      <c r="J220" s="2">
        <v>104.42</v>
      </c>
      <c r="K220" s="2">
        <v>0.1</v>
      </c>
      <c r="L220" s="2" t="s">
        <v>260</v>
      </c>
      <c r="M220" s="2" t="s">
        <v>70</v>
      </c>
      <c r="N220" s="2"/>
      <c r="O220" s="2" t="s">
        <v>40</v>
      </c>
    </row>
    <row r="221" spans="1:15" x14ac:dyDescent="0.25">
      <c r="A221" s="2" t="s">
        <v>786</v>
      </c>
      <c r="B221" s="2" t="s">
        <v>787</v>
      </c>
      <c r="C221" s="2" t="s">
        <v>788</v>
      </c>
      <c r="D221" s="2" t="s">
        <v>18</v>
      </c>
      <c r="E221" s="2" t="s">
        <v>19</v>
      </c>
      <c r="F221" s="2" t="s">
        <v>130</v>
      </c>
      <c r="G221" s="2" t="s">
        <v>21</v>
      </c>
      <c r="H221" s="2" t="s">
        <v>58</v>
      </c>
      <c r="I221" s="2">
        <v>6</v>
      </c>
      <c r="J221" s="2" t="s">
        <v>789</v>
      </c>
      <c r="K221" s="2"/>
      <c r="L221" s="2" t="s">
        <v>237</v>
      </c>
      <c r="M221" s="2" t="s">
        <v>38</v>
      </c>
      <c r="N221" s="2" t="s">
        <v>39</v>
      </c>
      <c r="O221" s="2"/>
    </row>
    <row r="222" spans="1:15" x14ac:dyDescent="0.25">
      <c r="A222" s="2" t="s">
        <v>790</v>
      </c>
      <c r="B222" s="2" t="s">
        <v>791</v>
      </c>
      <c r="C222" s="2" t="s">
        <v>792</v>
      </c>
      <c r="D222" s="2" t="s">
        <v>152</v>
      </c>
      <c r="E222" s="2" t="s">
        <v>19</v>
      </c>
      <c r="F222" s="2" t="s">
        <v>77</v>
      </c>
      <c r="G222" s="2" t="s">
        <v>268</v>
      </c>
      <c r="H222" s="2" t="s">
        <v>68</v>
      </c>
      <c r="I222" s="2">
        <v>3</v>
      </c>
      <c r="J222" s="2">
        <v>402.96</v>
      </c>
      <c r="K222" s="2"/>
      <c r="L222" s="2" t="s">
        <v>102</v>
      </c>
      <c r="M222" s="2" t="s">
        <v>208</v>
      </c>
      <c r="N222" s="2" t="s">
        <v>71</v>
      </c>
      <c r="O222" s="2" t="s">
        <v>112</v>
      </c>
    </row>
    <row r="223" spans="1:15" x14ac:dyDescent="0.25">
      <c r="A223" s="2" t="s">
        <v>793</v>
      </c>
      <c r="B223" s="2" t="s">
        <v>794</v>
      </c>
      <c r="C223" s="2" t="s">
        <v>795</v>
      </c>
      <c r="D223" s="2" t="s">
        <v>55</v>
      </c>
      <c r="E223" s="2" t="s">
        <v>76</v>
      </c>
      <c r="F223" s="2" t="s">
        <v>153</v>
      </c>
      <c r="G223" s="2" t="s">
        <v>148</v>
      </c>
      <c r="H223" s="2" t="s">
        <v>68</v>
      </c>
      <c r="I223" s="2"/>
      <c r="J223" s="2" t="s">
        <v>796</v>
      </c>
      <c r="K223" s="2">
        <v>0.15</v>
      </c>
      <c r="L223" s="2" t="s">
        <v>102</v>
      </c>
      <c r="M223" s="2" t="s">
        <v>165</v>
      </c>
      <c r="N223" s="2"/>
      <c r="O223" s="2" t="s">
        <v>40</v>
      </c>
    </row>
    <row r="224" spans="1:15" x14ac:dyDescent="0.25">
      <c r="A224" s="2" t="s">
        <v>797</v>
      </c>
      <c r="B224" s="2" t="s">
        <v>798</v>
      </c>
      <c r="C224" s="2" t="s">
        <v>799</v>
      </c>
      <c r="D224" s="2" t="s">
        <v>175</v>
      </c>
      <c r="E224" s="2" t="s">
        <v>76</v>
      </c>
      <c r="F224" s="2" t="s">
        <v>189</v>
      </c>
      <c r="G224" s="2" t="s">
        <v>330</v>
      </c>
      <c r="H224" s="2" t="s">
        <v>178</v>
      </c>
      <c r="I224" s="2">
        <v>12</v>
      </c>
      <c r="J224" s="2">
        <v>118.33</v>
      </c>
      <c r="K224" s="2">
        <v>0</v>
      </c>
      <c r="L224" s="2" t="s">
        <v>102</v>
      </c>
      <c r="M224" s="2" t="s">
        <v>25</v>
      </c>
      <c r="N224" s="2" t="s">
        <v>71</v>
      </c>
      <c r="O224" s="2" t="s">
        <v>40</v>
      </c>
    </row>
    <row r="225" spans="1:15" x14ac:dyDescent="0.25">
      <c r="A225" s="2" t="s">
        <v>800</v>
      </c>
      <c r="B225" s="2" t="s">
        <v>801</v>
      </c>
      <c r="C225" s="2" t="s">
        <v>802</v>
      </c>
      <c r="D225" s="2" t="s">
        <v>334</v>
      </c>
      <c r="E225" s="2" t="s">
        <v>125</v>
      </c>
      <c r="F225" s="2" t="s">
        <v>56</v>
      </c>
      <c r="G225" s="2" t="s">
        <v>154</v>
      </c>
      <c r="H225" s="2" t="s">
        <v>35</v>
      </c>
      <c r="I225" s="2">
        <v>4</v>
      </c>
      <c r="J225" s="2">
        <v>378.86</v>
      </c>
      <c r="K225" s="2">
        <v>0.15</v>
      </c>
      <c r="L225" s="2" t="s">
        <v>132</v>
      </c>
      <c r="M225" s="2" t="s">
        <v>158</v>
      </c>
      <c r="N225" s="2" t="s">
        <v>71</v>
      </c>
      <c r="O225" s="2" t="s">
        <v>87</v>
      </c>
    </row>
    <row r="226" spans="1:15" x14ac:dyDescent="0.25">
      <c r="A226" s="2" t="s">
        <v>803</v>
      </c>
      <c r="B226" s="2" t="s">
        <v>804</v>
      </c>
      <c r="C226" s="2" t="s">
        <v>805</v>
      </c>
      <c r="D226" s="2" t="s">
        <v>116</v>
      </c>
      <c r="E226" s="2" t="s">
        <v>117</v>
      </c>
      <c r="F226" s="2" t="s">
        <v>46</v>
      </c>
      <c r="G226" s="2" t="s">
        <v>107</v>
      </c>
      <c r="H226" s="2" t="s">
        <v>195</v>
      </c>
      <c r="I226" s="2">
        <v>12</v>
      </c>
      <c r="J226" s="2">
        <v>295.52999999999997</v>
      </c>
      <c r="K226" s="2">
        <v>0.05</v>
      </c>
      <c r="L226" s="2" t="s">
        <v>59</v>
      </c>
      <c r="M226" s="2" t="s">
        <v>201</v>
      </c>
      <c r="N226" s="2" t="s">
        <v>50</v>
      </c>
      <c r="O226" s="2" t="s">
        <v>93</v>
      </c>
    </row>
    <row r="227" spans="1:15" x14ac:dyDescent="0.25">
      <c r="A227" s="2" t="s">
        <v>806</v>
      </c>
      <c r="B227" s="2" t="s">
        <v>807</v>
      </c>
      <c r="C227" s="2" t="s">
        <v>808</v>
      </c>
      <c r="D227" s="2" t="s">
        <v>75</v>
      </c>
      <c r="E227" s="2" t="s">
        <v>76</v>
      </c>
      <c r="F227" s="2" t="s">
        <v>153</v>
      </c>
      <c r="G227" s="2" t="s">
        <v>57</v>
      </c>
      <c r="H227" s="2" t="s">
        <v>48</v>
      </c>
      <c r="I227" s="2">
        <v>7</v>
      </c>
      <c r="J227" s="2">
        <v>7.71</v>
      </c>
      <c r="K227" s="2"/>
      <c r="L227" s="2" t="s">
        <v>102</v>
      </c>
      <c r="M227" s="2" t="s">
        <v>60</v>
      </c>
      <c r="N227" s="2" t="s">
        <v>26</v>
      </c>
      <c r="O227" s="2" t="s">
        <v>40</v>
      </c>
    </row>
    <row r="228" spans="1:15" x14ac:dyDescent="0.25">
      <c r="A228" s="2" t="s">
        <v>494</v>
      </c>
      <c r="B228" s="2" t="s">
        <v>495</v>
      </c>
      <c r="C228" s="2" t="s">
        <v>854</v>
      </c>
      <c r="D228" s="2" t="s">
        <v>31</v>
      </c>
      <c r="E228" s="2" t="s">
        <v>76</v>
      </c>
      <c r="F228" s="2" t="s">
        <v>136</v>
      </c>
      <c r="G228" s="2" t="s">
        <v>268</v>
      </c>
      <c r="H228" s="2" t="s">
        <v>48</v>
      </c>
      <c r="I228" s="2">
        <v>7</v>
      </c>
      <c r="J228" s="2" t="s">
        <v>497</v>
      </c>
      <c r="K228" s="2"/>
      <c r="L228" s="2" t="s">
        <v>260</v>
      </c>
      <c r="M228" s="2" t="s">
        <v>170</v>
      </c>
      <c r="N228" s="2" t="s">
        <v>26</v>
      </c>
      <c r="O228" s="2" t="s">
        <v>87</v>
      </c>
    </row>
    <row r="229" spans="1:15" x14ac:dyDescent="0.25">
      <c r="A229" s="2" t="s">
        <v>809</v>
      </c>
      <c r="B229" s="2" t="s">
        <v>810</v>
      </c>
      <c r="C229" s="2" t="s">
        <v>811</v>
      </c>
      <c r="D229" s="2" t="s">
        <v>18</v>
      </c>
      <c r="E229" s="2" t="s">
        <v>117</v>
      </c>
      <c r="F229" s="2" t="s">
        <v>20</v>
      </c>
      <c r="G229" s="2" t="s">
        <v>213</v>
      </c>
      <c r="H229" s="2" t="s">
        <v>200</v>
      </c>
      <c r="I229" s="2" t="s">
        <v>343</v>
      </c>
      <c r="J229" s="2">
        <v>270.25</v>
      </c>
      <c r="K229" s="2"/>
      <c r="L229" s="2" t="s">
        <v>24</v>
      </c>
      <c r="M229" s="2" t="s">
        <v>70</v>
      </c>
      <c r="N229" s="2" t="s">
        <v>50</v>
      </c>
      <c r="O229" s="2" t="s">
        <v>93</v>
      </c>
    </row>
    <row r="230" spans="1:15" x14ac:dyDescent="0.25">
      <c r="A230" s="2" t="s">
        <v>812</v>
      </c>
      <c r="B230" s="2" t="s">
        <v>813</v>
      </c>
      <c r="C230" s="2" t="s">
        <v>814</v>
      </c>
      <c r="D230" s="2" t="s">
        <v>44</v>
      </c>
      <c r="E230" s="2" t="s">
        <v>45</v>
      </c>
      <c r="F230" s="2" t="s">
        <v>235</v>
      </c>
      <c r="G230" s="2" t="s">
        <v>236</v>
      </c>
      <c r="H230" s="2" t="s">
        <v>22</v>
      </c>
      <c r="I230" s="2">
        <v>8</v>
      </c>
      <c r="J230" s="2" t="s">
        <v>815</v>
      </c>
      <c r="K230" s="2" t="s">
        <v>85</v>
      </c>
      <c r="L230" s="2" t="s">
        <v>132</v>
      </c>
      <c r="M230" s="2" t="s">
        <v>110</v>
      </c>
      <c r="N230" s="2" t="s">
        <v>71</v>
      </c>
      <c r="O230" s="2" t="s">
        <v>93</v>
      </c>
    </row>
    <row r="231" spans="1:15" x14ac:dyDescent="0.25">
      <c r="A231" s="2" t="s">
        <v>816</v>
      </c>
      <c r="B231" s="2" t="s">
        <v>817</v>
      </c>
      <c r="C231" s="2" t="s">
        <v>818</v>
      </c>
      <c r="D231" s="2" t="s">
        <v>175</v>
      </c>
      <c r="E231" s="2" t="s">
        <v>76</v>
      </c>
      <c r="F231" s="2" t="s">
        <v>99</v>
      </c>
      <c r="G231" s="2" t="s">
        <v>220</v>
      </c>
      <c r="H231" s="2" t="s">
        <v>58</v>
      </c>
      <c r="I231" s="2" t="s">
        <v>819</v>
      </c>
      <c r="J231" s="2">
        <v>42.13</v>
      </c>
      <c r="K231" s="2">
        <v>0.1</v>
      </c>
      <c r="L231" s="2" t="s">
        <v>79</v>
      </c>
      <c r="M231" s="2" t="s">
        <v>110</v>
      </c>
      <c r="N231" s="2" t="s">
        <v>50</v>
      </c>
      <c r="O231" s="2" t="s">
        <v>51</v>
      </c>
    </row>
    <row r="232" spans="1:15" x14ac:dyDescent="0.25">
      <c r="A232" s="2" t="s">
        <v>820</v>
      </c>
      <c r="B232" s="2" t="s">
        <v>821</v>
      </c>
      <c r="C232" s="2" t="s">
        <v>822</v>
      </c>
      <c r="D232" s="2" t="s">
        <v>212</v>
      </c>
      <c r="E232" s="2"/>
      <c r="F232" s="2" t="s">
        <v>184</v>
      </c>
      <c r="G232" s="2" t="s">
        <v>107</v>
      </c>
      <c r="H232" s="2" t="s">
        <v>68</v>
      </c>
      <c r="I232" s="2">
        <v>9</v>
      </c>
      <c r="J232" s="2">
        <v>270.19</v>
      </c>
      <c r="K232" s="2">
        <v>0.15</v>
      </c>
      <c r="L232" s="2" t="s">
        <v>237</v>
      </c>
      <c r="M232" s="2" t="s">
        <v>208</v>
      </c>
      <c r="N232" s="2" t="s">
        <v>39</v>
      </c>
      <c r="O232" s="2" t="s">
        <v>112</v>
      </c>
    </row>
    <row r="233" spans="1:15" x14ac:dyDescent="0.25">
      <c r="A233" s="2" t="s">
        <v>823</v>
      </c>
      <c r="B233" s="2" t="s">
        <v>252</v>
      </c>
      <c r="C233" s="2" t="s">
        <v>824</v>
      </c>
      <c r="D233" s="2" t="s">
        <v>194</v>
      </c>
      <c r="E233" s="2" t="s">
        <v>65</v>
      </c>
      <c r="F233" s="2" t="s">
        <v>235</v>
      </c>
      <c r="G233" s="2" t="s">
        <v>137</v>
      </c>
      <c r="H233" s="2" t="s">
        <v>22</v>
      </c>
      <c r="I233" s="2">
        <v>8</v>
      </c>
      <c r="J233" s="2">
        <v>390.17</v>
      </c>
      <c r="K233" s="2">
        <v>0.05</v>
      </c>
      <c r="L233" s="2" t="s">
        <v>24</v>
      </c>
      <c r="M233" s="2" t="s">
        <v>144</v>
      </c>
      <c r="N233" s="2" t="s">
        <v>26</v>
      </c>
      <c r="O233" s="2" t="s">
        <v>126</v>
      </c>
    </row>
    <row r="234" spans="1:15" x14ac:dyDescent="0.25">
      <c r="A234" s="2" t="s">
        <v>825</v>
      </c>
      <c r="B234" s="2" t="s">
        <v>826</v>
      </c>
      <c r="C234" s="2" t="s">
        <v>827</v>
      </c>
      <c r="D234" s="2" t="s">
        <v>258</v>
      </c>
      <c r="E234" s="2" t="s">
        <v>125</v>
      </c>
      <c r="F234" s="2" t="s">
        <v>83</v>
      </c>
      <c r="G234" s="2" t="s">
        <v>177</v>
      </c>
      <c r="H234" s="2" t="s">
        <v>108</v>
      </c>
      <c r="I234" s="2">
        <v>9</v>
      </c>
      <c r="J234" s="2">
        <v>301.98</v>
      </c>
      <c r="K234" s="2">
        <v>0.15</v>
      </c>
      <c r="L234" s="2" t="s">
        <v>180</v>
      </c>
      <c r="M234" s="2" t="s">
        <v>60</v>
      </c>
      <c r="N234" s="2"/>
      <c r="O234" s="2"/>
    </row>
    <row r="235" spans="1:15" x14ac:dyDescent="0.25">
      <c r="A235" s="2" t="s">
        <v>828</v>
      </c>
      <c r="B235" s="2" t="s">
        <v>751</v>
      </c>
      <c r="C235" s="2" t="s">
        <v>829</v>
      </c>
      <c r="D235" s="2" t="s">
        <v>212</v>
      </c>
      <c r="E235" s="2" t="s">
        <v>65</v>
      </c>
      <c r="F235" s="2" t="s">
        <v>33</v>
      </c>
      <c r="G235" s="2" t="s">
        <v>34</v>
      </c>
      <c r="H235" s="2" t="s">
        <v>48</v>
      </c>
      <c r="I235" s="2">
        <v>11</v>
      </c>
      <c r="J235" s="2">
        <v>40.68</v>
      </c>
      <c r="K235" s="2"/>
      <c r="L235" s="2" t="s">
        <v>143</v>
      </c>
      <c r="M235" s="2" t="s">
        <v>38</v>
      </c>
      <c r="N235" s="2" t="s">
        <v>39</v>
      </c>
      <c r="O235" s="2" t="s">
        <v>51</v>
      </c>
    </row>
    <row r="236" spans="1:15" x14ac:dyDescent="0.25">
      <c r="A236" s="2" t="s">
        <v>830</v>
      </c>
      <c r="B236" s="2" t="s">
        <v>831</v>
      </c>
      <c r="C236" s="2" t="s">
        <v>832</v>
      </c>
      <c r="D236" s="2" t="s">
        <v>97</v>
      </c>
      <c r="E236" s="2" t="s">
        <v>98</v>
      </c>
      <c r="F236" s="2" t="s">
        <v>130</v>
      </c>
      <c r="G236" s="2" t="s">
        <v>21</v>
      </c>
      <c r="H236" s="2" t="s">
        <v>22</v>
      </c>
      <c r="I236" s="2" t="s">
        <v>782</v>
      </c>
      <c r="J236" s="2">
        <v>47.26</v>
      </c>
      <c r="K236" s="2">
        <v>0.1</v>
      </c>
      <c r="L236" s="2" t="s">
        <v>237</v>
      </c>
      <c r="M236" s="2" t="s">
        <v>208</v>
      </c>
      <c r="N236" s="2" t="s">
        <v>26</v>
      </c>
      <c r="O236" s="2" t="s">
        <v>93</v>
      </c>
    </row>
    <row r="237" spans="1:15" x14ac:dyDescent="0.25">
      <c r="A237" s="2" t="s">
        <v>833</v>
      </c>
      <c r="B237" s="2" t="s">
        <v>834</v>
      </c>
      <c r="C237" s="2" t="s">
        <v>835</v>
      </c>
      <c r="D237" s="2" t="s">
        <v>212</v>
      </c>
      <c r="E237" s="2" t="s">
        <v>98</v>
      </c>
      <c r="F237" s="2" t="s">
        <v>66</v>
      </c>
      <c r="G237" s="2" t="s">
        <v>67</v>
      </c>
      <c r="H237" s="2" t="s">
        <v>108</v>
      </c>
      <c r="I237" s="2">
        <v>9</v>
      </c>
      <c r="J237" s="2">
        <v>45.89</v>
      </c>
      <c r="K237" s="2">
        <v>0.05</v>
      </c>
      <c r="L237" s="2" t="s">
        <v>102</v>
      </c>
      <c r="M237" s="2" t="s">
        <v>92</v>
      </c>
      <c r="N237" s="2" t="s">
        <v>71</v>
      </c>
      <c r="O237" s="2"/>
    </row>
    <row r="238" spans="1:15" x14ac:dyDescent="0.25">
      <c r="A238" s="2" t="s">
        <v>836</v>
      </c>
      <c r="B238" s="2" t="s">
        <v>428</v>
      </c>
      <c r="C238" s="2" t="s">
        <v>837</v>
      </c>
      <c r="D238" s="2" t="s">
        <v>152</v>
      </c>
      <c r="E238" s="2" t="s">
        <v>19</v>
      </c>
      <c r="F238" s="2" t="s">
        <v>136</v>
      </c>
      <c r="G238" s="2" t="s">
        <v>318</v>
      </c>
      <c r="H238" s="2" t="s">
        <v>68</v>
      </c>
      <c r="I238" s="2">
        <v>12</v>
      </c>
      <c r="J238" s="2">
        <v>151.04</v>
      </c>
      <c r="K238" s="2"/>
      <c r="L238" s="2" t="s">
        <v>79</v>
      </c>
      <c r="M238" s="2" t="s">
        <v>158</v>
      </c>
      <c r="N238" s="2" t="s">
        <v>50</v>
      </c>
      <c r="O238" s="2"/>
    </row>
    <row r="239" spans="1:15" x14ac:dyDescent="0.25">
      <c r="A239" s="2" t="s">
        <v>838</v>
      </c>
      <c r="B239" s="2" t="s">
        <v>839</v>
      </c>
      <c r="C239" s="2" t="s">
        <v>840</v>
      </c>
      <c r="D239" s="2" t="s">
        <v>334</v>
      </c>
      <c r="E239" s="2" t="s">
        <v>125</v>
      </c>
      <c r="F239" s="2" t="s">
        <v>66</v>
      </c>
      <c r="G239" s="2" t="s">
        <v>67</v>
      </c>
      <c r="H239" s="2" t="s">
        <v>58</v>
      </c>
      <c r="I239" s="2">
        <v>11</v>
      </c>
      <c r="J239" s="2">
        <v>361.68</v>
      </c>
      <c r="K239" s="2"/>
      <c r="L239" s="2" t="s">
        <v>102</v>
      </c>
      <c r="M239" s="2" t="s">
        <v>110</v>
      </c>
      <c r="N239" s="2" t="s">
        <v>39</v>
      </c>
      <c r="O239" s="2" t="s">
        <v>112</v>
      </c>
    </row>
    <row r="240" spans="1:15" x14ac:dyDescent="0.25">
      <c r="A240" s="2" t="s">
        <v>841</v>
      </c>
      <c r="B240" s="2" t="s">
        <v>842</v>
      </c>
      <c r="C240" s="2" t="s">
        <v>843</v>
      </c>
      <c r="D240" s="2" t="s">
        <v>194</v>
      </c>
      <c r="E240" s="2"/>
      <c r="F240" s="2" t="s">
        <v>20</v>
      </c>
      <c r="G240" s="2" t="s">
        <v>213</v>
      </c>
      <c r="H240" s="2" t="s">
        <v>22</v>
      </c>
      <c r="I240" s="2">
        <v>5</v>
      </c>
      <c r="J240" s="2">
        <v>15.02</v>
      </c>
      <c r="K240" s="2"/>
      <c r="L240" s="2" t="s">
        <v>260</v>
      </c>
      <c r="M240" s="2" t="s">
        <v>38</v>
      </c>
      <c r="N240" s="2"/>
      <c r="O240" s="2" t="s">
        <v>40</v>
      </c>
    </row>
    <row r="241" spans="1:15" x14ac:dyDescent="0.25">
      <c r="A241" s="2" t="s">
        <v>381</v>
      </c>
      <c r="B241" s="2" t="s">
        <v>95</v>
      </c>
      <c r="C241" s="2" t="s">
        <v>844</v>
      </c>
      <c r="D241" s="2" t="s">
        <v>18</v>
      </c>
      <c r="E241" s="2" t="s">
        <v>19</v>
      </c>
      <c r="F241" s="2" t="s">
        <v>46</v>
      </c>
      <c r="G241" s="2" t="s">
        <v>47</v>
      </c>
      <c r="H241" s="2" t="s">
        <v>22</v>
      </c>
      <c r="I241" s="2">
        <v>8</v>
      </c>
      <c r="J241" s="2">
        <v>258.02999999999997</v>
      </c>
      <c r="K241" s="2">
        <v>0.05</v>
      </c>
      <c r="L241" s="2" t="s">
        <v>132</v>
      </c>
      <c r="M241" s="2" t="s">
        <v>60</v>
      </c>
      <c r="N241" s="2" t="s">
        <v>71</v>
      </c>
      <c r="O241" s="2"/>
    </row>
    <row r="242" spans="1:15" x14ac:dyDescent="0.25">
      <c r="A242" s="2" t="s">
        <v>845</v>
      </c>
      <c r="B242" s="2" t="s">
        <v>846</v>
      </c>
      <c r="C242" s="2" t="s">
        <v>847</v>
      </c>
      <c r="D242" s="2" t="s">
        <v>55</v>
      </c>
      <c r="E242" s="2" t="s">
        <v>199</v>
      </c>
      <c r="F242" s="2" t="s">
        <v>106</v>
      </c>
      <c r="G242" s="2" t="s">
        <v>323</v>
      </c>
      <c r="H242" s="2" t="s">
        <v>68</v>
      </c>
      <c r="I242" s="2">
        <v>3</v>
      </c>
      <c r="J242" s="2">
        <v>327.5</v>
      </c>
      <c r="K242" s="2"/>
      <c r="L242" s="2" t="s">
        <v>79</v>
      </c>
      <c r="M242" s="2" t="s">
        <v>165</v>
      </c>
      <c r="N242" s="2"/>
      <c r="O242" s="2" t="s">
        <v>87</v>
      </c>
    </row>
    <row r="243" spans="1:15" x14ac:dyDescent="0.25">
      <c r="A243" s="2" t="s">
        <v>848</v>
      </c>
      <c r="B243" s="2" t="s">
        <v>699</v>
      </c>
      <c r="C243" s="2" t="s">
        <v>849</v>
      </c>
      <c r="D243" s="2" t="s">
        <v>97</v>
      </c>
      <c r="E243" s="2" t="s">
        <v>65</v>
      </c>
      <c r="F243" s="2" t="s">
        <v>33</v>
      </c>
      <c r="G243" s="2" t="s">
        <v>34</v>
      </c>
      <c r="H243" s="2" t="s">
        <v>178</v>
      </c>
      <c r="I243" s="2" t="s">
        <v>360</v>
      </c>
      <c r="J243" s="2" t="s">
        <v>850</v>
      </c>
      <c r="K243" s="2">
        <v>0.05</v>
      </c>
      <c r="L243" s="2" t="s">
        <v>132</v>
      </c>
      <c r="M243" s="2" t="s">
        <v>60</v>
      </c>
      <c r="N243" s="2"/>
      <c r="O243" s="2" t="s">
        <v>87</v>
      </c>
    </row>
    <row r="244" spans="1:15" x14ac:dyDescent="0.25">
      <c r="A244" s="2" t="s">
        <v>851</v>
      </c>
      <c r="B244" s="2" t="s">
        <v>852</v>
      </c>
      <c r="C244" s="2" t="s">
        <v>853</v>
      </c>
      <c r="D244" s="2" t="s">
        <v>18</v>
      </c>
      <c r="E244" s="2" t="s">
        <v>19</v>
      </c>
      <c r="F244" s="2" t="s">
        <v>91</v>
      </c>
      <c r="G244" s="2" t="s">
        <v>164</v>
      </c>
      <c r="H244" s="2" t="s">
        <v>48</v>
      </c>
      <c r="I244" s="2">
        <v>7</v>
      </c>
      <c r="J244" s="2">
        <v>279.39</v>
      </c>
      <c r="K244" s="2">
        <v>0.15</v>
      </c>
      <c r="L244" s="2" t="s">
        <v>237</v>
      </c>
      <c r="M244" s="2" t="s">
        <v>110</v>
      </c>
      <c r="N244" s="2"/>
      <c r="O244" s="2" t="s">
        <v>87</v>
      </c>
    </row>
    <row r="245" spans="1:15" x14ac:dyDescent="0.25">
      <c r="A245" s="2" t="s">
        <v>593</v>
      </c>
      <c r="B245" s="2" t="s">
        <v>594</v>
      </c>
      <c r="C245" s="2" t="s">
        <v>595</v>
      </c>
      <c r="D245" s="2" t="s">
        <v>258</v>
      </c>
      <c r="E245" s="2" t="s">
        <v>45</v>
      </c>
      <c r="F245" s="2" t="s">
        <v>77</v>
      </c>
      <c r="G245" s="2" t="s">
        <v>236</v>
      </c>
      <c r="H245" s="2" t="s">
        <v>108</v>
      </c>
      <c r="I245" s="2">
        <v>11</v>
      </c>
      <c r="J245" s="2" t="s">
        <v>596</v>
      </c>
      <c r="K245" s="2">
        <v>0.05</v>
      </c>
      <c r="L245" s="2" t="s">
        <v>79</v>
      </c>
      <c r="M245" s="2" t="s">
        <v>201</v>
      </c>
      <c r="N245" s="2" t="s">
        <v>39</v>
      </c>
      <c r="O245" s="2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E7DF-FB04-4EAB-9431-FCEDD1237FB3}">
  <dimension ref="A1:S239"/>
  <sheetViews>
    <sheetView tabSelected="1" topLeftCell="L226" workbookViewId="0">
      <selection activeCell="S243" sqref="S243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7.28515625" bestFit="1" customWidth="1"/>
    <col min="4" max="4" width="9.42578125" bestFit="1" customWidth="1"/>
    <col min="5" max="5" width="10.5703125" bestFit="1" customWidth="1"/>
    <col min="6" max="6" width="11.140625" bestFit="1" customWidth="1"/>
    <col min="7" max="7" width="17.7109375" bestFit="1" customWidth="1"/>
    <col min="8" max="8" width="10.5703125" bestFit="1" customWidth="1"/>
    <col min="9" max="9" width="11" bestFit="1" customWidth="1"/>
    <col min="10" max="10" width="11.5703125" bestFit="1" customWidth="1"/>
    <col min="11" max="11" width="11" bestFit="1" customWidth="1"/>
    <col min="12" max="12" width="18.42578125" bestFit="1" customWidth="1"/>
    <col min="13" max="13" width="13.85546875" bestFit="1" customWidth="1"/>
    <col min="14" max="14" width="12.42578125" bestFit="1" customWidth="1"/>
    <col min="15" max="15" width="27.85546875" bestFit="1" customWidth="1"/>
    <col min="16" max="16" width="18.5703125" bestFit="1" customWidth="1"/>
    <col min="17" max="17" width="16.5703125" bestFit="1" customWidth="1"/>
    <col min="18" max="18" width="11.140625" bestFit="1" customWidth="1"/>
    <col min="19" max="19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859</v>
      </c>
      <c r="Q1" t="s">
        <v>855</v>
      </c>
      <c r="R1" t="s">
        <v>860</v>
      </c>
      <c r="S1" t="s">
        <v>1004</v>
      </c>
    </row>
    <row r="2" spans="1:19" x14ac:dyDescent="0.25">
      <c r="A2" s="11" t="s">
        <v>15</v>
      </c>
      <c r="B2" s="3">
        <v>45474</v>
      </c>
      <c r="C2" s="11" t="s">
        <v>861</v>
      </c>
      <c r="D2" s="11" t="s">
        <v>162</v>
      </c>
      <c r="E2" s="11" t="s">
        <v>19</v>
      </c>
      <c r="F2" s="11" t="s">
        <v>298</v>
      </c>
      <c r="G2" s="11" t="s">
        <v>21</v>
      </c>
      <c r="H2" s="11" t="s">
        <v>195</v>
      </c>
      <c r="I2">
        <v>12</v>
      </c>
      <c r="J2">
        <v>369.04</v>
      </c>
      <c r="K2">
        <v>0</v>
      </c>
      <c r="L2" s="11" t="s">
        <v>143</v>
      </c>
      <c r="M2" s="11" t="s">
        <v>86</v>
      </c>
      <c r="N2" s="11" t="s">
        <v>26</v>
      </c>
      <c r="O2" s="11" t="s">
        <v>862</v>
      </c>
      <c r="P2" s="3">
        <v>45474</v>
      </c>
      <c r="Q2">
        <v>9000</v>
      </c>
      <c r="R2">
        <v>4428.4800000000005</v>
      </c>
      <c r="S2">
        <v>0.4920533333333334</v>
      </c>
    </row>
    <row r="3" spans="1:19" x14ac:dyDescent="0.25">
      <c r="A3" s="11" t="s">
        <v>28</v>
      </c>
      <c r="B3" s="3">
        <v>45502</v>
      </c>
      <c r="C3" s="11" t="s">
        <v>863</v>
      </c>
      <c r="D3" s="11" t="s">
        <v>188</v>
      </c>
      <c r="E3" s="11" t="s">
        <v>32</v>
      </c>
      <c r="F3" s="11" t="s">
        <v>106</v>
      </c>
      <c r="G3" s="11" t="s">
        <v>34</v>
      </c>
      <c r="H3" s="11" t="s">
        <v>195</v>
      </c>
      <c r="I3">
        <v>3</v>
      </c>
      <c r="J3">
        <v>416.52</v>
      </c>
      <c r="K3">
        <v>0.05</v>
      </c>
      <c r="L3" s="11" t="s">
        <v>37</v>
      </c>
      <c r="M3" s="11" t="s">
        <v>92</v>
      </c>
      <c r="N3" s="11" t="s">
        <v>39</v>
      </c>
      <c r="O3" s="11" t="s">
        <v>40</v>
      </c>
      <c r="P3" s="3">
        <v>45502</v>
      </c>
      <c r="Q3">
        <v>15000</v>
      </c>
      <c r="R3">
        <v>1249.56</v>
      </c>
      <c r="S3">
        <v>8.3304000000000003E-2</v>
      </c>
    </row>
    <row r="4" spans="1:19" x14ac:dyDescent="0.25">
      <c r="A4" s="11" t="s">
        <v>52</v>
      </c>
      <c r="B4" s="3">
        <v>45637</v>
      </c>
      <c r="C4" s="11" t="s">
        <v>54</v>
      </c>
      <c r="D4" s="11" t="s">
        <v>188</v>
      </c>
      <c r="E4" s="11" t="s">
        <v>32</v>
      </c>
      <c r="F4" s="11" t="s">
        <v>153</v>
      </c>
      <c r="G4" s="11" t="s">
        <v>57</v>
      </c>
      <c r="H4" s="11" t="s">
        <v>68</v>
      </c>
      <c r="I4">
        <v>1</v>
      </c>
      <c r="J4">
        <v>151.09</v>
      </c>
      <c r="K4">
        <v>0</v>
      </c>
      <c r="L4" s="11" t="s">
        <v>139</v>
      </c>
      <c r="M4" s="11" t="s">
        <v>86</v>
      </c>
      <c r="N4" s="11" t="s">
        <v>26</v>
      </c>
      <c r="O4" s="11" t="s">
        <v>40</v>
      </c>
      <c r="P4" s="3">
        <v>45637</v>
      </c>
      <c r="Q4">
        <v>15000</v>
      </c>
      <c r="R4">
        <v>151.09</v>
      </c>
      <c r="S4">
        <v>1.0072666666666667E-2</v>
      </c>
    </row>
    <row r="5" spans="1:19" x14ac:dyDescent="0.25">
      <c r="A5" s="11" t="s">
        <v>41</v>
      </c>
      <c r="B5" s="3">
        <v>45523</v>
      </c>
      <c r="C5" s="11" t="s">
        <v>864</v>
      </c>
      <c r="D5" s="11" t="s">
        <v>44</v>
      </c>
      <c r="E5" s="11" t="s">
        <v>45</v>
      </c>
      <c r="F5" s="11" t="s">
        <v>106</v>
      </c>
      <c r="G5" s="11" t="s">
        <v>47</v>
      </c>
      <c r="H5" s="11" t="s">
        <v>195</v>
      </c>
      <c r="I5">
        <v>5</v>
      </c>
      <c r="J5">
        <v>304.69</v>
      </c>
      <c r="K5">
        <v>0.2</v>
      </c>
      <c r="L5" s="11" t="s">
        <v>37</v>
      </c>
      <c r="M5" s="11" t="s">
        <v>86</v>
      </c>
      <c r="N5" s="11" t="s">
        <v>50</v>
      </c>
      <c r="O5" s="11" t="s">
        <v>865</v>
      </c>
      <c r="P5" s="3">
        <v>45523</v>
      </c>
      <c r="Q5">
        <v>12000</v>
      </c>
      <c r="R5">
        <v>1523.45</v>
      </c>
      <c r="S5">
        <v>0.12695416666666667</v>
      </c>
    </row>
    <row r="6" spans="1:19" x14ac:dyDescent="0.25">
      <c r="A6" s="11" t="s">
        <v>61</v>
      </c>
      <c r="B6" s="3">
        <v>45526</v>
      </c>
      <c r="C6" s="11" t="s">
        <v>866</v>
      </c>
      <c r="D6" s="11" t="s">
        <v>97</v>
      </c>
      <c r="E6" s="11" t="s">
        <v>65</v>
      </c>
      <c r="F6" s="11" t="s">
        <v>153</v>
      </c>
      <c r="G6" s="11" t="s">
        <v>67</v>
      </c>
      <c r="H6" s="11" t="s">
        <v>68</v>
      </c>
      <c r="I6">
        <v>3</v>
      </c>
      <c r="J6">
        <v>51.05</v>
      </c>
      <c r="K6">
        <v>0.2</v>
      </c>
      <c r="L6" s="11" t="s">
        <v>139</v>
      </c>
      <c r="M6" s="11" t="s">
        <v>70</v>
      </c>
      <c r="N6" s="11" t="s">
        <v>71</v>
      </c>
      <c r="O6" s="11" t="s">
        <v>862</v>
      </c>
      <c r="P6" s="3">
        <v>45526</v>
      </c>
      <c r="Q6">
        <v>10000</v>
      </c>
      <c r="R6">
        <v>153.14999999999998</v>
      </c>
      <c r="S6">
        <v>1.5314999999999997E-2</v>
      </c>
    </row>
    <row r="7" spans="1:19" x14ac:dyDescent="0.25">
      <c r="A7" s="11" t="s">
        <v>72</v>
      </c>
      <c r="B7" s="3">
        <v>45508</v>
      </c>
      <c r="C7" s="11" t="s">
        <v>867</v>
      </c>
      <c r="D7" s="11" t="s">
        <v>188</v>
      </c>
      <c r="E7" s="11" t="s">
        <v>76</v>
      </c>
      <c r="F7" s="11" t="s">
        <v>77</v>
      </c>
      <c r="G7" s="11" t="s">
        <v>78</v>
      </c>
      <c r="H7" s="11" t="s">
        <v>195</v>
      </c>
      <c r="I7">
        <v>11</v>
      </c>
      <c r="J7">
        <v>363.02</v>
      </c>
      <c r="K7">
        <v>0.05</v>
      </c>
      <c r="L7" s="11" t="s">
        <v>102</v>
      </c>
      <c r="M7" s="11" t="s">
        <v>86</v>
      </c>
      <c r="N7" s="11" t="s">
        <v>39</v>
      </c>
      <c r="O7" s="11" t="s">
        <v>862</v>
      </c>
      <c r="P7" s="3">
        <v>45508</v>
      </c>
      <c r="Q7">
        <v>15000</v>
      </c>
      <c r="R7">
        <v>3993.22</v>
      </c>
      <c r="S7">
        <v>0.26621466666666666</v>
      </c>
    </row>
    <row r="8" spans="1:19" x14ac:dyDescent="0.25">
      <c r="A8" s="11" t="s">
        <v>80</v>
      </c>
      <c r="B8" s="3">
        <v>45476</v>
      </c>
      <c r="C8" s="11" t="s">
        <v>868</v>
      </c>
      <c r="D8" s="11" t="s">
        <v>44</v>
      </c>
      <c r="E8" s="11" t="s">
        <v>45</v>
      </c>
      <c r="F8" s="11" t="s">
        <v>99</v>
      </c>
      <c r="G8" s="11" t="s">
        <v>84</v>
      </c>
      <c r="H8" s="11" t="s">
        <v>195</v>
      </c>
      <c r="I8">
        <v>10</v>
      </c>
      <c r="J8">
        <v>286.63</v>
      </c>
      <c r="K8">
        <v>0.1</v>
      </c>
      <c r="L8" s="11" t="s">
        <v>102</v>
      </c>
      <c r="M8" s="11" t="s">
        <v>86</v>
      </c>
      <c r="N8" s="11"/>
      <c r="O8" s="11" t="s">
        <v>87</v>
      </c>
      <c r="P8" s="3">
        <v>45476</v>
      </c>
      <c r="Q8">
        <v>12000</v>
      </c>
      <c r="R8">
        <v>2866.3</v>
      </c>
      <c r="S8">
        <v>0.23885833333333334</v>
      </c>
    </row>
    <row r="9" spans="1:19" x14ac:dyDescent="0.25">
      <c r="A9" s="11" t="s">
        <v>88</v>
      </c>
      <c r="B9" s="3">
        <v>45459</v>
      </c>
      <c r="C9" s="11" t="s">
        <v>869</v>
      </c>
      <c r="D9" s="11" t="s">
        <v>162</v>
      </c>
      <c r="E9" s="11" t="s">
        <v>19</v>
      </c>
      <c r="F9" s="11" t="s">
        <v>99</v>
      </c>
      <c r="G9" s="11" t="s">
        <v>84</v>
      </c>
      <c r="H9" s="11" t="s">
        <v>68</v>
      </c>
      <c r="I9">
        <v>4</v>
      </c>
      <c r="J9">
        <v>490.8</v>
      </c>
      <c r="K9">
        <v>0</v>
      </c>
      <c r="L9" s="11" t="s">
        <v>139</v>
      </c>
      <c r="M9" s="11" t="s">
        <v>92</v>
      </c>
      <c r="N9" s="11" t="s">
        <v>71</v>
      </c>
      <c r="O9" s="11" t="s">
        <v>93</v>
      </c>
      <c r="P9" s="3">
        <v>45459</v>
      </c>
      <c r="Q9">
        <v>9000</v>
      </c>
      <c r="R9">
        <v>1963.2</v>
      </c>
      <c r="S9">
        <v>0.21813333333333335</v>
      </c>
    </row>
    <row r="10" spans="1:19" x14ac:dyDescent="0.25">
      <c r="A10" s="11" t="s">
        <v>94</v>
      </c>
      <c r="B10" s="3">
        <v>45555</v>
      </c>
      <c r="C10" s="11" t="s">
        <v>870</v>
      </c>
      <c r="D10" s="11" t="s">
        <v>97</v>
      </c>
      <c r="E10" s="11" t="s">
        <v>98</v>
      </c>
      <c r="F10" s="11" t="s">
        <v>99</v>
      </c>
      <c r="G10" s="11" t="s">
        <v>100</v>
      </c>
      <c r="H10" s="11" t="s">
        <v>195</v>
      </c>
      <c r="I10">
        <v>11</v>
      </c>
      <c r="J10">
        <v>231.27</v>
      </c>
      <c r="K10">
        <v>0.2</v>
      </c>
      <c r="L10" s="11" t="s">
        <v>102</v>
      </c>
      <c r="M10" s="11" t="s">
        <v>86</v>
      </c>
      <c r="N10" s="11"/>
      <c r="O10" s="11" t="s">
        <v>40</v>
      </c>
      <c r="P10" s="3">
        <v>45555</v>
      </c>
      <c r="Q10">
        <v>10000</v>
      </c>
      <c r="R10">
        <v>2543.9700000000003</v>
      </c>
      <c r="S10">
        <v>0.25439700000000004</v>
      </c>
    </row>
    <row r="11" spans="1:19" x14ac:dyDescent="0.25">
      <c r="A11" s="11" t="s">
        <v>103</v>
      </c>
      <c r="B11" s="3">
        <v>45411</v>
      </c>
      <c r="C11" s="11" t="s">
        <v>105</v>
      </c>
      <c r="D11" s="11" t="s">
        <v>188</v>
      </c>
      <c r="E11" s="11" t="s">
        <v>76</v>
      </c>
      <c r="F11" s="11" t="s">
        <v>106</v>
      </c>
      <c r="G11" s="11" t="s">
        <v>107</v>
      </c>
      <c r="H11" s="11" t="s">
        <v>195</v>
      </c>
      <c r="I11">
        <v>4</v>
      </c>
      <c r="J11">
        <v>394.55</v>
      </c>
      <c r="K11">
        <v>0.2</v>
      </c>
      <c r="L11" s="11" t="s">
        <v>143</v>
      </c>
      <c r="M11" s="11" t="s">
        <v>201</v>
      </c>
      <c r="N11" s="11" t="s">
        <v>111</v>
      </c>
      <c r="O11" s="11" t="s">
        <v>871</v>
      </c>
      <c r="P11" s="3">
        <v>45411</v>
      </c>
      <c r="Q11">
        <v>15000</v>
      </c>
      <c r="R11">
        <v>1578.2</v>
      </c>
      <c r="S11">
        <v>0.10521333333333334</v>
      </c>
    </row>
    <row r="12" spans="1:19" x14ac:dyDescent="0.25">
      <c r="A12" s="11" t="s">
        <v>113</v>
      </c>
      <c r="B12" s="3">
        <v>45332</v>
      </c>
      <c r="C12" s="11" t="s">
        <v>872</v>
      </c>
      <c r="D12" s="11" t="s">
        <v>162</v>
      </c>
      <c r="E12" s="11" t="s">
        <v>117</v>
      </c>
      <c r="F12" s="11" t="s">
        <v>298</v>
      </c>
      <c r="G12" s="11" t="s">
        <v>119</v>
      </c>
      <c r="H12" s="11" t="s">
        <v>68</v>
      </c>
      <c r="I12">
        <v>3</v>
      </c>
      <c r="J12">
        <v>66.89</v>
      </c>
      <c r="K12">
        <v>0</v>
      </c>
      <c r="L12" s="11" t="s">
        <v>37</v>
      </c>
      <c r="M12" s="11" t="s">
        <v>70</v>
      </c>
      <c r="N12" s="11"/>
      <c r="O12" s="11" t="s">
        <v>871</v>
      </c>
      <c r="P12" s="3">
        <v>45332</v>
      </c>
      <c r="Q12">
        <v>9000</v>
      </c>
      <c r="R12">
        <v>200.67000000000002</v>
      </c>
      <c r="S12">
        <v>2.2296666666666669E-2</v>
      </c>
    </row>
    <row r="13" spans="1:19" x14ac:dyDescent="0.25">
      <c r="A13" s="11" t="s">
        <v>121</v>
      </c>
      <c r="B13" s="3">
        <v>45569</v>
      </c>
      <c r="C13" s="11" t="s">
        <v>873</v>
      </c>
      <c r="D13" s="11" t="s">
        <v>44</v>
      </c>
      <c r="E13" s="11" t="s">
        <v>125</v>
      </c>
      <c r="F13" s="11" t="s">
        <v>153</v>
      </c>
      <c r="G13" s="11" t="s">
        <v>57</v>
      </c>
      <c r="H13" s="11" t="s">
        <v>195</v>
      </c>
      <c r="I13">
        <v>4</v>
      </c>
      <c r="J13">
        <v>275.55</v>
      </c>
      <c r="K13">
        <v>0</v>
      </c>
      <c r="L13" s="11" t="s">
        <v>139</v>
      </c>
      <c r="M13" s="11" t="s">
        <v>86</v>
      </c>
      <c r="N13" s="11" t="s">
        <v>111</v>
      </c>
      <c r="O13" s="11" t="s">
        <v>126</v>
      </c>
      <c r="P13" s="3">
        <v>45569</v>
      </c>
      <c r="Q13">
        <v>12000</v>
      </c>
      <c r="R13">
        <v>1102.2</v>
      </c>
      <c r="S13">
        <v>9.1850000000000001E-2</v>
      </c>
    </row>
    <row r="14" spans="1:19" x14ac:dyDescent="0.25">
      <c r="A14" s="11" t="s">
        <v>127</v>
      </c>
      <c r="B14" s="3">
        <v>45587</v>
      </c>
      <c r="C14" s="11" t="s">
        <v>874</v>
      </c>
      <c r="D14" s="11" t="s">
        <v>97</v>
      </c>
      <c r="E14" s="11" t="s">
        <v>98</v>
      </c>
      <c r="F14" s="11" t="s">
        <v>298</v>
      </c>
      <c r="G14" s="11" t="s">
        <v>131</v>
      </c>
      <c r="H14" s="11" t="s">
        <v>195</v>
      </c>
      <c r="I14">
        <v>9</v>
      </c>
      <c r="K14">
        <v>0</v>
      </c>
      <c r="L14" s="11" t="s">
        <v>102</v>
      </c>
      <c r="M14" s="11" t="s">
        <v>201</v>
      </c>
      <c r="N14" s="11" t="s">
        <v>111</v>
      </c>
      <c r="O14" s="11" t="s">
        <v>93</v>
      </c>
      <c r="P14" s="3">
        <v>45587</v>
      </c>
      <c r="Q14">
        <v>10000</v>
      </c>
    </row>
    <row r="15" spans="1:19" x14ac:dyDescent="0.25">
      <c r="A15" s="11" t="s">
        <v>133</v>
      </c>
      <c r="B15" s="3">
        <v>45405</v>
      </c>
      <c r="C15" s="11" t="s">
        <v>135</v>
      </c>
      <c r="D15" s="11" t="s">
        <v>97</v>
      </c>
      <c r="E15" s="11" t="s">
        <v>65</v>
      </c>
      <c r="F15" s="11" t="s">
        <v>77</v>
      </c>
      <c r="G15" s="11" t="s">
        <v>137</v>
      </c>
      <c r="H15" s="11" t="s">
        <v>195</v>
      </c>
      <c r="I15">
        <v>7</v>
      </c>
      <c r="J15">
        <v>22.48</v>
      </c>
      <c r="K15">
        <v>0.05</v>
      </c>
      <c r="L15" s="11" t="s">
        <v>139</v>
      </c>
      <c r="M15" s="11" t="s">
        <v>70</v>
      </c>
      <c r="N15" s="11"/>
      <c r="O15" s="11" t="s">
        <v>87</v>
      </c>
      <c r="P15" s="3">
        <v>45405</v>
      </c>
      <c r="Q15">
        <v>10000</v>
      </c>
      <c r="R15">
        <v>157.36000000000001</v>
      </c>
      <c r="S15">
        <v>1.5736E-2</v>
      </c>
    </row>
    <row r="16" spans="1:19" x14ac:dyDescent="0.25">
      <c r="A16" s="11" t="s">
        <v>140</v>
      </c>
      <c r="B16" s="3">
        <v>45625</v>
      </c>
      <c r="C16" s="11" t="s">
        <v>875</v>
      </c>
      <c r="D16" s="11" t="s">
        <v>97</v>
      </c>
      <c r="E16" s="11"/>
      <c r="F16" s="11" t="s">
        <v>106</v>
      </c>
      <c r="G16" s="11" t="s">
        <v>47</v>
      </c>
      <c r="H16" s="11" t="s">
        <v>195</v>
      </c>
      <c r="I16">
        <v>8</v>
      </c>
      <c r="J16">
        <v>379.18</v>
      </c>
      <c r="K16">
        <v>0</v>
      </c>
      <c r="L16" s="11" t="s">
        <v>143</v>
      </c>
      <c r="M16" s="11" t="s">
        <v>70</v>
      </c>
      <c r="N16" s="11" t="s">
        <v>39</v>
      </c>
      <c r="O16" s="11" t="s">
        <v>40</v>
      </c>
      <c r="P16" s="3">
        <v>45625</v>
      </c>
      <c r="Q16">
        <v>10000</v>
      </c>
      <c r="R16">
        <v>3033.44</v>
      </c>
      <c r="S16">
        <v>0.303344</v>
      </c>
    </row>
    <row r="17" spans="1:19" x14ac:dyDescent="0.25">
      <c r="A17" s="11" t="s">
        <v>145</v>
      </c>
      <c r="B17" s="3">
        <v>45549</v>
      </c>
      <c r="C17" s="11" t="s">
        <v>863</v>
      </c>
      <c r="D17" s="11" t="s">
        <v>97</v>
      </c>
      <c r="E17" s="11" t="s">
        <v>65</v>
      </c>
      <c r="F17" s="11" t="s">
        <v>153</v>
      </c>
      <c r="G17" s="11" t="s">
        <v>148</v>
      </c>
      <c r="H17" s="11" t="s">
        <v>195</v>
      </c>
      <c r="I17">
        <v>1</v>
      </c>
      <c r="J17">
        <v>239.12</v>
      </c>
      <c r="K17">
        <v>0.05</v>
      </c>
      <c r="L17" s="11" t="s">
        <v>139</v>
      </c>
      <c r="M17" s="11" t="s">
        <v>86</v>
      </c>
      <c r="N17" s="11" t="s">
        <v>111</v>
      </c>
      <c r="O17" s="11"/>
      <c r="P17" s="3">
        <v>45549</v>
      </c>
      <c r="Q17">
        <v>10000</v>
      </c>
      <c r="R17">
        <v>239.12</v>
      </c>
      <c r="S17">
        <v>2.3911999999999999E-2</v>
      </c>
    </row>
    <row r="18" spans="1:19" x14ac:dyDescent="0.25">
      <c r="A18" s="11" t="s">
        <v>149</v>
      </c>
      <c r="B18" s="3">
        <v>45582</v>
      </c>
      <c r="C18" s="11" t="s">
        <v>876</v>
      </c>
      <c r="D18" s="11" t="s">
        <v>162</v>
      </c>
      <c r="E18" s="11" t="s">
        <v>19</v>
      </c>
      <c r="F18" s="11" t="s">
        <v>153</v>
      </c>
      <c r="G18" s="11" t="s">
        <v>154</v>
      </c>
      <c r="H18" s="11" t="s">
        <v>195</v>
      </c>
      <c r="J18">
        <v>464.9</v>
      </c>
      <c r="K18">
        <v>0.1</v>
      </c>
      <c r="L18" s="11" t="s">
        <v>143</v>
      </c>
      <c r="M18" s="11" t="s">
        <v>86</v>
      </c>
      <c r="N18" s="11" t="s">
        <v>111</v>
      </c>
      <c r="O18" s="11" t="s">
        <v>862</v>
      </c>
      <c r="P18" s="3">
        <v>45582</v>
      </c>
      <c r="Q18">
        <v>9000</v>
      </c>
    </row>
    <row r="19" spans="1:19" x14ac:dyDescent="0.25">
      <c r="A19" s="11" t="s">
        <v>155</v>
      </c>
      <c r="B19" s="3">
        <v>45445</v>
      </c>
      <c r="C19" s="11" t="s">
        <v>877</v>
      </c>
      <c r="D19" s="11" t="s">
        <v>162</v>
      </c>
      <c r="E19" s="11" t="s">
        <v>117</v>
      </c>
      <c r="F19" s="11" t="s">
        <v>153</v>
      </c>
      <c r="G19" s="11" t="s">
        <v>57</v>
      </c>
      <c r="H19" s="11" t="s">
        <v>68</v>
      </c>
      <c r="I19">
        <v>8</v>
      </c>
      <c r="J19">
        <v>353.25</v>
      </c>
      <c r="K19">
        <v>0.2</v>
      </c>
      <c r="L19" s="11" t="s">
        <v>143</v>
      </c>
      <c r="M19" s="11" t="s">
        <v>201</v>
      </c>
      <c r="N19" s="11" t="s">
        <v>26</v>
      </c>
      <c r="O19" s="11" t="s">
        <v>871</v>
      </c>
      <c r="P19" s="3">
        <v>45445</v>
      </c>
      <c r="Q19">
        <v>9000</v>
      </c>
      <c r="R19">
        <v>2826</v>
      </c>
      <c r="S19">
        <v>0.314</v>
      </c>
    </row>
    <row r="20" spans="1:19" x14ac:dyDescent="0.25">
      <c r="A20" s="11" t="s">
        <v>159</v>
      </c>
      <c r="B20" s="3">
        <v>45387</v>
      </c>
      <c r="C20" s="11" t="s">
        <v>878</v>
      </c>
      <c r="D20" s="11" t="s">
        <v>162</v>
      </c>
      <c r="E20" s="11" t="s">
        <v>19</v>
      </c>
      <c r="F20" s="11" t="s">
        <v>99</v>
      </c>
      <c r="G20" s="11" t="s">
        <v>164</v>
      </c>
      <c r="H20" s="11" t="s">
        <v>195</v>
      </c>
      <c r="J20">
        <v>140.30000000000001</v>
      </c>
      <c r="K20">
        <v>0.1</v>
      </c>
      <c r="L20" s="11" t="s">
        <v>102</v>
      </c>
      <c r="M20" s="11" t="s">
        <v>92</v>
      </c>
      <c r="N20" s="11" t="s">
        <v>50</v>
      </c>
      <c r="O20" s="11" t="s">
        <v>865</v>
      </c>
      <c r="P20" s="3">
        <v>45387</v>
      </c>
      <c r="Q20">
        <v>9000</v>
      </c>
    </row>
    <row r="21" spans="1:19" x14ac:dyDescent="0.25">
      <c r="A21" s="11" t="s">
        <v>166</v>
      </c>
      <c r="B21" s="3">
        <v>45592</v>
      </c>
      <c r="C21" s="11" t="s">
        <v>879</v>
      </c>
      <c r="D21" s="11" t="s">
        <v>162</v>
      </c>
      <c r="E21" s="11" t="s">
        <v>117</v>
      </c>
      <c r="F21" s="11" t="s">
        <v>99</v>
      </c>
      <c r="G21" s="11" t="s">
        <v>164</v>
      </c>
      <c r="H21" s="11" t="s">
        <v>68</v>
      </c>
      <c r="I21">
        <v>5</v>
      </c>
      <c r="J21">
        <v>44.12</v>
      </c>
      <c r="K21">
        <v>0.05</v>
      </c>
      <c r="L21" s="11" t="s">
        <v>102</v>
      </c>
      <c r="M21" s="11" t="s">
        <v>92</v>
      </c>
      <c r="N21" s="11" t="s">
        <v>50</v>
      </c>
      <c r="O21" s="11" t="s">
        <v>880</v>
      </c>
      <c r="P21" s="3">
        <v>45592</v>
      </c>
      <c r="Q21">
        <v>9000</v>
      </c>
      <c r="R21">
        <v>220.6</v>
      </c>
      <c r="S21">
        <v>2.4511111111111112E-2</v>
      </c>
    </row>
    <row r="22" spans="1:19" x14ac:dyDescent="0.25">
      <c r="A22" s="11" t="s">
        <v>172</v>
      </c>
      <c r="B22" s="3">
        <v>45636</v>
      </c>
      <c r="C22" s="11" t="s">
        <v>174</v>
      </c>
      <c r="D22" s="11" t="s">
        <v>188</v>
      </c>
      <c r="E22" s="11" t="s">
        <v>32</v>
      </c>
      <c r="F22" s="11" t="s">
        <v>99</v>
      </c>
      <c r="G22" s="11" t="s">
        <v>177</v>
      </c>
      <c r="H22" s="11" t="s">
        <v>68</v>
      </c>
      <c r="I22">
        <v>10</v>
      </c>
      <c r="J22">
        <v>31.54</v>
      </c>
      <c r="K22">
        <v>0.1</v>
      </c>
      <c r="L22" s="11" t="s">
        <v>143</v>
      </c>
      <c r="M22" s="11" t="s">
        <v>86</v>
      </c>
      <c r="N22" s="11" t="s">
        <v>39</v>
      </c>
      <c r="O22" s="11" t="s">
        <v>40</v>
      </c>
      <c r="P22" s="3">
        <v>45636</v>
      </c>
      <c r="Q22">
        <v>15000</v>
      </c>
      <c r="R22">
        <v>315.39999999999998</v>
      </c>
      <c r="S22">
        <v>2.1026666666666666E-2</v>
      </c>
    </row>
    <row r="23" spans="1:19" x14ac:dyDescent="0.25">
      <c r="A23" s="11" t="s">
        <v>181</v>
      </c>
      <c r="B23" s="3">
        <v>45364</v>
      </c>
      <c r="C23" s="11" t="s">
        <v>183</v>
      </c>
      <c r="D23" s="11" t="s">
        <v>44</v>
      </c>
      <c r="E23" s="11"/>
      <c r="F23" s="11" t="s">
        <v>106</v>
      </c>
      <c r="G23" s="11" t="s">
        <v>34</v>
      </c>
      <c r="H23" s="11" t="s">
        <v>195</v>
      </c>
      <c r="I23">
        <v>2</v>
      </c>
      <c r="J23">
        <v>375.41</v>
      </c>
      <c r="K23">
        <v>0</v>
      </c>
      <c r="L23" s="11" t="s">
        <v>139</v>
      </c>
      <c r="M23" s="11" t="s">
        <v>201</v>
      </c>
      <c r="N23" s="11" t="s">
        <v>26</v>
      </c>
      <c r="O23" s="11" t="s">
        <v>871</v>
      </c>
      <c r="P23" s="3">
        <v>45364</v>
      </c>
      <c r="Q23">
        <v>12000</v>
      </c>
      <c r="R23">
        <v>750.82</v>
      </c>
      <c r="S23">
        <v>6.2568333333333337E-2</v>
      </c>
    </row>
    <row r="24" spans="1:19" x14ac:dyDescent="0.25">
      <c r="A24" s="11" t="s">
        <v>185</v>
      </c>
      <c r="B24" s="3">
        <v>45416</v>
      </c>
      <c r="C24" s="11" t="s">
        <v>187</v>
      </c>
      <c r="D24" s="11" t="s">
        <v>188</v>
      </c>
      <c r="E24" s="11" t="s">
        <v>32</v>
      </c>
      <c r="F24" s="11" t="s">
        <v>153</v>
      </c>
      <c r="G24" s="11" t="s">
        <v>154</v>
      </c>
      <c r="H24" s="11" t="s">
        <v>68</v>
      </c>
      <c r="I24">
        <v>9</v>
      </c>
      <c r="J24">
        <v>282.13</v>
      </c>
      <c r="K24">
        <v>0</v>
      </c>
      <c r="L24" s="11" t="s">
        <v>139</v>
      </c>
      <c r="M24" s="11" t="s">
        <v>201</v>
      </c>
      <c r="N24" s="11" t="s">
        <v>111</v>
      </c>
      <c r="O24" s="11" t="s">
        <v>865</v>
      </c>
      <c r="P24" s="3">
        <v>45416</v>
      </c>
      <c r="Q24">
        <v>15000</v>
      </c>
      <c r="R24">
        <v>2539.17</v>
      </c>
      <c r="S24">
        <v>0.16927800000000001</v>
      </c>
    </row>
    <row r="25" spans="1:19" x14ac:dyDescent="0.25">
      <c r="A25" s="11" t="s">
        <v>191</v>
      </c>
      <c r="B25" s="3">
        <v>45405</v>
      </c>
      <c r="C25" s="11" t="s">
        <v>881</v>
      </c>
      <c r="D25" s="11" t="s">
        <v>97</v>
      </c>
      <c r="E25" s="11" t="s">
        <v>98</v>
      </c>
      <c r="F25" s="11" t="s">
        <v>298</v>
      </c>
      <c r="G25" s="11" t="s">
        <v>21</v>
      </c>
      <c r="H25" s="11" t="s">
        <v>195</v>
      </c>
      <c r="I25">
        <v>12</v>
      </c>
      <c r="K25">
        <v>0</v>
      </c>
      <c r="L25" s="11" t="s">
        <v>102</v>
      </c>
      <c r="M25" s="11" t="s">
        <v>70</v>
      </c>
      <c r="N25" s="11" t="s">
        <v>111</v>
      </c>
      <c r="O25" s="11" t="s">
        <v>40</v>
      </c>
      <c r="P25" s="3">
        <v>45405</v>
      </c>
      <c r="Q25">
        <v>10000</v>
      </c>
    </row>
    <row r="26" spans="1:19" x14ac:dyDescent="0.25">
      <c r="A26" s="11" t="s">
        <v>196</v>
      </c>
      <c r="B26" s="3">
        <v>45638</v>
      </c>
      <c r="C26" s="11" t="s">
        <v>198</v>
      </c>
      <c r="D26" s="11" t="s">
        <v>188</v>
      </c>
      <c r="E26" s="11" t="s">
        <v>199</v>
      </c>
      <c r="F26" s="11" t="s">
        <v>106</v>
      </c>
      <c r="G26" s="11" t="s">
        <v>34</v>
      </c>
      <c r="H26" s="11" t="s">
        <v>68</v>
      </c>
      <c r="I26">
        <v>8</v>
      </c>
      <c r="J26">
        <v>200.43</v>
      </c>
      <c r="K26">
        <v>0</v>
      </c>
      <c r="L26" s="11" t="s">
        <v>102</v>
      </c>
      <c r="M26" s="11" t="s">
        <v>201</v>
      </c>
      <c r="N26" s="11" t="s">
        <v>26</v>
      </c>
      <c r="O26" s="11" t="s">
        <v>871</v>
      </c>
      <c r="P26" s="3">
        <v>45638</v>
      </c>
      <c r="Q26">
        <v>15000</v>
      </c>
      <c r="R26">
        <v>1603.44</v>
      </c>
      <c r="S26">
        <v>0.106896</v>
      </c>
    </row>
    <row r="27" spans="1:19" x14ac:dyDescent="0.25">
      <c r="A27" s="11" t="s">
        <v>202</v>
      </c>
      <c r="B27" s="3">
        <v>45379</v>
      </c>
      <c r="C27" s="11" t="s">
        <v>204</v>
      </c>
      <c r="D27" s="11" t="s">
        <v>44</v>
      </c>
      <c r="E27" s="11" t="s">
        <v>45</v>
      </c>
      <c r="F27" s="11" t="s">
        <v>153</v>
      </c>
      <c r="G27" s="11" t="s">
        <v>154</v>
      </c>
      <c r="H27" s="11" t="s">
        <v>68</v>
      </c>
      <c r="I27">
        <v>12</v>
      </c>
      <c r="J27">
        <v>411.55</v>
      </c>
      <c r="K27">
        <v>0</v>
      </c>
      <c r="L27" s="11" t="s">
        <v>102</v>
      </c>
      <c r="M27" s="11" t="s">
        <v>92</v>
      </c>
      <c r="N27" s="11" t="s">
        <v>50</v>
      </c>
      <c r="O27" s="11" t="s">
        <v>865</v>
      </c>
      <c r="P27" s="3">
        <v>45379</v>
      </c>
      <c r="Q27">
        <v>12000</v>
      </c>
      <c r="R27">
        <v>4938.6000000000004</v>
      </c>
      <c r="S27">
        <v>0.41155000000000003</v>
      </c>
    </row>
    <row r="28" spans="1:19" x14ac:dyDescent="0.25">
      <c r="A28" s="11" t="s">
        <v>205</v>
      </c>
      <c r="B28" s="3">
        <v>45452</v>
      </c>
      <c r="C28" s="11" t="s">
        <v>207</v>
      </c>
      <c r="D28" s="11" t="s">
        <v>162</v>
      </c>
      <c r="E28" s="11" t="s">
        <v>19</v>
      </c>
      <c r="F28" s="11" t="s">
        <v>77</v>
      </c>
      <c r="G28" s="11" t="s">
        <v>78</v>
      </c>
      <c r="H28" s="11" t="s">
        <v>195</v>
      </c>
      <c r="I28">
        <v>12</v>
      </c>
      <c r="J28">
        <v>284.95</v>
      </c>
      <c r="K28">
        <v>0</v>
      </c>
      <c r="L28" s="11" t="s">
        <v>139</v>
      </c>
      <c r="M28" s="11" t="s">
        <v>86</v>
      </c>
      <c r="N28" s="11" t="s">
        <v>39</v>
      </c>
      <c r="O28" s="11" t="s">
        <v>40</v>
      </c>
      <c r="P28" s="3">
        <v>45452</v>
      </c>
      <c r="Q28">
        <v>9000</v>
      </c>
      <c r="R28">
        <v>3419.3999999999996</v>
      </c>
      <c r="S28">
        <v>0.37993333333333329</v>
      </c>
    </row>
    <row r="29" spans="1:19" x14ac:dyDescent="0.25">
      <c r="A29" s="11" t="s">
        <v>209</v>
      </c>
      <c r="B29" s="3">
        <v>45478</v>
      </c>
      <c r="C29" s="11" t="s">
        <v>882</v>
      </c>
      <c r="D29" s="11" t="s">
        <v>97</v>
      </c>
      <c r="E29" s="11" t="s">
        <v>65</v>
      </c>
      <c r="F29" s="11" t="s">
        <v>298</v>
      </c>
      <c r="G29" s="11" t="s">
        <v>213</v>
      </c>
      <c r="H29" s="11" t="s">
        <v>195</v>
      </c>
      <c r="I29">
        <v>10</v>
      </c>
      <c r="J29">
        <v>140.9</v>
      </c>
      <c r="K29">
        <v>0</v>
      </c>
      <c r="L29" s="11" t="s">
        <v>102</v>
      </c>
      <c r="M29" s="11" t="s">
        <v>201</v>
      </c>
      <c r="N29" s="11" t="s">
        <v>50</v>
      </c>
      <c r="O29" s="11" t="s">
        <v>871</v>
      </c>
      <c r="P29" s="3">
        <v>45478</v>
      </c>
      <c r="Q29">
        <v>10000</v>
      </c>
      <c r="R29">
        <v>1409</v>
      </c>
      <c r="S29">
        <v>0.1409</v>
      </c>
    </row>
    <row r="30" spans="1:19" x14ac:dyDescent="0.25">
      <c r="A30" s="11" t="s">
        <v>214</v>
      </c>
      <c r="B30" s="3">
        <v>45524</v>
      </c>
      <c r="C30" s="11" t="s">
        <v>216</v>
      </c>
      <c r="D30" s="11" t="s">
        <v>188</v>
      </c>
      <c r="E30" s="11" t="s">
        <v>32</v>
      </c>
      <c r="F30" s="11" t="s">
        <v>298</v>
      </c>
      <c r="G30" s="11" t="s">
        <v>213</v>
      </c>
      <c r="H30" s="11" t="s">
        <v>68</v>
      </c>
      <c r="I30">
        <v>1</v>
      </c>
      <c r="J30">
        <v>155.66</v>
      </c>
      <c r="K30">
        <v>0</v>
      </c>
      <c r="L30" s="11" t="s">
        <v>102</v>
      </c>
      <c r="M30" s="11" t="s">
        <v>86</v>
      </c>
      <c r="N30" s="11" t="s">
        <v>50</v>
      </c>
      <c r="O30" s="11" t="s">
        <v>93</v>
      </c>
      <c r="P30" s="3">
        <v>45524</v>
      </c>
      <c r="Q30">
        <v>15000</v>
      </c>
      <c r="R30">
        <v>155.66</v>
      </c>
      <c r="S30">
        <v>1.0377333333333334E-2</v>
      </c>
    </row>
    <row r="31" spans="1:19" x14ac:dyDescent="0.25">
      <c r="A31" s="11" t="s">
        <v>217</v>
      </c>
      <c r="B31" s="3">
        <v>45563</v>
      </c>
      <c r="C31" s="11" t="s">
        <v>883</v>
      </c>
      <c r="D31" s="11" t="s">
        <v>188</v>
      </c>
      <c r="E31" s="11" t="s">
        <v>32</v>
      </c>
      <c r="F31" s="11" t="s">
        <v>99</v>
      </c>
      <c r="G31" s="11" t="s">
        <v>220</v>
      </c>
      <c r="H31" s="11" t="s">
        <v>195</v>
      </c>
      <c r="I31">
        <v>5</v>
      </c>
      <c r="J31">
        <v>387.86</v>
      </c>
      <c r="K31">
        <v>0</v>
      </c>
      <c r="L31" s="11" t="s">
        <v>102</v>
      </c>
      <c r="M31" s="11" t="s">
        <v>86</v>
      </c>
      <c r="N31" s="11" t="s">
        <v>39</v>
      </c>
      <c r="O31" s="11" t="s">
        <v>126</v>
      </c>
      <c r="P31" s="3">
        <v>45563</v>
      </c>
      <c r="Q31">
        <v>15000</v>
      </c>
      <c r="R31">
        <v>1939.3000000000002</v>
      </c>
      <c r="S31">
        <v>0.12928666666666669</v>
      </c>
    </row>
    <row r="32" spans="1:19" x14ac:dyDescent="0.25">
      <c r="A32" s="11" t="s">
        <v>221</v>
      </c>
      <c r="B32" s="3">
        <v>45505</v>
      </c>
      <c r="C32" s="11" t="s">
        <v>223</v>
      </c>
      <c r="D32" s="11" t="s">
        <v>44</v>
      </c>
      <c r="E32" s="11" t="s">
        <v>45</v>
      </c>
      <c r="F32" s="11" t="s">
        <v>106</v>
      </c>
      <c r="G32" s="11" t="s">
        <v>34</v>
      </c>
      <c r="H32" s="11" t="s">
        <v>68</v>
      </c>
      <c r="I32">
        <v>1</v>
      </c>
      <c r="J32">
        <v>474.53</v>
      </c>
      <c r="K32">
        <v>0</v>
      </c>
      <c r="L32" s="11" t="s">
        <v>143</v>
      </c>
      <c r="M32" s="11" t="s">
        <v>70</v>
      </c>
      <c r="N32" s="11" t="s">
        <v>26</v>
      </c>
      <c r="O32" s="11" t="s">
        <v>126</v>
      </c>
      <c r="P32" s="3">
        <v>45505</v>
      </c>
      <c r="Q32">
        <v>12000</v>
      </c>
      <c r="R32">
        <v>474.53</v>
      </c>
      <c r="S32">
        <v>3.9544166666666665E-2</v>
      </c>
    </row>
    <row r="33" spans="1:19" x14ac:dyDescent="0.25">
      <c r="A33" s="11" t="s">
        <v>226</v>
      </c>
      <c r="B33" s="3">
        <v>45596</v>
      </c>
      <c r="C33" s="11" t="s">
        <v>884</v>
      </c>
      <c r="D33" s="11" t="s">
        <v>162</v>
      </c>
      <c r="E33" s="11" t="s">
        <v>117</v>
      </c>
      <c r="F33" s="11" t="s">
        <v>106</v>
      </c>
      <c r="G33" s="11" t="s">
        <v>47</v>
      </c>
      <c r="H33" s="11" t="s">
        <v>195</v>
      </c>
      <c r="J33">
        <v>449.47</v>
      </c>
      <c r="K33">
        <v>0</v>
      </c>
      <c r="L33" s="11" t="s">
        <v>143</v>
      </c>
      <c r="M33" s="11" t="s">
        <v>92</v>
      </c>
      <c r="N33" s="11"/>
      <c r="O33" s="11" t="s">
        <v>93</v>
      </c>
      <c r="P33" s="3">
        <v>45596</v>
      </c>
      <c r="Q33">
        <v>9000</v>
      </c>
    </row>
    <row r="34" spans="1:19" x14ac:dyDescent="0.25">
      <c r="A34" s="11" t="s">
        <v>229</v>
      </c>
      <c r="B34" s="3">
        <v>45520</v>
      </c>
      <c r="C34" s="11" t="s">
        <v>682</v>
      </c>
      <c r="D34" s="11" t="s">
        <v>162</v>
      </c>
      <c r="E34" s="11" t="s">
        <v>19</v>
      </c>
      <c r="F34" s="11" t="s">
        <v>298</v>
      </c>
      <c r="G34" s="11" t="s">
        <v>131</v>
      </c>
      <c r="H34" s="11" t="s">
        <v>68</v>
      </c>
      <c r="I34">
        <v>10</v>
      </c>
      <c r="J34">
        <v>498.33</v>
      </c>
      <c r="K34">
        <v>0</v>
      </c>
      <c r="L34" s="11" t="s">
        <v>143</v>
      </c>
      <c r="M34" s="11" t="s">
        <v>201</v>
      </c>
      <c r="N34" s="11" t="s">
        <v>71</v>
      </c>
      <c r="O34" s="11" t="s">
        <v>40</v>
      </c>
      <c r="P34" s="3">
        <v>45520</v>
      </c>
      <c r="Q34">
        <v>9000</v>
      </c>
      <c r="R34">
        <v>4983.3</v>
      </c>
      <c r="S34">
        <v>0.55369999999999997</v>
      </c>
    </row>
    <row r="35" spans="1:19" x14ac:dyDescent="0.25">
      <c r="A35" s="11" t="s">
        <v>232</v>
      </c>
      <c r="B35" s="3">
        <v>45465</v>
      </c>
      <c r="C35" s="11" t="s">
        <v>885</v>
      </c>
      <c r="D35" s="11" t="s">
        <v>162</v>
      </c>
      <c r="E35" s="11" t="s">
        <v>19</v>
      </c>
      <c r="F35" s="11" t="s">
        <v>77</v>
      </c>
      <c r="G35" s="11" t="s">
        <v>236</v>
      </c>
      <c r="H35" s="11" t="s">
        <v>68</v>
      </c>
      <c r="I35">
        <v>5</v>
      </c>
      <c r="J35">
        <v>97.83</v>
      </c>
      <c r="K35">
        <v>0.15</v>
      </c>
      <c r="L35" s="11" t="s">
        <v>37</v>
      </c>
      <c r="M35" s="11" t="s">
        <v>86</v>
      </c>
      <c r="N35" s="11"/>
      <c r="O35" s="11" t="s">
        <v>865</v>
      </c>
      <c r="P35" s="3">
        <v>45465</v>
      </c>
      <c r="Q35">
        <v>9000</v>
      </c>
      <c r="R35">
        <v>489.15</v>
      </c>
      <c r="S35">
        <v>5.4349999999999996E-2</v>
      </c>
    </row>
    <row r="36" spans="1:19" x14ac:dyDescent="0.25">
      <c r="A36" s="11" t="s">
        <v>238</v>
      </c>
      <c r="B36" s="3">
        <v>45450</v>
      </c>
      <c r="C36" s="11" t="s">
        <v>886</v>
      </c>
      <c r="D36" s="11" t="s">
        <v>97</v>
      </c>
      <c r="E36" s="11" t="s">
        <v>65</v>
      </c>
      <c r="F36" s="11" t="s">
        <v>298</v>
      </c>
      <c r="G36" s="11" t="s">
        <v>119</v>
      </c>
      <c r="H36" s="11" t="s">
        <v>68</v>
      </c>
      <c r="I36">
        <v>10</v>
      </c>
      <c r="J36">
        <v>227.71</v>
      </c>
      <c r="K36">
        <v>0</v>
      </c>
      <c r="L36" s="11" t="s">
        <v>102</v>
      </c>
      <c r="M36" s="11" t="s">
        <v>86</v>
      </c>
      <c r="N36" s="11" t="s">
        <v>26</v>
      </c>
      <c r="O36" s="11"/>
      <c r="P36" s="3">
        <v>45450</v>
      </c>
      <c r="Q36">
        <v>10000</v>
      </c>
      <c r="R36">
        <v>2277.1</v>
      </c>
      <c r="S36">
        <v>0.22771</v>
      </c>
    </row>
    <row r="37" spans="1:19" x14ac:dyDescent="0.25">
      <c r="A37" s="11" t="s">
        <v>242</v>
      </c>
      <c r="B37" s="3">
        <v>45418</v>
      </c>
      <c r="C37" s="11" t="s">
        <v>887</v>
      </c>
      <c r="D37" s="11" t="s">
        <v>162</v>
      </c>
      <c r="E37" s="11" t="s">
        <v>117</v>
      </c>
      <c r="F37" s="11" t="s">
        <v>153</v>
      </c>
      <c r="G37" s="11" t="s">
        <v>154</v>
      </c>
      <c r="H37" s="11" t="s">
        <v>195</v>
      </c>
      <c r="I37">
        <v>9</v>
      </c>
      <c r="J37">
        <v>387.13</v>
      </c>
      <c r="K37">
        <v>0.1</v>
      </c>
      <c r="L37" s="11" t="s">
        <v>102</v>
      </c>
      <c r="M37" s="11" t="s">
        <v>92</v>
      </c>
      <c r="N37" s="11" t="s">
        <v>111</v>
      </c>
      <c r="O37" s="11" t="s">
        <v>93</v>
      </c>
      <c r="P37" s="3">
        <v>45418</v>
      </c>
      <c r="Q37">
        <v>9000</v>
      </c>
      <c r="R37">
        <v>3484.17</v>
      </c>
      <c r="S37">
        <v>0.38713000000000003</v>
      </c>
    </row>
    <row r="38" spans="1:19" x14ac:dyDescent="0.25">
      <c r="A38" s="11" t="s">
        <v>245</v>
      </c>
      <c r="B38" s="3">
        <v>45376</v>
      </c>
      <c r="C38" s="11" t="s">
        <v>888</v>
      </c>
      <c r="D38" s="11" t="s">
        <v>97</v>
      </c>
      <c r="E38" s="11" t="s">
        <v>65</v>
      </c>
      <c r="F38" s="11" t="s">
        <v>77</v>
      </c>
      <c r="G38" s="11" t="s">
        <v>78</v>
      </c>
      <c r="H38" s="11" t="s">
        <v>195</v>
      </c>
      <c r="I38">
        <v>6</v>
      </c>
      <c r="J38">
        <v>175.79</v>
      </c>
      <c r="K38">
        <v>0</v>
      </c>
      <c r="L38" s="11" t="s">
        <v>102</v>
      </c>
      <c r="M38" s="11" t="s">
        <v>86</v>
      </c>
      <c r="N38" s="11" t="s">
        <v>50</v>
      </c>
      <c r="O38" s="11" t="s">
        <v>862</v>
      </c>
      <c r="P38" s="3">
        <v>45376</v>
      </c>
      <c r="Q38">
        <v>10000</v>
      </c>
      <c r="R38">
        <v>1054.74</v>
      </c>
      <c r="S38">
        <v>0.105474</v>
      </c>
    </row>
    <row r="39" spans="1:19" x14ac:dyDescent="0.25">
      <c r="A39" s="11" t="s">
        <v>248</v>
      </c>
      <c r="B39" s="3">
        <v>45627</v>
      </c>
      <c r="C39" s="11" t="s">
        <v>889</v>
      </c>
      <c r="D39" s="11" t="s">
        <v>162</v>
      </c>
      <c r="E39" s="11" t="s">
        <v>117</v>
      </c>
      <c r="F39" s="11" t="s">
        <v>298</v>
      </c>
      <c r="G39" s="11" t="s">
        <v>213</v>
      </c>
      <c r="H39" s="11" t="s">
        <v>195</v>
      </c>
      <c r="I39">
        <v>6</v>
      </c>
      <c r="J39">
        <v>490.05</v>
      </c>
      <c r="K39">
        <v>0</v>
      </c>
      <c r="L39" s="11" t="s">
        <v>102</v>
      </c>
      <c r="M39" s="11" t="s">
        <v>92</v>
      </c>
      <c r="N39" s="11" t="s">
        <v>71</v>
      </c>
      <c r="O39" s="11" t="s">
        <v>40</v>
      </c>
      <c r="P39" s="3">
        <v>45627</v>
      </c>
      <c r="Q39">
        <v>9000</v>
      </c>
      <c r="R39">
        <v>2940.3</v>
      </c>
      <c r="S39">
        <v>0.32670000000000005</v>
      </c>
    </row>
    <row r="40" spans="1:19" x14ac:dyDescent="0.25">
      <c r="A40" s="11" t="s">
        <v>251</v>
      </c>
      <c r="B40" s="3">
        <v>45362</v>
      </c>
      <c r="C40" s="11" t="s">
        <v>890</v>
      </c>
      <c r="D40" s="11" t="s">
        <v>162</v>
      </c>
      <c r="E40" s="11" t="s">
        <v>19</v>
      </c>
      <c r="F40" s="11" t="s">
        <v>99</v>
      </c>
      <c r="G40" s="11" t="s">
        <v>164</v>
      </c>
      <c r="H40" s="11" t="s">
        <v>195</v>
      </c>
      <c r="I40">
        <v>9</v>
      </c>
      <c r="J40">
        <v>27.48</v>
      </c>
      <c r="K40">
        <v>0</v>
      </c>
      <c r="L40" s="11" t="s">
        <v>143</v>
      </c>
      <c r="M40" s="11" t="s">
        <v>92</v>
      </c>
      <c r="N40" s="11" t="s">
        <v>111</v>
      </c>
      <c r="O40" s="11" t="s">
        <v>880</v>
      </c>
      <c r="P40" s="3">
        <v>45362</v>
      </c>
      <c r="Q40">
        <v>9000</v>
      </c>
      <c r="R40">
        <v>247.32</v>
      </c>
      <c r="S40">
        <v>2.7480000000000001E-2</v>
      </c>
    </row>
    <row r="41" spans="1:19" x14ac:dyDescent="0.25">
      <c r="A41" s="11" t="s">
        <v>255</v>
      </c>
      <c r="B41" s="3">
        <v>45321</v>
      </c>
      <c r="C41" s="11" t="s">
        <v>257</v>
      </c>
      <c r="D41" s="11" t="s">
        <v>44</v>
      </c>
      <c r="E41" s="11" t="s">
        <v>125</v>
      </c>
      <c r="F41" s="11" t="s">
        <v>298</v>
      </c>
      <c r="G41" s="11" t="s">
        <v>131</v>
      </c>
      <c r="H41" s="11" t="s">
        <v>68</v>
      </c>
      <c r="J41">
        <v>195.24</v>
      </c>
      <c r="K41">
        <v>0.2</v>
      </c>
      <c r="L41" s="11" t="s">
        <v>143</v>
      </c>
      <c r="M41" s="11" t="s">
        <v>70</v>
      </c>
      <c r="N41" s="11" t="s">
        <v>26</v>
      </c>
      <c r="O41" s="11" t="s">
        <v>87</v>
      </c>
      <c r="P41" s="3">
        <v>45321</v>
      </c>
      <c r="Q41">
        <v>12000</v>
      </c>
    </row>
    <row r="42" spans="1:19" x14ac:dyDescent="0.25">
      <c r="A42" s="11" t="s">
        <v>261</v>
      </c>
      <c r="B42" s="3">
        <v>45567</v>
      </c>
      <c r="C42" s="11" t="s">
        <v>891</v>
      </c>
      <c r="D42" s="11" t="s">
        <v>97</v>
      </c>
      <c r="E42" s="11" t="s">
        <v>65</v>
      </c>
      <c r="F42" s="11" t="s">
        <v>298</v>
      </c>
      <c r="G42" s="11" t="s">
        <v>264</v>
      </c>
      <c r="H42" s="11" t="s">
        <v>195</v>
      </c>
      <c r="I42">
        <v>12</v>
      </c>
      <c r="J42">
        <v>48.62</v>
      </c>
      <c r="K42">
        <v>0</v>
      </c>
      <c r="L42" s="11" t="s">
        <v>102</v>
      </c>
      <c r="M42" s="11" t="s">
        <v>92</v>
      </c>
      <c r="N42" s="11" t="s">
        <v>26</v>
      </c>
      <c r="O42" s="11" t="s">
        <v>880</v>
      </c>
      <c r="P42" s="3">
        <v>45567</v>
      </c>
      <c r="Q42">
        <v>10000</v>
      </c>
      <c r="R42">
        <v>583.43999999999994</v>
      </c>
      <c r="S42">
        <v>5.8343999999999993E-2</v>
      </c>
    </row>
    <row r="43" spans="1:19" x14ac:dyDescent="0.25">
      <c r="A43" s="11" t="s">
        <v>265</v>
      </c>
      <c r="B43" s="3">
        <v>45332</v>
      </c>
      <c r="C43" s="11" t="s">
        <v>892</v>
      </c>
      <c r="D43" s="11" t="s">
        <v>162</v>
      </c>
      <c r="E43" s="11"/>
      <c r="F43" s="11" t="s">
        <v>77</v>
      </c>
      <c r="G43" s="11" t="s">
        <v>268</v>
      </c>
      <c r="H43" s="11" t="s">
        <v>195</v>
      </c>
      <c r="I43">
        <v>6</v>
      </c>
      <c r="J43">
        <v>415.21</v>
      </c>
      <c r="K43">
        <v>0.2</v>
      </c>
      <c r="L43" s="11" t="s">
        <v>102</v>
      </c>
      <c r="M43" s="11" t="s">
        <v>92</v>
      </c>
      <c r="N43" s="11" t="s">
        <v>26</v>
      </c>
      <c r="O43" s="11" t="s">
        <v>87</v>
      </c>
      <c r="P43" s="3">
        <v>45332</v>
      </c>
      <c r="Q43">
        <v>9000</v>
      </c>
      <c r="R43">
        <v>2491.2599999999998</v>
      </c>
      <c r="S43">
        <v>0.27680666666666665</v>
      </c>
    </row>
    <row r="44" spans="1:19" x14ac:dyDescent="0.25">
      <c r="A44" s="11" t="s">
        <v>269</v>
      </c>
      <c r="B44" s="3">
        <v>45455</v>
      </c>
      <c r="C44" s="11" t="s">
        <v>893</v>
      </c>
      <c r="D44" s="11" t="s">
        <v>162</v>
      </c>
      <c r="E44" s="11" t="s">
        <v>19</v>
      </c>
      <c r="F44" s="11" t="s">
        <v>77</v>
      </c>
      <c r="G44" s="11" t="s">
        <v>236</v>
      </c>
      <c r="H44" s="11" t="s">
        <v>68</v>
      </c>
      <c r="J44">
        <v>222.6</v>
      </c>
      <c r="K44">
        <v>0</v>
      </c>
      <c r="L44" s="11" t="s">
        <v>102</v>
      </c>
      <c r="M44" s="11" t="s">
        <v>86</v>
      </c>
      <c r="N44" s="11" t="s">
        <v>71</v>
      </c>
      <c r="O44" s="11" t="s">
        <v>865</v>
      </c>
      <c r="P44" s="3">
        <v>45455</v>
      </c>
      <c r="Q44">
        <v>9000</v>
      </c>
    </row>
    <row r="45" spans="1:19" x14ac:dyDescent="0.25">
      <c r="A45" s="11" t="s">
        <v>272</v>
      </c>
      <c r="B45" s="3">
        <v>45527</v>
      </c>
      <c r="C45" s="11" t="s">
        <v>894</v>
      </c>
      <c r="D45" s="11" t="s">
        <v>188</v>
      </c>
      <c r="E45" s="11" t="s">
        <v>76</v>
      </c>
      <c r="F45" s="11" t="s">
        <v>153</v>
      </c>
      <c r="G45" s="11" t="s">
        <v>154</v>
      </c>
      <c r="H45" s="11" t="s">
        <v>68</v>
      </c>
      <c r="I45">
        <v>4</v>
      </c>
      <c r="J45">
        <v>403.52</v>
      </c>
      <c r="K45">
        <v>0.1</v>
      </c>
      <c r="L45" s="11" t="s">
        <v>139</v>
      </c>
      <c r="M45" s="11" t="s">
        <v>92</v>
      </c>
      <c r="N45" s="11" t="s">
        <v>71</v>
      </c>
      <c r="O45" s="11" t="s">
        <v>40</v>
      </c>
      <c r="P45" s="3">
        <v>45527</v>
      </c>
      <c r="Q45">
        <v>15000</v>
      </c>
      <c r="R45">
        <v>1614.08</v>
      </c>
      <c r="S45">
        <v>0.10760533333333333</v>
      </c>
    </row>
    <row r="46" spans="1:19" x14ac:dyDescent="0.25">
      <c r="A46" s="11" t="s">
        <v>275</v>
      </c>
      <c r="B46" s="3">
        <v>45533</v>
      </c>
      <c r="C46" s="11" t="s">
        <v>277</v>
      </c>
      <c r="D46" s="11" t="s">
        <v>44</v>
      </c>
      <c r="E46" s="11" t="s">
        <v>125</v>
      </c>
      <c r="F46" s="11" t="s">
        <v>77</v>
      </c>
      <c r="G46" s="11" t="s">
        <v>137</v>
      </c>
      <c r="H46" s="11" t="s">
        <v>195</v>
      </c>
      <c r="I46">
        <v>2</v>
      </c>
      <c r="J46">
        <v>338.05</v>
      </c>
      <c r="K46">
        <v>0.1</v>
      </c>
      <c r="L46" s="11" t="s">
        <v>143</v>
      </c>
      <c r="M46" s="11" t="s">
        <v>201</v>
      </c>
      <c r="N46" s="11" t="s">
        <v>111</v>
      </c>
      <c r="O46" s="11" t="s">
        <v>93</v>
      </c>
      <c r="P46" s="3">
        <v>45533</v>
      </c>
      <c r="Q46">
        <v>12000</v>
      </c>
      <c r="R46">
        <v>676.1</v>
      </c>
      <c r="S46">
        <v>5.6341666666666672E-2</v>
      </c>
    </row>
    <row r="47" spans="1:19" x14ac:dyDescent="0.25">
      <c r="A47" s="11" t="s">
        <v>278</v>
      </c>
      <c r="B47" s="3">
        <v>45352</v>
      </c>
      <c r="C47" s="11" t="s">
        <v>280</v>
      </c>
      <c r="D47" s="11" t="s">
        <v>97</v>
      </c>
      <c r="E47" s="11" t="s">
        <v>98</v>
      </c>
      <c r="F47" s="11" t="s">
        <v>153</v>
      </c>
      <c r="G47" s="11" t="s">
        <v>57</v>
      </c>
      <c r="H47" s="11" t="s">
        <v>195</v>
      </c>
      <c r="I47">
        <v>8</v>
      </c>
      <c r="J47">
        <v>453.85</v>
      </c>
      <c r="K47">
        <v>0.2</v>
      </c>
      <c r="L47" s="11" t="s">
        <v>143</v>
      </c>
      <c r="M47" s="11" t="s">
        <v>201</v>
      </c>
      <c r="N47" s="11" t="s">
        <v>71</v>
      </c>
      <c r="O47" s="11" t="s">
        <v>93</v>
      </c>
      <c r="P47" s="3">
        <v>45352</v>
      </c>
      <c r="Q47">
        <v>10000</v>
      </c>
      <c r="R47">
        <v>3630.8</v>
      </c>
      <c r="S47">
        <v>0.36308000000000001</v>
      </c>
    </row>
    <row r="48" spans="1:19" x14ac:dyDescent="0.25">
      <c r="A48" s="11" t="s">
        <v>282</v>
      </c>
      <c r="B48" s="3">
        <v>45586</v>
      </c>
      <c r="C48" s="11" t="s">
        <v>284</v>
      </c>
      <c r="D48" s="11" t="s">
        <v>188</v>
      </c>
      <c r="E48" s="11" t="s">
        <v>76</v>
      </c>
      <c r="F48" s="11" t="s">
        <v>99</v>
      </c>
      <c r="G48" s="11" t="s">
        <v>84</v>
      </c>
      <c r="H48" s="11" t="s">
        <v>195</v>
      </c>
      <c r="I48">
        <v>8</v>
      </c>
      <c r="J48">
        <v>112.55</v>
      </c>
      <c r="K48">
        <v>0</v>
      </c>
      <c r="L48" s="11" t="s">
        <v>102</v>
      </c>
      <c r="M48" s="11" t="s">
        <v>92</v>
      </c>
      <c r="N48" s="11" t="s">
        <v>111</v>
      </c>
      <c r="O48" s="11"/>
      <c r="P48" s="3">
        <v>45586</v>
      </c>
      <c r="Q48">
        <v>15000</v>
      </c>
      <c r="R48">
        <v>900.4</v>
      </c>
      <c r="S48">
        <v>6.0026666666666666E-2</v>
      </c>
    </row>
    <row r="49" spans="1:19" x14ac:dyDescent="0.25">
      <c r="A49" s="11" t="s">
        <v>286</v>
      </c>
      <c r="B49" s="3">
        <v>45393</v>
      </c>
      <c r="C49" s="11" t="s">
        <v>288</v>
      </c>
      <c r="D49" s="11" t="s">
        <v>162</v>
      </c>
      <c r="E49" s="11" t="s">
        <v>19</v>
      </c>
      <c r="F49" s="11" t="s">
        <v>99</v>
      </c>
      <c r="G49" s="11" t="s">
        <v>164</v>
      </c>
      <c r="H49" s="11" t="s">
        <v>68</v>
      </c>
      <c r="I49">
        <v>6</v>
      </c>
      <c r="J49">
        <v>479.32</v>
      </c>
      <c r="K49">
        <v>0</v>
      </c>
      <c r="L49" s="11" t="s">
        <v>143</v>
      </c>
      <c r="M49" s="11" t="s">
        <v>86</v>
      </c>
      <c r="N49" s="11" t="s">
        <v>71</v>
      </c>
      <c r="O49" s="11" t="s">
        <v>871</v>
      </c>
      <c r="P49" s="3">
        <v>45393</v>
      </c>
      <c r="Q49">
        <v>9000</v>
      </c>
      <c r="R49">
        <v>2875.92</v>
      </c>
      <c r="S49">
        <v>0.3195466666666667</v>
      </c>
    </row>
    <row r="50" spans="1:19" x14ac:dyDescent="0.25">
      <c r="A50" s="11" t="s">
        <v>289</v>
      </c>
      <c r="B50" s="3">
        <v>45407</v>
      </c>
      <c r="C50" s="11" t="s">
        <v>291</v>
      </c>
      <c r="D50" s="11" t="s">
        <v>97</v>
      </c>
      <c r="E50" s="11" t="s">
        <v>98</v>
      </c>
      <c r="F50" s="11" t="s">
        <v>153</v>
      </c>
      <c r="G50" s="11" t="s">
        <v>57</v>
      </c>
      <c r="H50" s="11" t="s">
        <v>195</v>
      </c>
      <c r="I50">
        <v>2</v>
      </c>
      <c r="J50">
        <v>462.34</v>
      </c>
      <c r="K50">
        <v>0.05</v>
      </c>
      <c r="L50" s="11" t="s">
        <v>139</v>
      </c>
      <c r="M50" s="11" t="s">
        <v>86</v>
      </c>
      <c r="N50" s="11" t="s">
        <v>26</v>
      </c>
      <c r="O50" s="11" t="s">
        <v>880</v>
      </c>
      <c r="P50" s="3">
        <v>45407</v>
      </c>
      <c r="Q50">
        <v>10000</v>
      </c>
      <c r="R50">
        <v>924.68</v>
      </c>
      <c r="S50">
        <v>9.2467999999999995E-2</v>
      </c>
    </row>
    <row r="51" spans="1:19" x14ac:dyDescent="0.25">
      <c r="A51" s="11" t="s">
        <v>292</v>
      </c>
      <c r="B51" s="3"/>
      <c r="C51" s="11" t="s">
        <v>895</v>
      </c>
      <c r="D51" s="11" t="s">
        <v>44</v>
      </c>
      <c r="E51" s="11" t="s">
        <v>45</v>
      </c>
      <c r="F51" s="11" t="s">
        <v>77</v>
      </c>
      <c r="G51" s="11" t="s">
        <v>236</v>
      </c>
      <c r="H51" s="11" t="s">
        <v>68</v>
      </c>
      <c r="I51">
        <v>5</v>
      </c>
      <c r="J51">
        <v>330.74</v>
      </c>
      <c r="K51">
        <v>0</v>
      </c>
      <c r="L51" s="11" t="s">
        <v>143</v>
      </c>
      <c r="M51" s="11" t="s">
        <v>70</v>
      </c>
      <c r="N51" s="11" t="s">
        <v>39</v>
      </c>
      <c r="O51" s="11"/>
      <c r="P51" s="3"/>
      <c r="Q51">
        <v>12000</v>
      </c>
      <c r="R51">
        <v>1653.7</v>
      </c>
      <c r="S51">
        <v>0.13780833333333334</v>
      </c>
    </row>
    <row r="52" spans="1:19" x14ac:dyDescent="0.25">
      <c r="A52" s="11" t="s">
        <v>296</v>
      </c>
      <c r="B52" s="3">
        <v>45424</v>
      </c>
      <c r="C52" s="11" t="s">
        <v>216</v>
      </c>
      <c r="D52" s="11" t="s">
        <v>44</v>
      </c>
      <c r="E52" s="11" t="s">
        <v>45</v>
      </c>
      <c r="F52" s="11" t="s">
        <v>298</v>
      </c>
      <c r="G52" s="11" t="s">
        <v>213</v>
      </c>
      <c r="H52" s="11" t="s">
        <v>68</v>
      </c>
      <c r="I52">
        <v>10</v>
      </c>
      <c r="J52">
        <v>75.12</v>
      </c>
      <c r="K52">
        <v>0.1</v>
      </c>
      <c r="L52" s="11" t="s">
        <v>143</v>
      </c>
      <c r="M52" s="11" t="s">
        <v>92</v>
      </c>
      <c r="N52" s="11"/>
      <c r="O52" s="11" t="s">
        <v>862</v>
      </c>
      <c r="P52" s="3">
        <v>45424</v>
      </c>
      <c r="Q52">
        <v>12000</v>
      </c>
      <c r="R52">
        <v>751.2</v>
      </c>
      <c r="S52">
        <v>6.2600000000000003E-2</v>
      </c>
    </row>
    <row r="53" spans="1:19" x14ac:dyDescent="0.25">
      <c r="A53" s="11" t="s">
        <v>300</v>
      </c>
      <c r="B53" s="3">
        <v>45476</v>
      </c>
      <c r="C53" s="11" t="s">
        <v>896</v>
      </c>
      <c r="D53" s="11" t="s">
        <v>97</v>
      </c>
      <c r="E53" s="11" t="s">
        <v>65</v>
      </c>
      <c r="F53" s="11" t="s">
        <v>99</v>
      </c>
      <c r="G53" s="11" t="s">
        <v>220</v>
      </c>
      <c r="H53" s="11" t="s">
        <v>68</v>
      </c>
      <c r="I53">
        <v>8</v>
      </c>
      <c r="J53">
        <v>151.53</v>
      </c>
      <c r="K53">
        <v>0</v>
      </c>
      <c r="L53" s="11" t="s">
        <v>143</v>
      </c>
      <c r="M53" s="11" t="s">
        <v>86</v>
      </c>
      <c r="N53" s="11" t="s">
        <v>71</v>
      </c>
      <c r="O53" s="11" t="s">
        <v>865</v>
      </c>
      <c r="P53" s="3">
        <v>45476</v>
      </c>
      <c r="Q53">
        <v>10000</v>
      </c>
      <c r="R53">
        <v>1212.24</v>
      </c>
      <c r="S53">
        <v>0.121224</v>
      </c>
    </row>
    <row r="54" spans="1:19" x14ac:dyDescent="0.25">
      <c r="A54" s="11" t="s">
        <v>303</v>
      </c>
      <c r="B54" s="3">
        <v>45443</v>
      </c>
      <c r="C54" s="11" t="s">
        <v>305</v>
      </c>
      <c r="D54" s="11" t="s">
        <v>188</v>
      </c>
      <c r="E54" s="11" t="s">
        <v>199</v>
      </c>
      <c r="F54" s="11" t="s">
        <v>298</v>
      </c>
      <c r="G54" s="11" t="s">
        <v>131</v>
      </c>
      <c r="H54" s="11" t="s">
        <v>195</v>
      </c>
      <c r="I54">
        <v>3</v>
      </c>
      <c r="J54">
        <v>174.16</v>
      </c>
      <c r="K54">
        <v>0</v>
      </c>
      <c r="L54" s="11" t="s">
        <v>143</v>
      </c>
      <c r="M54" s="11" t="s">
        <v>86</v>
      </c>
      <c r="N54" s="11" t="s">
        <v>39</v>
      </c>
      <c r="O54" s="11" t="s">
        <v>93</v>
      </c>
      <c r="P54" s="3">
        <v>45443</v>
      </c>
      <c r="Q54">
        <v>15000</v>
      </c>
      <c r="R54">
        <v>522.48</v>
      </c>
      <c r="S54">
        <v>3.4832000000000002E-2</v>
      </c>
    </row>
    <row r="55" spans="1:19" x14ac:dyDescent="0.25">
      <c r="A55" s="11" t="s">
        <v>306</v>
      </c>
      <c r="B55" s="3">
        <v>45296</v>
      </c>
      <c r="C55" s="11" t="s">
        <v>308</v>
      </c>
      <c r="D55" s="11" t="s">
        <v>44</v>
      </c>
      <c r="E55" s="11" t="s">
        <v>125</v>
      </c>
      <c r="F55" s="11" t="s">
        <v>106</v>
      </c>
      <c r="G55" s="11" t="s">
        <v>34</v>
      </c>
      <c r="H55" s="11" t="s">
        <v>68</v>
      </c>
      <c r="I55">
        <v>2</v>
      </c>
      <c r="J55">
        <v>335.77</v>
      </c>
      <c r="K55">
        <v>0.05</v>
      </c>
      <c r="L55" s="11" t="s">
        <v>143</v>
      </c>
      <c r="M55" s="11" t="s">
        <v>70</v>
      </c>
      <c r="N55" s="11" t="s">
        <v>111</v>
      </c>
      <c r="O55" s="11" t="s">
        <v>93</v>
      </c>
      <c r="P55" s="3">
        <v>45296</v>
      </c>
      <c r="Q55">
        <v>12000</v>
      </c>
      <c r="R55">
        <v>671.54</v>
      </c>
      <c r="S55">
        <v>5.5961666666666667E-2</v>
      </c>
    </row>
    <row r="56" spans="1:19" x14ac:dyDescent="0.25">
      <c r="A56" s="11" t="s">
        <v>309</v>
      </c>
      <c r="B56" s="3">
        <v>45392</v>
      </c>
      <c r="C56" s="11" t="s">
        <v>897</v>
      </c>
      <c r="D56" s="11" t="s">
        <v>162</v>
      </c>
      <c r="E56" s="11" t="s">
        <v>19</v>
      </c>
      <c r="F56" s="11" t="s">
        <v>77</v>
      </c>
      <c r="G56" s="11" t="s">
        <v>236</v>
      </c>
      <c r="H56" s="11" t="s">
        <v>195</v>
      </c>
      <c r="I56">
        <v>1</v>
      </c>
      <c r="J56">
        <v>160.69</v>
      </c>
      <c r="K56">
        <v>0.15</v>
      </c>
      <c r="L56" s="11" t="s">
        <v>102</v>
      </c>
      <c r="M56" s="11" t="s">
        <v>86</v>
      </c>
      <c r="N56" s="11"/>
      <c r="O56" s="11" t="s">
        <v>865</v>
      </c>
      <c r="P56" s="3">
        <v>45392</v>
      </c>
      <c r="Q56">
        <v>9000</v>
      </c>
      <c r="R56">
        <v>160.69</v>
      </c>
      <c r="S56">
        <v>1.7854444444444444E-2</v>
      </c>
    </row>
    <row r="57" spans="1:19" x14ac:dyDescent="0.25">
      <c r="A57" s="11" t="s">
        <v>312</v>
      </c>
      <c r="B57" s="3">
        <v>45430</v>
      </c>
      <c r="C57" s="11" t="s">
        <v>314</v>
      </c>
      <c r="D57" s="11" t="s">
        <v>162</v>
      </c>
      <c r="E57" s="11" t="s">
        <v>19</v>
      </c>
      <c r="F57" s="11" t="s">
        <v>106</v>
      </c>
      <c r="G57" s="11" t="s">
        <v>34</v>
      </c>
      <c r="H57" s="11" t="s">
        <v>68</v>
      </c>
      <c r="I57">
        <v>7</v>
      </c>
      <c r="J57">
        <v>182.76</v>
      </c>
      <c r="K57">
        <v>0.2</v>
      </c>
      <c r="L57" s="11" t="s">
        <v>102</v>
      </c>
      <c r="M57" s="11" t="s">
        <v>92</v>
      </c>
      <c r="N57" s="11" t="s">
        <v>50</v>
      </c>
      <c r="O57" s="11" t="s">
        <v>126</v>
      </c>
      <c r="P57" s="3">
        <v>45430</v>
      </c>
      <c r="Q57">
        <v>9000</v>
      </c>
      <c r="R57">
        <v>1279.32</v>
      </c>
      <c r="S57">
        <v>0.14214666666666667</v>
      </c>
    </row>
    <row r="58" spans="1:19" x14ac:dyDescent="0.25">
      <c r="A58" s="11" t="s">
        <v>315</v>
      </c>
      <c r="B58" s="3"/>
      <c r="C58" s="11" t="s">
        <v>317</v>
      </c>
      <c r="D58" s="11" t="s">
        <v>97</v>
      </c>
      <c r="E58" s="11" t="s">
        <v>65</v>
      </c>
      <c r="F58" s="11" t="s">
        <v>77</v>
      </c>
      <c r="G58" s="11" t="s">
        <v>318</v>
      </c>
      <c r="H58" s="11" t="s">
        <v>195</v>
      </c>
      <c r="J58">
        <v>286.14</v>
      </c>
      <c r="K58">
        <v>0.1</v>
      </c>
      <c r="L58" s="11" t="s">
        <v>139</v>
      </c>
      <c r="M58" s="11" t="s">
        <v>201</v>
      </c>
      <c r="N58" s="11" t="s">
        <v>26</v>
      </c>
      <c r="O58" s="11" t="s">
        <v>871</v>
      </c>
      <c r="P58" s="3"/>
      <c r="Q58">
        <v>10000</v>
      </c>
    </row>
    <row r="59" spans="1:19" x14ac:dyDescent="0.25">
      <c r="A59" s="11" t="s">
        <v>320</v>
      </c>
      <c r="B59" s="3">
        <v>45608</v>
      </c>
      <c r="C59" s="11" t="s">
        <v>322</v>
      </c>
      <c r="D59" s="11" t="s">
        <v>188</v>
      </c>
      <c r="E59" s="11" t="s">
        <v>32</v>
      </c>
      <c r="F59" s="11" t="s">
        <v>106</v>
      </c>
      <c r="G59" s="11" t="s">
        <v>323</v>
      </c>
      <c r="H59" s="11" t="s">
        <v>195</v>
      </c>
      <c r="I59">
        <v>7</v>
      </c>
      <c r="J59">
        <v>205.2</v>
      </c>
      <c r="K59">
        <v>0</v>
      </c>
      <c r="L59" s="11" t="s">
        <v>102</v>
      </c>
      <c r="M59" s="11" t="s">
        <v>86</v>
      </c>
      <c r="N59" s="11"/>
      <c r="O59" s="11" t="s">
        <v>126</v>
      </c>
      <c r="P59" s="3">
        <v>45608</v>
      </c>
      <c r="Q59">
        <v>15000</v>
      </c>
      <c r="R59">
        <v>1436.3999999999999</v>
      </c>
      <c r="S59">
        <v>9.5759999999999984E-2</v>
      </c>
    </row>
    <row r="60" spans="1:19" x14ac:dyDescent="0.25">
      <c r="A60" s="11" t="s">
        <v>324</v>
      </c>
      <c r="B60" s="3">
        <v>45426</v>
      </c>
      <c r="C60" s="11" t="s">
        <v>326</v>
      </c>
      <c r="D60" s="11" t="s">
        <v>188</v>
      </c>
      <c r="E60" s="11" t="s">
        <v>32</v>
      </c>
      <c r="F60" s="11" t="s">
        <v>153</v>
      </c>
      <c r="G60" s="11" t="s">
        <v>67</v>
      </c>
      <c r="H60" s="11" t="s">
        <v>195</v>
      </c>
      <c r="I60">
        <v>8</v>
      </c>
      <c r="J60">
        <v>24.75</v>
      </c>
      <c r="K60">
        <v>0</v>
      </c>
      <c r="L60" s="11" t="s">
        <v>102</v>
      </c>
      <c r="M60" s="11" t="s">
        <v>201</v>
      </c>
      <c r="N60" s="11" t="s">
        <v>71</v>
      </c>
      <c r="O60" s="11" t="s">
        <v>93</v>
      </c>
      <c r="P60" s="3">
        <v>45426</v>
      </c>
      <c r="Q60">
        <v>15000</v>
      </c>
      <c r="R60">
        <v>198</v>
      </c>
      <c r="S60">
        <v>1.32E-2</v>
      </c>
    </row>
    <row r="61" spans="1:19" x14ac:dyDescent="0.25">
      <c r="A61" s="11" t="s">
        <v>327</v>
      </c>
      <c r="B61" s="3">
        <v>45507</v>
      </c>
      <c r="C61" s="11" t="s">
        <v>329</v>
      </c>
      <c r="D61" s="11" t="s">
        <v>162</v>
      </c>
      <c r="E61" s="11" t="s">
        <v>19</v>
      </c>
      <c r="F61" s="11" t="s">
        <v>153</v>
      </c>
      <c r="G61" s="11" t="s">
        <v>330</v>
      </c>
      <c r="H61" s="11" t="s">
        <v>68</v>
      </c>
      <c r="I61">
        <v>1</v>
      </c>
      <c r="J61">
        <v>395.27</v>
      </c>
      <c r="K61">
        <v>0</v>
      </c>
      <c r="L61" s="11" t="s">
        <v>143</v>
      </c>
      <c r="M61" s="11" t="s">
        <v>86</v>
      </c>
      <c r="N61" s="11" t="s">
        <v>111</v>
      </c>
      <c r="O61" s="11" t="s">
        <v>862</v>
      </c>
      <c r="P61" s="3">
        <v>45507</v>
      </c>
      <c r="Q61">
        <v>9000</v>
      </c>
      <c r="R61">
        <v>395.27</v>
      </c>
      <c r="S61">
        <v>4.3918888888888889E-2</v>
      </c>
    </row>
    <row r="62" spans="1:19" x14ac:dyDescent="0.25">
      <c r="A62" s="11" t="s">
        <v>331</v>
      </c>
      <c r="B62" s="3"/>
      <c r="C62" s="11" t="s">
        <v>898</v>
      </c>
      <c r="D62" s="11" t="s">
        <v>44</v>
      </c>
      <c r="E62" s="11" t="s">
        <v>125</v>
      </c>
      <c r="F62" s="11" t="s">
        <v>106</v>
      </c>
      <c r="G62" s="11" t="s">
        <v>323</v>
      </c>
      <c r="H62" s="11" t="s">
        <v>68</v>
      </c>
      <c r="I62">
        <v>4</v>
      </c>
      <c r="J62">
        <v>403.5</v>
      </c>
      <c r="K62">
        <v>0</v>
      </c>
      <c r="L62" s="11" t="s">
        <v>102</v>
      </c>
      <c r="M62" s="11" t="s">
        <v>70</v>
      </c>
      <c r="N62" s="11" t="s">
        <v>71</v>
      </c>
      <c r="O62" s="11" t="s">
        <v>865</v>
      </c>
      <c r="P62" s="3"/>
      <c r="Q62">
        <v>12000</v>
      </c>
      <c r="R62">
        <v>1614</v>
      </c>
      <c r="S62">
        <v>0.13450000000000001</v>
      </c>
    </row>
    <row r="63" spans="1:19" x14ac:dyDescent="0.25">
      <c r="A63" s="11" t="s">
        <v>335</v>
      </c>
      <c r="B63" s="3">
        <v>45643</v>
      </c>
      <c r="C63" s="11" t="s">
        <v>337</v>
      </c>
      <c r="D63" s="11" t="s">
        <v>44</v>
      </c>
      <c r="E63" s="11" t="s">
        <v>45</v>
      </c>
      <c r="F63" s="11" t="s">
        <v>298</v>
      </c>
      <c r="G63" s="11" t="s">
        <v>213</v>
      </c>
      <c r="H63" s="11" t="s">
        <v>195</v>
      </c>
      <c r="I63">
        <v>6</v>
      </c>
      <c r="J63">
        <v>107.78</v>
      </c>
      <c r="K63">
        <v>0</v>
      </c>
      <c r="L63" s="11" t="s">
        <v>143</v>
      </c>
      <c r="M63" s="11" t="s">
        <v>86</v>
      </c>
      <c r="N63" s="11" t="s">
        <v>111</v>
      </c>
      <c r="O63" s="11" t="s">
        <v>126</v>
      </c>
      <c r="P63" s="3">
        <v>45643</v>
      </c>
      <c r="Q63">
        <v>12000</v>
      </c>
      <c r="R63">
        <v>646.68000000000006</v>
      </c>
      <c r="S63">
        <v>5.3890000000000007E-2</v>
      </c>
    </row>
    <row r="64" spans="1:19" x14ac:dyDescent="0.25">
      <c r="A64" s="11" t="s">
        <v>338</v>
      </c>
      <c r="B64" s="3">
        <v>45352</v>
      </c>
      <c r="C64" s="11" t="s">
        <v>899</v>
      </c>
      <c r="D64" s="11" t="s">
        <v>162</v>
      </c>
      <c r="E64" s="11" t="s">
        <v>117</v>
      </c>
      <c r="F64" s="11" t="s">
        <v>99</v>
      </c>
      <c r="G64" s="11" t="s">
        <v>164</v>
      </c>
      <c r="H64" s="11" t="s">
        <v>68</v>
      </c>
      <c r="I64">
        <v>6</v>
      </c>
      <c r="J64">
        <v>41.4</v>
      </c>
      <c r="K64">
        <v>0.1</v>
      </c>
      <c r="L64" s="11" t="s">
        <v>102</v>
      </c>
      <c r="M64" s="11" t="s">
        <v>201</v>
      </c>
      <c r="N64" s="11" t="s">
        <v>26</v>
      </c>
      <c r="O64" s="11" t="s">
        <v>862</v>
      </c>
      <c r="P64" s="3">
        <v>45352</v>
      </c>
      <c r="Q64">
        <v>9000</v>
      </c>
      <c r="R64">
        <v>248.39999999999998</v>
      </c>
      <c r="S64">
        <v>2.7599999999999996E-2</v>
      </c>
    </row>
    <row r="65" spans="1:19" x14ac:dyDescent="0.25">
      <c r="A65" s="11" t="s">
        <v>340</v>
      </c>
      <c r="B65" s="3"/>
      <c r="C65" s="11" t="s">
        <v>900</v>
      </c>
      <c r="D65" s="11" t="s">
        <v>188</v>
      </c>
      <c r="E65" s="11" t="s">
        <v>199</v>
      </c>
      <c r="F65" s="11" t="s">
        <v>298</v>
      </c>
      <c r="G65" s="11" t="s">
        <v>264</v>
      </c>
      <c r="H65" s="11" t="s">
        <v>195</v>
      </c>
      <c r="I65">
        <v>6</v>
      </c>
      <c r="J65">
        <v>355.3</v>
      </c>
      <c r="K65">
        <v>0.2</v>
      </c>
      <c r="L65" s="11" t="s">
        <v>143</v>
      </c>
      <c r="M65" s="11" t="s">
        <v>70</v>
      </c>
      <c r="N65" s="11" t="s">
        <v>26</v>
      </c>
      <c r="O65" s="11" t="s">
        <v>93</v>
      </c>
      <c r="P65" s="3"/>
      <c r="Q65">
        <v>15000</v>
      </c>
      <c r="R65">
        <v>2131.8000000000002</v>
      </c>
      <c r="S65">
        <v>0.14212000000000002</v>
      </c>
    </row>
    <row r="66" spans="1:19" x14ac:dyDescent="0.25">
      <c r="A66" s="11" t="s">
        <v>344</v>
      </c>
      <c r="B66" s="3">
        <v>45585</v>
      </c>
      <c r="C66" s="11" t="s">
        <v>901</v>
      </c>
      <c r="D66" s="11" t="s">
        <v>97</v>
      </c>
      <c r="E66" s="11" t="s">
        <v>65</v>
      </c>
      <c r="F66" s="11" t="s">
        <v>99</v>
      </c>
      <c r="G66" s="11" t="s">
        <v>220</v>
      </c>
      <c r="H66" s="11" t="s">
        <v>68</v>
      </c>
      <c r="I66">
        <v>5</v>
      </c>
      <c r="J66">
        <v>147.88999999999999</v>
      </c>
      <c r="K66">
        <v>0.15</v>
      </c>
      <c r="L66" s="11" t="s">
        <v>102</v>
      </c>
      <c r="M66" s="11" t="s">
        <v>201</v>
      </c>
      <c r="N66" s="11" t="s">
        <v>39</v>
      </c>
      <c r="O66" s="11" t="s">
        <v>880</v>
      </c>
      <c r="P66" s="3">
        <v>45585</v>
      </c>
      <c r="Q66">
        <v>10000</v>
      </c>
      <c r="R66">
        <v>739.44999999999993</v>
      </c>
      <c r="S66">
        <v>7.3944999999999997E-2</v>
      </c>
    </row>
    <row r="67" spans="1:19" x14ac:dyDescent="0.25">
      <c r="A67" s="11" t="s">
        <v>348</v>
      </c>
      <c r="B67" s="3">
        <v>45363</v>
      </c>
      <c r="C67" s="11" t="s">
        <v>350</v>
      </c>
      <c r="D67" s="11" t="s">
        <v>188</v>
      </c>
      <c r="E67" s="11" t="s">
        <v>76</v>
      </c>
      <c r="F67" s="11" t="s">
        <v>77</v>
      </c>
      <c r="G67" s="11" t="s">
        <v>137</v>
      </c>
      <c r="H67" s="11" t="s">
        <v>195</v>
      </c>
      <c r="J67">
        <v>205.17</v>
      </c>
      <c r="K67">
        <v>0.05</v>
      </c>
      <c r="L67" s="11" t="s">
        <v>143</v>
      </c>
      <c r="M67" s="11" t="s">
        <v>92</v>
      </c>
      <c r="N67" s="11" t="s">
        <v>39</v>
      </c>
      <c r="O67" s="11" t="s">
        <v>126</v>
      </c>
      <c r="P67" s="3">
        <v>45363</v>
      </c>
      <c r="Q67">
        <v>15000</v>
      </c>
    </row>
    <row r="68" spans="1:19" x14ac:dyDescent="0.25">
      <c r="A68" s="11" t="s">
        <v>351</v>
      </c>
      <c r="B68" s="3">
        <v>45626</v>
      </c>
      <c r="C68" s="11" t="s">
        <v>902</v>
      </c>
      <c r="D68" s="11" t="s">
        <v>44</v>
      </c>
      <c r="E68" s="11" t="s">
        <v>45</v>
      </c>
      <c r="F68" s="11" t="s">
        <v>153</v>
      </c>
      <c r="G68" s="11" t="s">
        <v>57</v>
      </c>
      <c r="H68" s="11" t="s">
        <v>68</v>
      </c>
      <c r="I68">
        <v>7</v>
      </c>
      <c r="J68">
        <v>131.62</v>
      </c>
      <c r="K68">
        <v>0</v>
      </c>
      <c r="L68" s="11" t="s">
        <v>143</v>
      </c>
      <c r="M68" s="11" t="s">
        <v>201</v>
      </c>
      <c r="N68" s="11" t="s">
        <v>39</v>
      </c>
      <c r="O68" s="11" t="s">
        <v>126</v>
      </c>
      <c r="P68" s="3">
        <v>45626</v>
      </c>
      <c r="Q68">
        <v>12000</v>
      </c>
      <c r="R68">
        <v>921.34</v>
      </c>
      <c r="S68">
        <v>7.6778333333333337E-2</v>
      </c>
    </row>
    <row r="69" spans="1:19" x14ac:dyDescent="0.25">
      <c r="A69" s="11" t="s">
        <v>354</v>
      </c>
      <c r="B69" s="3">
        <v>45432</v>
      </c>
      <c r="C69" s="11" t="s">
        <v>903</v>
      </c>
      <c r="D69" s="11" t="s">
        <v>188</v>
      </c>
      <c r="E69" s="11" t="s">
        <v>199</v>
      </c>
      <c r="F69" s="11" t="s">
        <v>153</v>
      </c>
      <c r="G69" s="11" t="s">
        <v>57</v>
      </c>
      <c r="H69" s="11" t="s">
        <v>68</v>
      </c>
      <c r="I69">
        <v>6</v>
      </c>
      <c r="J69">
        <v>261.85000000000002</v>
      </c>
      <c r="K69">
        <v>0</v>
      </c>
      <c r="L69" s="11" t="s">
        <v>143</v>
      </c>
      <c r="M69" s="11" t="s">
        <v>201</v>
      </c>
      <c r="N69" s="11" t="s">
        <v>26</v>
      </c>
      <c r="O69" s="11" t="s">
        <v>880</v>
      </c>
      <c r="P69" s="3">
        <v>45432</v>
      </c>
      <c r="Q69">
        <v>15000</v>
      </c>
      <c r="R69">
        <v>1571.1000000000001</v>
      </c>
      <c r="S69">
        <v>0.10474000000000001</v>
      </c>
    </row>
    <row r="70" spans="1:19" x14ac:dyDescent="0.25">
      <c r="A70" s="11" t="s">
        <v>357</v>
      </c>
      <c r="B70" s="3">
        <v>45444</v>
      </c>
      <c r="C70" s="11" t="s">
        <v>904</v>
      </c>
      <c r="D70" s="11" t="s">
        <v>97</v>
      </c>
      <c r="E70" s="11" t="s">
        <v>65</v>
      </c>
      <c r="F70" s="11" t="s">
        <v>298</v>
      </c>
      <c r="G70" s="11" t="s">
        <v>131</v>
      </c>
      <c r="H70" s="11" t="s">
        <v>68</v>
      </c>
      <c r="I70">
        <v>8</v>
      </c>
      <c r="J70">
        <v>494.24</v>
      </c>
      <c r="K70">
        <v>0.1</v>
      </c>
      <c r="L70" s="11" t="s">
        <v>102</v>
      </c>
      <c r="M70" s="11" t="s">
        <v>70</v>
      </c>
      <c r="N70" s="11"/>
      <c r="O70" s="11" t="s">
        <v>871</v>
      </c>
      <c r="P70" s="3">
        <v>45444</v>
      </c>
      <c r="Q70">
        <v>10000</v>
      </c>
      <c r="R70">
        <v>3953.92</v>
      </c>
      <c r="S70">
        <v>0.39539200000000002</v>
      </c>
    </row>
    <row r="71" spans="1:19" x14ac:dyDescent="0.25">
      <c r="A71" s="11" t="s">
        <v>361</v>
      </c>
      <c r="B71" s="3"/>
      <c r="C71" s="11" t="s">
        <v>905</v>
      </c>
      <c r="D71" s="11" t="s">
        <v>97</v>
      </c>
      <c r="E71" s="11" t="s">
        <v>65</v>
      </c>
      <c r="F71" s="11" t="s">
        <v>77</v>
      </c>
      <c r="G71" s="11" t="s">
        <v>137</v>
      </c>
      <c r="H71" s="11" t="s">
        <v>68</v>
      </c>
      <c r="I71">
        <v>11</v>
      </c>
      <c r="J71">
        <v>63.34</v>
      </c>
      <c r="K71">
        <v>0</v>
      </c>
      <c r="L71" s="11" t="s">
        <v>37</v>
      </c>
      <c r="M71" s="11" t="s">
        <v>86</v>
      </c>
      <c r="N71" s="11" t="s">
        <v>26</v>
      </c>
      <c r="O71" s="11" t="s">
        <v>871</v>
      </c>
      <c r="P71" s="3"/>
      <c r="Q71">
        <v>10000</v>
      </c>
      <c r="R71">
        <v>696.74</v>
      </c>
      <c r="S71">
        <v>6.9674E-2</v>
      </c>
    </row>
    <row r="72" spans="1:19" x14ac:dyDescent="0.25">
      <c r="A72" s="11" t="s">
        <v>365</v>
      </c>
      <c r="B72" s="3">
        <v>45325</v>
      </c>
      <c r="C72" s="11" t="s">
        <v>906</v>
      </c>
      <c r="D72" s="11" t="s">
        <v>97</v>
      </c>
      <c r="E72" s="11" t="s">
        <v>98</v>
      </c>
      <c r="F72" s="11" t="s">
        <v>106</v>
      </c>
      <c r="G72" s="11" t="s">
        <v>368</v>
      </c>
      <c r="H72" s="11" t="s">
        <v>195</v>
      </c>
      <c r="I72">
        <v>4</v>
      </c>
      <c r="J72">
        <v>206.55</v>
      </c>
      <c r="K72">
        <v>0.1</v>
      </c>
      <c r="L72" s="11" t="s">
        <v>143</v>
      </c>
      <c r="M72" s="11" t="s">
        <v>201</v>
      </c>
      <c r="N72" s="11" t="s">
        <v>111</v>
      </c>
      <c r="O72" s="11" t="s">
        <v>93</v>
      </c>
      <c r="P72" s="3">
        <v>45325</v>
      </c>
      <c r="Q72">
        <v>10000</v>
      </c>
      <c r="R72">
        <v>826.2</v>
      </c>
      <c r="S72">
        <v>8.2619999999999999E-2</v>
      </c>
    </row>
    <row r="73" spans="1:19" x14ac:dyDescent="0.25">
      <c r="A73" s="11" t="s">
        <v>369</v>
      </c>
      <c r="B73" s="3">
        <v>45644</v>
      </c>
      <c r="C73" s="11" t="s">
        <v>872</v>
      </c>
      <c r="D73" s="11" t="s">
        <v>44</v>
      </c>
      <c r="E73" s="11" t="s">
        <v>125</v>
      </c>
      <c r="F73" s="11" t="s">
        <v>77</v>
      </c>
      <c r="G73" s="11" t="s">
        <v>318</v>
      </c>
      <c r="H73" s="11" t="s">
        <v>195</v>
      </c>
      <c r="I73">
        <v>12</v>
      </c>
      <c r="J73">
        <v>308.79000000000002</v>
      </c>
      <c r="K73">
        <v>0.05</v>
      </c>
      <c r="L73" s="11" t="s">
        <v>139</v>
      </c>
      <c r="M73" s="11" t="s">
        <v>92</v>
      </c>
      <c r="N73" s="11"/>
      <c r="O73" s="11" t="s">
        <v>871</v>
      </c>
      <c r="P73" s="3">
        <v>45644</v>
      </c>
      <c r="Q73">
        <v>12000</v>
      </c>
      <c r="R73">
        <v>3705.4800000000005</v>
      </c>
      <c r="S73">
        <v>0.30879000000000006</v>
      </c>
    </row>
    <row r="74" spans="1:19" x14ac:dyDescent="0.25">
      <c r="A74" s="11" t="s">
        <v>372</v>
      </c>
      <c r="B74" s="3">
        <v>45389</v>
      </c>
      <c r="C74" s="11" t="s">
        <v>907</v>
      </c>
      <c r="D74" s="11" t="s">
        <v>44</v>
      </c>
      <c r="E74" s="11" t="s">
        <v>125</v>
      </c>
      <c r="F74" s="11" t="s">
        <v>106</v>
      </c>
      <c r="G74" s="11" t="s">
        <v>107</v>
      </c>
      <c r="H74" s="11" t="s">
        <v>68</v>
      </c>
      <c r="I74">
        <v>10</v>
      </c>
      <c r="J74">
        <v>281.63</v>
      </c>
      <c r="K74">
        <v>0.1</v>
      </c>
      <c r="L74" s="11" t="s">
        <v>143</v>
      </c>
      <c r="M74" s="11" t="s">
        <v>86</v>
      </c>
      <c r="N74" s="11" t="s">
        <v>111</v>
      </c>
      <c r="O74" s="11" t="s">
        <v>87</v>
      </c>
      <c r="P74" s="3">
        <v>45389</v>
      </c>
      <c r="Q74">
        <v>12000</v>
      </c>
      <c r="R74">
        <v>2816.3</v>
      </c>
      <c r="S74">
        <v>0.23469166666666669</v>
      </c>
    </row>
    <row r="75" spans="1:19" x14ac:dyDescent="0.25">
      <c r="A75" s="11" t="s">
        <v>375</v>
      </c>
      <c r="B75" s="3">
        <v>45294</v>
      </c>
      <c r="C75" s="11" t="s">
        <v>908</v>
      </c>
      <c r="D75" s="11" t="s">
        <v>188</v>
      </c>
      <c r="E75" s="11" t="s">
        <v>199</v>
      </c>
      <c r="F75" s="11" t="s">
        <v>99</v>
      </c>
      <c r="G75" s="11" t="s">
        <v>220</v>
      </c>
      <c r="H75" s="11" t="s">
        <v>195</v>
      </c>
      <c r="I75">
        <v>10</v>
      </c>
      <c r="J75">
        <v>481.83</v>
      </c>
      <c r="K75">
        <v>0.05</v>
      </c>
      <c r="L75" s="11" t="s">
        <v>139</v>
      </c>
      <c r="M75" s="11" t="s">
        <v>92</v>
      </c>
      <c r="N75" s="11" t="s">
        <v>26</v>
      </c>
      <c r="O75" s="11" t="s">
        <v>871</v>
      </c>
      <c r="P75" s="3">
        <v>45294</v>
      </c>
      <c r="Q75">
        <v>15000</v>
      </c>
      <c r="R75">
        <v>4818.3</v>
      </c>
      <c r="S75">
        <v>0.32122000000000001</v>
      </c>
    </row>
    <row r="76" spans="1:19" x14ac:dyDescent="0.25">
      <c r="A76" s="11" t="s">
        <v>378</v>
      </c>
      <c r="B76" s="3"/>
      <c r="C76" s="11" t="s">
        <v>380</v>
      </c>
      <c r="D76" s="11" t="s">
        <v>162</v>
      </c>
      <c r="E76" s="11" t="s">
        <v>19</v>
      </c>
      <c r="F76" s="11" t="s">
        <v>106</v>
      </c>
      <c r="G76" s="11" t="s">
        <v>34</v>
      </c>
      <c r="H76" s="11" t="s">
        <v>68</v>
      </c>
      <c r="K76">
        <v>0</v>
      </c>
      <c r="L76" s="11" t="s">
        <v>143</v>
      </c>
      <c r="M76" s="11" t="s">
        <v>70</v>
      </c>
      <c r="N76" s="11" t="s">
        <v>50</v>
      </c>
      <c r="O76" s="11" t="s">
        <v>865</v>
      </c>
      <c r="P76" s="3"/>
      <c r="Q76">
        <v>9000</v>
      </c>
    </row>
    <row r="77" spans="1:19" x14ac:dyDescent="0.25">
      <c r="A77" s="11" t="s">
        <v>381</v>
      </c>
      <c r="B77" s="3">
        <v>45555</v>
      </c>
      <c r="C77" s="11" t="s">
        <v>844</v>
      </c>
      <c r="D77" s="11" t="s">
        <v>162</v>
      </c>
      <c r="E77" s="11" t="s">
        <v>19</v>
      </c>
      <c r="F77" s="11" t="s">
        <v>106</v>
      </c>
      <c r="G77" s="11" t="s">
        <v>47</v>
      </c>
      <c r="H77" s="11" t="s">
        <v>195</v>
      </c>
      <c r="I77">
        <v>8</v>
      </c>
      <c r="J77">
        <v>258.02999999999997</v>
      </c>
      <c r="K77">
        <v>0.05</v>
      </c>
      <c r="L77" s="11" t="s">
        <v>102</v>
      </c>
      <c r="M77" s="11" t="s">
        <v>86</v>
      </c>
      <c r="N77" s="11" t="s">
        <v>71</v>
      </c>
      <c r="O77" s="11"/>
      <c r="P77" s="3">
        <v>45555</v>
      </c>
      <c r="Q77">
        <v>9000</v>
      </c>
      <c r="R77">
        <v>2064.2399999999998</v>
      </c>
      <c r="S77">
        <v>0.22935999999999998</v>
      </c>
    </row>
    <row r="78" spans="1:19" x14ac:dyDescent="0.25">
      <c r="A78" s="11" t="s">
        <v>383</v>
      </c>
      <c r="B78" s="3"/>
      <c r="C78" s="11" t="s">
        <v>909</v>
      </c>
      <c r="D78" s="11" t="s">
        <v>188</v>
      </c>
      <c r="E78" s="11" t="s">
        <v>199</v>
      </c>
      <c r="F78" s="11" t="s">
        <v>106</v>
      </c>
      <c r="G78" s="11" t="s">
        <v>47</v>
      </c>
      <c r="H78" s="11" t="s">
        <v>68</v>
      </c>
      <c r="I78">
        <v>2</v>
      </c>
      <c r="J78">
        <v>163.71</v>
      </c>
      <c r="K78">
        <v>0</v>
      </c>
      <c r="L78" s="11" t="s">
        <v>102</v>
      </c>
      <c r="M78" s="11" t="s">
        <v>86</v>
      </c>
      <c r="N78" s="11" t="s">
        <v>26</v>
      </c>
      <c r="O78" s="11" t="s">
        <v>865</v>
      </c>
      <c r="P78" s="3"/>
      <c r="Q78">
        <v>15000</v>
      </c>
      <c r="R78">
        <v>327.42</v>
      </c>
      <c r="S78">
        <v>2.1828E-2</v>
      </c>
    </row>
    <row r="79" spans="1:19" x14ac:dyDescent="0.25">
      <c r="A79" s="11" t="s">
        <v>386</v>
      </c>
      <c r="B79" s="3">
        <v>45579</v>
      </c>
      <c r="C79" s="11" t="s">
        <v>891</v>
      </c>
      <c r="D79" s="11" t="s">
        <v>44</v>
      </c>
      <c r="E79" s="11" t="s">
        <v>45</v>
      </c>
      <c r="F79" s="11" t="s">
        <v>77</v>
      </c>
      <c r="G79" s="11" t="s">
        <v>318</v>
      </c>
      <c r="H79" s="11" t="s">
        <v>68</v>
      </c>
      <c r="I79">
        <v>6</v>
      </c>
      <c r="J79">
        <v>311.61</v>
      </c>
      <c r="K79">
        <v>0.15</v>
      </c>
      <c r="L79" s="11" t="s">
        <v>143</v>
      </c>
      <c r="M79" s="11" t="s">
        <v>86</v>
      </c>
      <c r="N79" s="11" t="s">
        <v>50</v>
      </c>
      <c r="O79" s="11" t="s">
        <v>87</v>
      </c>
      <c r="P79" s="3">
        <v>45579</v>
      </c>
      <c r="Q79">
        <v>12000</v>
      </c>
      <c r="R79">
        <v>1869.66</v>
      </c>
      <c r="S79">
        <v>0.155805</v>
      </c>
    </row>
    <row r="80" spans="1:19" x14ac:dyDescent="0.25">
      <c r="A80" s="11" t="s">
        <v>389</v>
      </c>
      <c r="B80" s="3">
        <v>45559</v>
      </c>
      <c r="C80" s="11" t="s">
        <v>910</v>
      </c>
      <c r="D80" s="11" t="s">
        <v>162</v>
      </c>
      <c r="E80" s="11" t="s">
        <v>19</v>
      </c>
      <c r="F80" s="11" t="s">
        <v>153</v>
      </c>
      <c r="G80" s="11" t="s">
        <v>330</v>
      </c>
      <c r="H80" s="11" t="s">
        <v>195</v>
      </c>
      <c r="I80">
        <v>9</v>
      </c>
      <c r="J80">
        <v>287.47000000000003</v>
      </c>
      <c r="K80">
        <v>0.2</v>
      </c>
      <c r="L80" s="11" t="s">
        <v>143</v>
      </c>
      <c r="M80" s="11" t="s">
        <v>92</v>
      </c>
      <c r="N80" s="11" t="s">
        <v>39</v>
      </c>
      <c r="O80" s="11" t="s">
        <v>126</v>
      </c>
      <c r="P80" s="3">
        <v>45559</v>
      </c>
      <c r="Q80">
        <v>9000</v>
      </c>
      <c r="R80">
        <v>2587.2300000000005</v>
      </c>
      <c r="S80">
        <v>0.28747000000000006</v>
      </c>
    </row>
    <row r="81" spans="1:19" x14ac:dyDescent="0.25">
      <c r="A81" s="11" t="s">
        <v>392</v>
      </c>
      <c r="B81" s="3">
        <v>45536</v>
      </c>
      <c r="C81" s="11" t="s">
        <v>883</v>
      </c>
      <c r="D81" s="11" t="s">
        <v>44</v>
      </c>
      <c r="E81" s="11" t="s">
        <v>125</v>
      </c>
      <c r="F81" s="11" t="s">
        <v>106</v>
      </c>
      <c r="G81" s="11" t="s">
        <v>47</v>
      </c>
      <c r="H81" s="11" t="s">
        <v>68</v>
      </c>
      <c r="I81">
        <v>4</v>
      </c>
      <c r="J81">
        <v>197.79</v>
      </c>
      <c r="K81">
        <v>0</v>
      </c>
      <c r="L81" s="11" t="s">
        <v>37</v>
      </c>
      <c r="M81" s="11" t="s">
        <v>201</v>
      </c>
      <c r="N81" s="11" t="s">
        <v>50</v>
      </c>
      <c r="O81" s="11"/>
      <c r="P81" s="3">
        <v>45536</v>
      </c>
      <c r="Q81">
        <v>12000</v>
      </c>
      <c r="R81">
        <v>791.16</v>
      </c>
      <c r="S81">
        <v>6.5930000000000002E-2</v>
      </c>
    </row>
    <row r="82" spans="1:19" x14ac:dyDescent="0.25">
      <c r="A82" s="11" t="s">
        <v>395</v>
      </c>
      <c r="B82" s="3">
        <v>45501</v>
      </c>
      <c r="C82" s="11" t="s">
        <v>397</v>
      </c>
      <c r="D82" s="11" t="s">
        <v>44</v>
      </c>
      <c r="E82" s="11" t="s">
        <v>125</v>
      </c>
      <c r="F82" s="11" t="s">
        <v>106</v>
      </c>
      <c r="G82" s="11" t="s">
        <v>47</v>
      </c>
      <c r="H82" s="11" t="s">
        <v>195</v>
      </c>
      <c r="J82">
        <v>175.49</v>
      </c>
      <c r="K82">
        <v>0.2</v>
      </c>
      <c r="L82" s="11" t="s">
        <v>139</v>
      </c>
      <c r="M82" s="11" t="s">
        <v>70</v>
      </c>
      <c r="N82" s="11" t="s">
        <v>50</v>
      </c>
      <c r="O82" s="11" t="s">
        <v>880</v>
      </c>
      <c r="P82" s="3">
        <v>45501</v>
      </c>
      <c r="Q82">
        <v>12000</v>
      </c>
    </row>
    <row r="83" spans="1:19" x14ac:dyDescent="0.25">
      <c r="A83" s="11" t="s">
        <v>398</v>
      </c>
      <c r="B83" s="3">
        <v>45619</v>
      </c>
      <c r="C83" s="11" t="s">
        <v>400</v>
      </c>
      <c r="D83" s="11" t="s">
        <v>188</v>
      </c>
      <c r="E83" s="11" t="s">
        <v>32</v>
      </c>
      <c r="F83" s="11" t="s">
        <v>77</v>
      </c>
      <c r="G83" s="11" t="s">
        <v>236</v>
      </c>
      <c r="H83" s="11" t="s">
        <v>68</v>
      </c>
      <c r="I83">
        <v>3</v>
      </c>
      <c r="J83">
        <v>322.95999999999998</v>
      </c>
      <c r="K83">
        <v>0.1</v>
      </c>
      <c r="L83" s="11" t="s">
        <v>143</v>
      </c>
      <c r="M83" s="11" t="s">
        <v>70</v>
      </c>
      <c r="N83" s="11" t="s">
        <v>26</v>
      </c>
      <c r="O83" s="11" t="s">
        <v>871</v>
      </c>
      <c r="P83" s="3">
        <v>45619</v>
      </c>
      <c r="Q83">
        <v>15000</v>
      </c>
      <c r="R83">
        <v>968.87999999999988</v>
      </c>
      <c r="S83">
        <v>6.4591999999999997E-2</v>
      </c>
    </row>
    <row r="84" spans="1:19" x14ac:dyDescent="0.25">
      <c r="A84" s="11" t="s">
        <v>401</v>
      </c>
      <c r="B84" s="3">
        <v>45647</v>
      </c>
      <c r="C84" s="11" t="s">
        <v>911</v>
      </c>
      <c r="D84" s="11" t="s">
        <v>97</v>
      </c>
      <c r="E84" s="11"/>
      <c r="F84" s="11" t="s">
        <v>106</v>
      </c>
      <c r="G84" s="11" t="s">
        <v>323</v>
      </c>
      <c r="H84" s="11" t="s">
        <v>68</v>
      </c>
      <c r="I84">
        <v>6</v>
      </c>
      <c r="K84">
        <v>0</v>
      </c>
      <c r="L84" s="11" t="s">
        <v>37</v>
      </c>
      <c r="M84" s="11" t="s">
        <v>86</v>
      </c>
      <c r="N84" s="11" t="s">
        <v>111</v>
      </c>
      <c r="O84" s="11" t="s">
        <v>880</v>
      </c>
      <c r="P84" s="3">
        <v>45647</v>
      </c>
      <c r="Q84">
        <v>10000</v>
      </c>
    </row>
    <row r="85" spans="1:19" x14ac:dyDescent="0.25">
      <c r="A85" s="11" t="s">
        <v>404</v>
      </c>
      <c r="B85" s="3">
        <v>45622</v>
      </c>
      <c r="C85" s="11" t="s">
        <v>912</v>
      </c>
      <c r="D85" s="11" t="s">
        <v>188</v>
      </c>
      <c r="E85" s="11" t="s">
        <v>199</v>
      </c>
      <c r="F85" s="11" t="s">
        <v>99</v>
      </c>
      <c r="G85" s="11" t="s">
        <v>177</v>
      </c>
      <c r="H85" s="11" t="s">
        <v>195</v>
      </c>
      <c r="I85">
        <v>4</v>
      </c>
      <c r="J85">
        <v>179.4</v>
      </c>
      <c r="K85">
        <v>0.05</v>
      </c>
      <c r="L85" s="11" t="s">
        <v>102</v>
      </c>
      <c r="M85" s="11" t="s">
        <v>86</v>
      </c>
      <c r="N85" s="11"/>
      <c r="O85" s="11" t="s">
        <v>880</v>
      </c>
      <c r="P85" s="3">
        <v>45622</v>
      </c>
      <c r="Q85">
        <v>15000</v>
      </c>
      <c r="R85">
        <v>717.6</v>
      </c>
      <c r="S85">
        <v>4.7840000000000001E-2</v>
      </c>
    </row>
    <row r="86" spans="1:19" x14ac:dyDescent="0.25">
      <c r="A86" s="11" t="s">
        <v>407</v>
      </c>
      <c r="B86" s="3">
        <v>45435</v>
      </c>
      <c r="C86" s="11" t="s">
        <v>913</v>
      </c>
      <c r="D86" s="11" t="s">
        <v>162</v>
      </c>
      <c r="E86" s="11" t="s">
        <v>19</v>
      </c>
      <c r="F86" s="11" t="s">
        <v>77</v>
      </c>
      <c r="G86" s="11" t="s">
        <v>236</v>
      </c>
      <c r="H86" s="11" t="s">
        <v>195</v>
      </c>
      <c r="J86">
        <v>426.22</v>
      </c>
      <c r="K86">
        <v>0</v>
      </c>
      <c r="L86" s="11" t="s">
        <v>37</v>
      </c>
      <c r="M86" s="11" t="s">
        <v>92</v>
      </c>
      <c r="N86" s="11" t="s">
        <v>71</v>
      </c>
      <c r="O86" s="11" t="s">
        <v>880</v>
      </c>
      <c r="P86" s="3">
        <v>45435</v>
      </c>
      <c r="Q86">
        <v>9000</v>
      </c>
    </row>
    <row r="87" spans="1:19" x14ac:dyDescent="0.25">
      <c r="A87" s="11" t="s">
        <v>411</v>
      </c>
      <c r="B87" s="3">
        <v>45358</v>
      </c>
      <c r="C87" s="11" t="s">
        <v>413</v>
      </c>
      <c r="D87" s="11" t="s">
        <v>44</v>
      </c>
      <c r="E87" s="11" t="s">
        <v>125</v>
      </c>
      <c r="F87" s="11" t="s">
        <v>298</v>
      </c>
      <c r="G87" s="11" t="s">
        <v>131</v>
      </c>
      <c r="H87" s="11" t="s">
        <v>195</v>
      </c>
      <c r="I87">
        <v>8</v>
      </c>
      <c r="J87">
        <v>454.54</v>
      </c>
      <c r="K87">
        <v>0.1</v>
      </c>
      <c r="L87" s="11" t="s">
        <v>143</v>
      </c>
      <c r="M87" s="11" t="s">
        <v>86</v>
      </c>
      <c r="N87" s="11" t="s">
        <v>71</v>
      </c>
      <c r="O87" s="11" t="s">
        <v>871</v>
      </c>
      <c r="P87" s="3">
        <v>45358</v>
      </c>
      <c r="Q87">
        <v>12000</v>
      </c>
      <c r="R87">
        <v>3636.32</v>
      </c>
      <c r="S87">
        <v>0.30302666666666667</v>
      </c>
    </row>
    <row r="88" spans="1:19" x14ac:dyDescent="0.25">
      <c r="A88" s="11" t="s">
        <v>415</v>
      </c>
      <c r="B88" s="3"/>
      <c r="C88" s="11" t="s">
        <v>284</v>
      </c>
      <c r="D88" s="11" t="s">
        <v>162</v>
      </c>
      <c r="E88" s="11" t="s">
        <v>117</v>
      </c>
      <c r="F88" s="11" t="s">
        <v>99</v>
      </c>
      <c r="G88" s="11" t="s">
        <v>177</v>
      </c>
      <c r="H88" s="11" t="s">
        <v>195</v>
      </c>
      <c r="I88">
        <v>10</v>
      </c>
      <c r="J88">
        <v>350.13</v>
      </c>
      <c r="K88">
        <v>0</v>
      </c>
      <c r="L88" s="11" t="s">
        <v>102</v>
      </c>
      <c r="M88" s="11" t="s">
        <v>201</v>
      </c>
      <c r="N88" s="11" t="s">
        <v>39</v>
      </c>
      <c r="O88" s="11" t="s">
        <v>865</v>
      </c>
      <c r="P88" s="3"/>
      <c r="Q88">
        <v>9000</v>
      </c>
      <c r="R88">
        <v>3501.3</v>
      </c>
      <c r="S88">
        <v>0.38903333333333334</v>
      </c>
    </row>
    <row r="89" spans="1:19" x14ac:dyDescent="0.25">
      <c r="A89" s="11" t="s">
        <v>418</v>
      </c>
      <c r="B89" s="3">
        <v>45298</v>
      </c>
      <c r="C89" s="11" t="s">
        <v>914</v>
      </c>
      <c r="D89" s="11" t="s">
        <v>44</v>
      </c>
      <c r="E89" s="11" t="s">
        <v>45</v>
      </c>
      <c r="F89" s="11" t="s">
        <v>106</v>
      </c>
      <c r="G89" s="11" t="s">
        <v>323</v>
      </c>
      <c r="H89" s="11" t="s">
        <v>195</v>
      </c>
      <c r="I89">
        <v>5</v>
      </c>
      <c r="J89">
        <v>276.33</v>
      </c>
      <c r="K89">
        <v>0.15</v>
      </c>
      <c r="L89" s="11" t="s">
        <v>139</v>
      </c>
      <c r="M89" s="11" t="s">
        <v>86</v>
      </c>
      <c r="N89" s="11" t="s">
        <v>39</v>
      </c>
      <c r="O89" s="11" t="s">
        <v>862</v>
      </c>
      <c r="P89" s="3">
        <v>45298</v>
      </c>
      <c r="Q89">
        <v>12000</v>
      </c>
      <c r="R89">
        <v>1381.6499999999999</v>
      </c>
      <c r="S89">
        <v>0.11513749999999999</v>
      </c>
    </row>
    <row r="90" spans="1:19" x14ac:dyDescent="0.25">
      <c r="A90" s="11" t="s">
        <v>421</v>
      </c>
      <c r="B90" s="3">
        <v>45467</v>
      </c>
      <c r="C90" s="11" t="s">
        <v>915</v>
      </c>
      <c r="D90" s="11" t="s">
        <v>162</v>
      </c>
      <c r="E90" s="11" t="s">
        <v>117</v>
      </c>
      <c r="F90" s="11" t="s">
        <v>77</v>
      </c>
      <c r="G90" s="11" t="s">
        <v>236</v>
      </c>
      <c r="H90" s="11" t="s">
        <v>68</v>
      </c>
      <c r="I90">
        <v>3</v>
      </c>
      <c r="J90">
        <v>464.64</v>
      </c>
      <c r="K90">
        <v>0.15</v>
      </c>
      <c r="L90" s="11" t="s">
        <v>143</v>
      </c>
      <c r="M90" s="11" t="s">
        <v>86</v>
      </c>
      <c r="N90" s="11" t="s">
        <v>111</v>
      </c>
      <c r="O90" s="11"/>
      <c r="P90" s="3">
        <v>45467</v>
      </c>
      <c r="Q90">
        <v>9000</v>
      </c>
      <c r="R90">
        <v>1393.92</v>
      </c>
      <c r="S90">
        <v>0.15488000000000002</v>
      </c>
    </row>
    <row r="91" spans="1:19" x14ac:dyDescent="0.25">
      <c r="A91" s="11" t="s">
        <v>424</v>
      </c>
      <c r="B91" s="3">
        <v>45369</v>
      </c>
      <c r="C91" s="11" t="s">
        <v>916</v>
      </c>
      <c r="D91" s="11" t="s">
        <v>97</v>
      </c>
      <c r="E91" s="11" t="s">
        <v>98</v>
      </c>
      <c r="F91" s="11" t="s">
        <v>298</v>
      </c>
      <c r="G91" s="11" t="s">
        <v>21</v>
      </c>
      <c r="H91" s="11" t="s">
        <v>195</v>
      </c>
      <c r="I91">
        <v>8</v>
      </c>
      <c r="J91">
        <v>146.44</v>
      </c>
      <c r="K91">
        <v>0</v>
      </c>
      <c r="L91" s="11" t="s">
        <v>102</v>
      </c>
      <c r="M91" s="11" t="s">
        <v>86</v>
      </c>
      <c r="N91" s="11" t="s">
        <v>111</v>
      </c>
      <c r="O91" s="11" t="s">
        <v>865</v>
      </c>
      <c r="P91" s="3">
        <v>45369</v>
      </c>
      <c r="Q91">
        <v>10000</v>
      </c>
      <c r="R91">
        <v>1171.52</v>
      </c>
      <c r="S91">
        <v>0.11715199999999999</v>
      </c>
    </row>
    <row r="92" spans="1:19" x14ac:dyDescent="0.25">
      <c r="A92" s="11" t="s">
        <v>427</v>
      </c>
      <c r="B92" s="3">
        <v>45510</v>
      </c>
      <c r="C92" s="11" t="s">
        <v>429</v>
      </c>
      <c r="D92" s="11" t="s">
        <v>44</v>
      </c>
      <c r="E92" s="11" t="s">
        <v>125</v>
      </c>
      <c r="F92" s="11" t="s">
        <v>153</v>
      </c>
      <c r="G92" s="11" t="s">
        <v>67</v>
      </c>
      <c r="H92" s="11" t="s">
        <v>68</v>
      </c>
      <c r="I92">
        <v>8</v>
      </c>
      <c r="J92">
        <v>494.01</v>
      </c>
      <c r="K92">
        <v>0.15</v>
      </c>
      <c r="L92" s="11" t="s">
        <v>102</v>
      </c>
      <c r="M92" s="11" t="s">
        <v>70</v>
      </c>
      <c r="N92" s="11" t="s">
        <v>26</v>
      </c>
      <c r="O92" s="11" t="s">
        <v>87</v>
      </c>
      <c r="P92" s="3">
        <v>45510</v>
      </c>
      <c r="Q92">
        <v>12000</v>
      </c>
      <c r="R92">
        <v>3952.08</v>
      </c>
      <c r="S92">
        <v>0.32934000000000002</v>
      </c>
    </row>
    <row r="93" spans="1:19" x14ac:dyDescent="0.25">
      <c r="A93" s="11" t="s">
        <v>430</v>
      </c>
      <c r="B93" s="3">
        <v>45497</v>
      </c>
      <c r="C93" s="11" t="s">
        <v>917</v>
      </c>
      <c r="D93" s="11" t="s">
        <v>188</v>
      </c>
      <c r="E93" s="11" t="s">
        <v>199</v>
      </c>
      <c r="F93" s="11" t="s">
        <v>298</v>
      </c>
      <c r="G93" s="11" t="s">
        <v>21</v>
      </c>
      <c r="H93" s="11" t="s">
        <v>195</v>
      </c>
      <c r="I93">
        <v>12</v>
      </c>
      <c r="J93">
        <v>461.16</v>
      </c>
      <c r="K93">
        <v>0</v>
      </c>
      <c r="L93" s="11" t="s">
        <v>143</v>
      </c>
      <c r="M93" s="11" t="s">
        <v>201</v>
      </c>
      <c r="N93" s="11"/>
      <c r="O93" s="11" t="s">
        <v>871</v>
      </c>
      <c r="P93" s="3">
        <v>45497</v>
      </c>
      <c r="Q93">
        <v>15000</v>
      </c>
      <c r="R93">
        <v>5533.92</v>
      </c>
      <c r="S93">
        <v>0.36892799999999998</v>
      </c>
    </row>
    <row r="94" spans="1:19" x14ac:dyDescent="0.25">
      <c r="A94" s="11" t="s">
        <v>433</v>
      </c>
      <c r="B94" s="3">
        <v>45432</v>
      </c>
      <c r="C94" s="11" t="s">
        <v>779</v>
      </c>
      <c r="D94" s="11" t="s">
        <v>188</v>
      </c>
      <c r="E94" s="11" t="s">
        <v>76</v>
      </c>
      <c r="F94" s="11" t="s">
        <v>77</v>
      </c>
      <c r="G94" s="11" t="s">
        <v>268</v>
      </c>
      <c r="H94" s="11" t="s">
        <v>68</v>
      </c>
      <c r="I94">
        <v>8</v>
      </c>
      <c r="J94">
        <v>495.96</v>
      </c>
      <c r="K94">
        <v>0.05</v>
      </c>
      <c r="L94" s="11" t="s">
        <v>102</v>
      </c>
      <c r="M94" s="11" t="s">
        <v>92</v>
      </c>
      <c r="N94" s="11" t="s">
        <v>111</v>
      </c>
      <c r="O94" s="11"/>
      <c r="P94" s="3">
        <v>45432</v>
      </c>
      <c r="Q94">
        <v>15000</v>
      </c>
      <c r="R94">
        <v>3967.68</v>
      </c>
      <c r="S94">
        <v>0.26451199999999997</v>
      </c>
    </row>
    <row r="95" spans="1:19" x14ac:dyDescent="0.25">
      <c r="A95" s="11" t="s">
        <v>436</v>
      </c>
      <c r="B95" s="3">
        <v>45465</v>
      </c>
      <c r="C95" s="11" t="s">
        <v>918</v>
      </c>
      <c r="D95" s="11" t="s">
        <v>97</v>
      </c>
      <c r="E95" s="11" t="s">
        <v>98</v>
      </c>
      <c r="F95" s="11" t="s">
        <v>153</v>
      </c>
      <c r="G95" s="11" t="s">
        <v>330</v>
      </c>
      <c r="H95" s="11" t="s">
        <v>195</v>
      </c>
      <c r="I95">
        <v>6</v>
      </c>
      <c r="J95">
        <v>236.18</v>
      </c>
      <c r="K95">
        <v>0</v>
      </c>
      <c r="L95" s="11" t="s">
        <v>143</v>
      </c>
      <c r="M95" s="11" t="s">
        <v>92</v>
      </c>
      <c r="N95" s="11"/>
      <c r="O95" s="11" t="s">
        <v>40</v>
      </c>
      <c r="P95" s="3">
        <v>45465</v>
      </c>
      <c r="Q95">
        <v>10000</v>
      </c>
      <c r="R95">
        <v>1417.08</v>
      </c>
      <c r="S95">
        <v>0.141708</v>
      </c>
    </row>
    <row r="96" spans="1:19" x14ac:dyDescent="0.25">
      <c r="A96" s="11" t="s">
        <v>438</v>
      </c>
      <c r="B96" s="3">
        <v>45443</v>
      </c>
      <c r="C96" s="11" t="s">
        <v>440</v>
      </c>
      <c r="D96" s="11" t="s">
        <v>162</v>
      </c>
      <c r="E96" s="11" t="s">
        <v>19</v>
      </c>
      <c r="F96" s="11" t="s">
        <v>298</v>
      </c>
      <c r="G96" s="11" t="s">
        <v>21</v>
      </c>
      <c r="H96" s="11" t="s">
        <v>68</v>
      </c>
      <c r="I96">
        <v>3</v>
      </c>
      <c r="J96">
        <v>438.85</v>
      </c>
      <c r="K96">
        <v>0.1</v>
      </c>
      <c r="L96" s="11" t="s">
        <v>143</v>
      </c>
      <c r="M96" s="11" t="s">
        <v>92</v>
      </c>
      <c r="N96" s="11" t="s">
        <v>50</v>
      </c>
      <c r="O96" s="11" t="s">
        <v>862</v>
      </c>
      <c r="P96" s="3">
        <v>45443</v>
      </c>
      <c r="Q96">
        <v>9000</v>
      </c>
      <c r="R96">
        <v>1316.5500000000002</v>
      </c>
      <c r="S96">
        <v>0.14628333333333335</v>
      </c>
    </row>
    <row r="97" spans="1:19" x14ac:dyDescent="0.25">
      <c r="A97" s="11" t="s">
        <v>441</v>
      </c>
      <c r="B97" s="3">
        <v>45407</v>
      </c>
      <c r="C97" s="11" t="s">
        <v>919</v>
      </c>
      <c r="D97" s="11" t="s">
        <v>44</v>
      </c>
      <c r="E97" s="11" t="s">
        <v>125</v>
      </c>
      <c r="F97" s="11" t="s">
        <v>99</v>
      </c>
      <c r="G97" s="11" t="s">
        <v>177</v>
      </c>
      <c r="H97" s="11" t="s">
        <v>195</v>
      </c>
      <c r="I97">
        <v>11</v>
      </c>
      <c r="K97">
        <v>0</v>
      </c>
      <c r="L97" s="11" t="s">
        <v>102</v>
      </c>
      <c r="M97" s="11" t="s">
        <v>70</v>
      </c>
      <c r="N97" s="11" t="s">
        <v>50</v>
      </c>
      <c r="O97" s="11" t="s">
        <v>93</v>
      </c>
      <c r="P97" s="3">
        <v>45407</v>
      </c>
      <c r="Q97">
        <v>12000</v>
      </c>
    </row>
    <row r="98" spans="1:19" x14ac:dyDescent="0.25">
      <c r="A98" s="11" t="s">
        <v>444</v>
      </c>
      <c r="B98" s="3">
        <v>45390</v>
      </c>
      <c r="C98" s="11" t="s">
        <v>920</v>
      </c>
      <c r="D98" s="11" t="s">
        <v>97</v>
      </c>
      <c r="E98" s="11" t="s">
        <v>65</v>
      </c>
      <c r="F98" s="11" t="s">
        <v>298</v>
      </c>
      <c r="G98" s="11" t="s">
        <v>119</v>
      </c>
      <c r="H98" s="11" t="s">
        <v>195</v>
      </c>
      <c r="I98">
        <v>8</v>
      </c>
      <c r="J98">
        <v>383.31</v>
      </c>
      <c r="K98">
        <v>0.2</v>
      </c>
      <c r="L98" s="11" t="s">
        <v>143</v>
      </c>
      <c r="M98" s="11" t="s">
        <v>86</v>
      </c>
      <c r="N98" s="11" t="s">
        <v>26</v>
      </c>
      <c r="O98" s="11" t="s">
        <v>93</v>
      </c>
      <c r="P98" s="3">
        <v>45390</v>
      </c>
      <c r="Q98">
        <v>10000</v>
      </c>
      <c r="R98">
        <v>3066.48</v>
      </c>
      <c r="S98">
        <v>0.30664799999999998</v>
      </c>
    </row>
    <row r="99" spans="1:19" x14ac:dyDescent="0.25">
      <c r="A99" s="11" t="s">
        <v>447</v>
      </c>
      <c r="B99" s="3">
        <v>45639</v>
      </c>
      <c r="C99" s="11" t="s">
        <v>449</v>
      </c>
      <c r="D99" s="11" t="s">
        <v>44</v>
      </c>
      <c r="E99" s="11" t="s">
        <v>125</v>
      </c>
      <c r="F99" s="11" t="s">
        <v>153</v>
      </c>
      <c r="G99" s="11" t="s">
        <v>330</v>
      </c>
      <c r="H99" s="11" t="s">
        <v>68</v>
      </c>
      <c r="I99">
        <v>7</v>
      </c>
      <c r="J99">
        <v>432.85</v>
      </c>
      <c r="K99">
        <v>0</v>
      </c>
      <c r="L99" s="11" t="s">
        <v>102</v>
      </c>
      <c r="M99" s="11" t="s">
        <v>201</v>
      </c>
      <c r="N99" s="11" t="s">
        <v>50</v>
      </c>
      <c r="O99" s="11"/>
      <c r="P99" s="3">
        <v>45639</v>
      </c>
      <c r="Q99">
        <v>12000</v>
      </c>
      <c r="R99">
        <v>3029.9500000000003</v>
      </c>
      <c r="S99">
        <v>0.25249583333333336</v>
      </c>
    </row>
    <row r="100" spans="1:19" x14ac:dyDescent="0.25">
      <c r="A100" s="11" t="s">
        <v>450</v>
      </c>
      <c r="B100" s="3"/>
      <c r="C100" s="11" t="s">
        <v>921</v>
      </c>
      <c r="D100" s="11" t="s">
        <v>162</v>
      </c>
      <c r="E100" s="11" t="s">
        <v>19</v>
      </c>
      <c r="F100" s="11" t="s">
        <v>298</v>
      </c>
      <c r="G100" s="11" t="s">
        <v>264</v>
      </c>
      <c r="H100" s="11" t="s">
        <v>68</v>
      </c>
      <c r="I100">
        <v>8</v>
      </c>
      <c r="K100">
        <v>0</v>
      </c>
      <c r="L100" s="11" t="s">
        <v>102</v>
      </c>
      <c r="M100" s="11" t="s">
        <v>86</v>
      </c>
      <c r="N100" s="11" t="s">
        <v>39</v>
      </c>
      <c r="O100" s="11" t="s">
        <v>126</v>
      </c>
      <c r="P100" s="3"/>
      <c r="Q100">
        <v>9000</v>
      </c>
    </row>
    <row r="101" spans="1:19" x14ac:dyDescent="0.25">
      <c r="A101" s="11" t="s">
        <v>453</v>
      </c>
      <c r="B101" s="3"/>
      <c r="C101" s="11" t="s">
        <v>910</v>
      </c>
      <c r="D101" s="11" t="s">
        <v>97</v>
      </c>
      <c r="E101" s="11" t="s">
        <v>98</v>
      </c>
      <c r="F101" s="11" t="s">
        <v>77</v>
      </c>
      <c r="G101" s="11" t="s">
        <v>268</v>
      </c>
      <c r="H101" s="11" t="s">
        <v>195</v>
      </c>
      <c r="I101">
        <v>9</v>
      </c>
      <c r="J101">
        <v>327.81</v>
      </c>
      <c r="K101">
        <v>0</v>
      </c>
      <c r="L101" s="11" t="s">
        <v>143</v>
      </c>
      <c r="M101" s="11" t="s">
        <v>70</v>
      </c>
      <c r="N101" s="11" t="s">
        <v>111</v>
      </c>
      <c r="O101" s="11" t="s">
        <v>87</v>
      </c>
      <c r="P101" s="3"/>
      <c r="Q101">
        <v>10000</v>
      </c>
      <c r="R101">
        <v>2950.29</v>
      </c>
      <c r="S101">
        <v>0.29502899999999999</v>
      </c>
    </row>
    <row r="102" spans="1:19" x14ac:dyDescent="0.25">
      <c r="A102" s="11" t="s">
        <v>455</v>
      </c>
      <c r="B102" s="3">
        <v>45389</v>
      </c>
      <c r="C102" s="11" t="s">
        <v>922</v>
      </c>
      <c r="D102" s="11" t="s">
        <v>188</v>
      </c>
      <c r="E102" s="11" t="s">
        <v>76</v>
      </c>
      <c r="F102" s="11" t="s">
        <v>99</v>
      </c>
      <c r="G102" s="11" t="s">
        <v>177</v>
      </c>
      <c r="H102" s="11" t="s">
        <v>195</v>
      </c>
      <c r="I102">
        <v>9</v>
      </c>
      <c r="J102">
        <v>210.67</v>
      </c>
      <c r="K102">
        <v>0.15</v>
      </c>
      <c r="L102" s="11" t="s">
        <v>102</v>
      </c>
      <c r="M102" s="11" t="s">
        <v>86</v>
      </c>
      <c r="N102" s="11" t="s">
        <v>50</v>
      </c>
      <c r="O102" s="11" t="s">
        <v>93</v>
      </c>
      <c r="P102" s="3">
        <v>45389</v>
      </c>
      <c r="Q102">
        <v>15000</v>
      </c>
      <c r="R102">
        <v>1896.03</v>
      </c>
      <c r="S102">
        <v>0.12640199999999999</v>
      </c>
    </row>
    <row r="103" spans="1:19" x14ac:dyDescent="0.25">
      <c r="A103" s="11" t="s">
        <v>458</v>
      </c>
      <c r="B103" s="3">
        <v>45399</v>
      </c>
      <c r="C103" s="11" t="s">
        <v>863</v>
      </c>
      <c r="D103" s="11" t="s">
        <v>188</v>
      </c>
      <c r="E103" s="11" t="s">
        <v>32</v>
      </c>
      <c r="F103" s="11" t="s">
        <v>77</v>
      </c>
      <c r="G103" s="11" t="s">
        <v>318</v>
      </c>
      <c r="H103" s="11" t="s">
        <v>195</v>
      </c>
      <c r="I103">
        <v>1</v>
      </c>
      <c r="J103">
        <v>177.55</v>
      </c>
      <c r="K103">
        <v>0</v>
      </c>
      <c r="L103" s="11" t="s">
        <v>37</v>
      </c>
      <c r="M103" s="11" t="s">
        <v>70</v>
      </c>
      <c r="N103" s="11" t="s">
        <v>111</v>
      </c>
      <c r="O103" s="11"/>
      <c r="P103" s="3">
        <v>45399</v>
      </c>
      <c r="Q103">
        <v>15000</v>
      </c>
      <c r="R103">
        <v>177.55</v>
      </c>
      <c r="S103">
        <v>1.1836666666666667E-2</v>
      </c>
    </row>
    <row r="104" spans="1:19" x14ac:dyDescent="0.25">
      <c r="A104" s="11" t="s">
        <v>461</v>
      </c>
      <c r="B104" s="3"/>
      <c r="C104" s="11" t="s">
        <v>463</v>
      </c>
      <c r="D104" s="11" t="s">
        <v>44</v>
      </c>
      <c r="E104" s="11" t="s">
        <v>125</v>
      </c>
      <c r="F104" s="11" t="s">
        <v>99</v>
      </c>
      <c r="G104" s="11" t="s">
        <v>84</v>
      </c>
      <c r="H104" s="11" t="s">
        <v>195</v>
      </c>
      <c r="I104">
        <v>8</v>
      </c>
      <c r="J104">
        <v>484.71</v>
      </c>
      <c r="K104">
        <v>0.15</v>
      </c>
      <c r="L104" s="11" t="s">
        <v>139</v>
      </c>
      <c r="M104" s="11" t="s">
        <v>201</v>
      </c>
      <c r="N104" s="11" t="s">
        <v>50</v>
      </c>
      <c r="O104" s="11" t="s">
        <v>40</v>
      </c>
      <c r="P104" s="3"/>
      <c r="Q104">
        <v>12000</v>
      </c>
      <c r="R104">
        <v>3877.68</v>
      </c>
      <c r="S104">
        <v>0.32313999999999998</v>
      </c>
    </row>
    <row r="105" spans="1:19" x14ac:dyDescent="0.25">
      <c r="A105" s="11" t="s">
        <v>464</v>
      </c>
      <c r="B105" s="3"/>
      <c r="C105" s="11" t="s">
        <v>923</v>
      </c>
      <c r="D105" s="11" t="s">
        <v>97</v>
      </c>
      <c r="E105" s="11"/>
      <c r="F105" s="11" t="s">
        <v>77</v>
      </c>
      <c r="G105" s="11" t="s">
        <v>318</v>
      </c>
      <c r="H105" s="11" t="s">
        <v>68</v>
      </c>
      <c r="I105">
        <v>10</v>
      </c>
      <c r="J105">
        <v>30.02</v>
      </c>
      <c r="K105">
        <v>0.15</v>
      </c>
      <c r="L105" s="11" t="s">
        <v>143</v>
      </c>
      <c r="M105" s="11" t="s">
        <v>201</v>
      </c>
      <c r="N105" s="11" t="s">
        <v>39</v>
      </c>
      <c r="O105" s="11" t="s">
        <v>871</v>
      </c>
      <c r="P105" s="3"/>
      <c r="Q105">
        <v>10000</v>
      </c>
      <c r="R105">
        <v>300.2</v>
      </c>
      <c r="S105">
        <v>3.0019999999999998E-2</v>
      </c>
    </row>
    <row r="106" spans="1:19" x14ac:dyDescent="0.25">
      <c r="A106" s="11" t="s">
        <v>468</v>
      </c>
      <c r="B106" s="3">
        <v>45547</v>
      </c>
      <c r="C106" s="11" t="s">
        <v>470</v>
      </c>
      <c r="D106" s="11" t="s">
        <v>97</v>
      </c>
      <c r="E106" s="11"/>
      <c r="F106" s="11" t="s">
        <v>153</v>
      </c>
      <c r="G106" s="11" t="s">
        <v>57</v>
      </c>
      <c r="H106" s="11" t="s">
        <v>68</v>
      </c>
      <c r="I106">
        <v>10</v>
      </c>
      <c r="J106">
        <v>436.63</v>
      </c>
      <c r="K106">
        <v>0</v>
      </c>
      <c r="L106" s="11" t="s">
        <v>139</v>
      </c>
      <c r="M106" s="11" t="s">
        <v>86</v>
      </c>
      <c r="N106" s="11" t="s">
        <v>71</v>
      </c>
      <c r="O106" s="11" t="s">
        <v>93</v>
      </c>
      <c r="P106" s="3">
        <v>45547</v>
      </c>
      <c r="Q106">
        <v>10000</v>
      </c>
      <c r="R106">
        <v>4366.3</v>
      </c>
      <c r="S106">
        <v>0.43663000000000002</v>
      </c>
    </row>
    <row r="107" spans="1:19" x14ac:dyDescent="0.25">
      <c r="A107" s="11" t="s">
        <v>472</v>
      </c>
      <c r="B107" s="3">
        <v>45357</v>
      </c>
      <c r="C107" s="11" t="s">
        <v>474</v>
      </c>
      <c r="D107" s="11" t="s">
        <v>97</v>
      </c>
      <c r="E107" s="11" t="s">
        <v>65</v>
      </c>
      <c r="F107" s="11" t="s">
        <v>99</v>
      </c>
      <c r="G107" s="11" t="s">
        <v>84</v>
      </c>
      <c r="H107" s="11" t="s">
        <v>195</v>
      </c>
      <c r="I107">
        <v>7</v>
      </c>
      <c r="J107">
        <v>244.05</v>
      </c>
      <c r="K107">
        <v>0.05</v>
      </c>
      <c r="L107" s="11" t="s">
        <v>37</v>
      </c>
      <c r="M107" s="11" t="s">
        <v>201</v>
      </c>
      <c r="N107" s="11" t="s">
        <v>111</v>
      </c>
      <c r="O107" s="11" t="s">
        <v>865</v>
      </c>
      <c r="P107" s="3">
        <v>45357</v>
      </c>
      <c r="Q107">
        <v>10000</v>
      </c>
      <c r="R107">
        <v>1708.3500000000001</v>
      </c>
      <c r="S107">
        <v>0.17083500000000001</v>
      </c>
    </row>
    <row r="108" spans="1:19" x14ac:dyDescent="0.25">
      <c r="A108" s="11" t="s">
        <v>475</v>
      </c>
      <c r="B108" s="3">
        <v>45351</v>
      </c>
      <c r="C108" s="11" t="s">
        <v>477</v>
      </c>
      <c r="D108" s="11" t="s">
        <v>188</v>
      </c>
      <c r="E108" s="11" t="s">
        <v>32</v>
      </c>
      <c r="F108" s="11" t="s">
        <v>298</v>
      </c>
      <c r="G108" s="11" t="s">
        <v>264</v>
      </c>
      <c r="H108" s="11" t="s">
        <v>68</v>
      </c>
      <c r="I108">
        <v>1</v>
      </c>
      <c r="J108">
        <v>451.93</v>
      </c>
      <c r="K108">
        <v>0.05</v>
      </c>
      <c r="L108" s="11" t="s">
        <v>139</v>
      </c>
      <c r="M108" s="11" t="s">
        <v>201</v>
      </c>
      <c r="N108" s="11" t="s">
        <v>50</v>
      </c>
      <c r="O108" s="11" t="s">
        <v>87</v>
      </c>
      <c r="P108" s="3">
        <v>45351</v>
      </c>
      <c r="Q108">
        <v>15000</v>
      </c>
      <c r="R108">
        <v>451.93</v>
      </c>
      <c r="S108">
        <v>3.0128666666666668E-2</v>
      </c>
    </row>
    <row r="109" spans="1:19" x14ac:dyDescent="0.25">
      <c r="A109" s="11" t="s">
        <v>479</v>
      </c>
      <c r="B109" s="3">
        <v>45476</v>
      </c>
      <c r="C109" s="11" t="s">
        <v>924</v>
      </c>
      <c r="D109" s="11" t="s">
        <v>188</v>
      </c>
      <c r="E109" s="11" t="s">
        <v>76</v>
      </c>
      <c r="F109" s="11" t="s">
        <v>153</v>
      </c>
      <c r="G109" s="11" t="s">
        <v>57</v>
      </c>
      <c r="H109" s="11" t="s">
        <v>195</v>
      </c>
      <c r="I109">
        <v>4</v>
      </c>
      <c r="J109">
        <v>137.16</v>
      </c>
      <c r="K109">
        <v>0.2</v>
      </c>
      <c r="L109" s="11" t="s">
        <v>143</v>
      </c>
      <c r="M109" s="11" t="s">
        <v>92</v>
      </c>
      <c r="N109" s="11"/>
      <c r="O109" s="11" t="s">
        <v>126</v>
      </c>
      <c r="P109" s="3">
        <v>45476</v>
      </c>
      <c r="Q109">
        <v>15000</v>
      </c>
      <c r="R109">
        <v>548.64</v>
      </c>
      <c r="S109">
        <v>3.6575999999999997E-2</v>
      </c>
    </row>
    <row r="110" spans="1:19" x14ac:dyDescent="0.25">
      <c r="A110" s="11" t="s">
        <v>481</v>
      </c>
      <c r="B110" s="3">
        <v>45538</v>
      </c>
      <c r="C110" s="11" t="s">
        <v>925</v>
      </c>
      <c r="D110" s="11" t="s">
        <v>188</v>
      </c>
      <c r="E110" s="11" t="s">
        <v>32</v>
      </c>
      <c r="F110" s="11" t="s">
        <v>99</v>
      </c>
      <c r="G110" s="11" t="s">
        <v>164</v>
      </c>
      <c r="H110" s="11" t="s">
        <v>68</v>
      </c>
      <c r="I110">
        <v>11</v>
      </c>
      <c r="J110">
        <v>261.95</v>
      </c>
      <c r="K110">
        <v>0.15</v>
      </c>
      <c r="L110" s="11" t="s">
        <v>102</v>
      </c>
      <c r="M110" s="11" t="s">
        <v>70</v>
      </c>
      <c r="N110" s="11" t="s">
        <v>111</v>
      </c>
      <c r="O110" s="11" t="s">
        <v>865</v>
      </c>
      <c r="P110" s="3">
        <v>45538</v>
      </c>
      <c r="Q110">
        <v>15000</v>
      </c>
      <c r="R110">
        <v>2881.45</v>
      </c>
      <c r="S110">
        <v>0.19209666666666667</v>
      </c>
    </row>
    <row r="111" spans="1:19" x14ac:dyDescent="0.25">
      <c r="A111" s="11" t="s">
        <v>484</v>
      </c>
      <c r="B111" s="3">
        <v>45622</v>
      </c>
      <c r="C111" s="11" t="s">
        <v>913</v>
      </c>
      <c r="D111" s="11" t="s">
        <v>44</v>
      </c>
      <c r="E111" s="11" t="s">
        <v>45</v>
      </c>
      <c r="F111" s="11" t="s">
        <v>106</v>
      </c>
      <c r="G111" s="11" t="s">
        <v>323</v>
      </c>
      <c r="H111" s="11" t="s">
        <v>68</v>
      </c>
      <c r="I111">
        <v>12</v>
      </c>
      <c r="J111">
        <v>224.47</v>
      </c>
      <c r="K111">
        <v>0</v>
      </c>
      <c r="L111" s="11" t="s">
        <v>102</v>
      </c>
      <c r="M111" s="11" t="s">
        <v>92</v>
      </c>
      <c r="N111" s="11" t="s">
        <v>26</v>
      </c>
      <c r="O111" s="11" t="s">
        <v>126</v>
      </c>
      <c r="P111" s="3">
        <v>45622</v>
      </c>
      <c r="Q111">
        <v>12000</v>
      </c>
      <c r="R111">
        <v>2693.64</v>
      </c>
      <c r="S111">
        <v>0.22447</v>
      </c>
    </row>
    <row r="112" spans="1:19" x14ac:dyDescent="0.25">
      <c r="A112" s="11" t="s">
        <v>487</v>
      </c>
      <c r="B112" s="3">
        <v>45413</v>
      </c>
      <c r="C112" s="11" t="s">
        <v>926</v>
      </c>
      <c r="D112" s="11" t="s">
        <v>97</v>
      </c>
      <c r="E112" s="11" t="s">
        <v>98</v>
      </c>
      <c r="F112" s="11" t="s">
        <v>106</v>
      </c>
      <c r="G112" s="11" t="s">
        <v>323</v>
      </c>
      <c r="H112" s="11" t="s">
        <v>68</v>
      </c>
      <c r="I112">
        <v>1</v>
      </c>
      <c r="J112">
        <v>192.82</v>
      </c>
      <c r="K112">
        <v>0.1</v>
      </c>
      <c r="L112" s="11" t="s">
        <v>143</v>
      </c>
      <c r="M112" s="11" t="s">
        <v>201</v>
      </c>
      <c r="N112" s="11" t="s">
        <v>71</v>
      </c>
      <c r="O112" s="11" t="s">
        <v>87</v>
      </c>
      <c r="P112" s="3">
        <v>45413</v>
      </c>
      <c r="Q112">
        <v>10000</v>
      </c>
      <c r="R112">
        <v>192.82</v>
      </c>
      <c r="S112">
        <v>1.9282000000000001E-2</v>
      </c>
    </row>
    <row r="113" spans="1:19" x14ac:dyDescent="0.25">
      <c r="A113" s="11" t="s">
        <v>491</v>
      </c>
      <c r="B113" s="3">
        <v>45568</v>
      </c>
      <c r="C113" s="11" t="s">
        <v>493</v>
      </c>
      <c r="D113" s="11" t="s">
        <v>97</v>
      </c>
      <c r="E113" s="11" t="s">
        <v>65</v>
      </c>
      <c r="F113" s="11" t="s">
        <v>298</v>
      </c>
      <c r="G113" s="11" t="s">
        <v>119</v>
      </c>
      <c r="H113" s="11" t="s">
        <v>195</v>
      </c>
      <c r="I113">
        <v>6</v>
      </c>
      <c r="J113">
        <v>192.67</v>
      </c>
      <c r="K113">
        <v>0.1</v>
      </c>
      <c r="L113" s="11" t="s">
        <v>143</v>
      </c>
      <c r="M113" s="11" t="s">
        <v>92</v>
      </c>
      <c r="N113" s="11" t="s">
        <v>39</v>
      </c>
      <c r="O113" s="11"/>
      <c r="P113" s="3">
        <v>45568</v>
      </c>
      <c r="Q113">
        <v>10000</v>
      </c>
      <c r="R113">
        <v>1156.02</v>
      </c>
      <c r="S113">
        <v>0.115602</v>
      </c>
    </row>
    <row r="114" spans="1:19" x14ac:dyDescent="0.25">
      <c r="A114" s="11" t="s">
        <v>494</v>
      </c>
      <c r="B114" s="3">
        <v>45587</v>
      </c>
      <c r="C114" s="11" t="s">
        <v>927</v>
      </c>
      <c r="D114" s="11" t="s">
        <v>188</v>
      </c>
      <c r="E114" s="11" t="s">
        <v>76</v>
      </c>
      <c r="F114" s="11" t="s">
        <v>77</v>
      </c>
      <c r="G114" s="11" t="s">
        <v>268</v>
      </c>
      <c r="H114" s="11" t="s">
        <v>195</v>
      </c>
      <c r="I114">
        <v>7</v>
      </c>
      <c r="J114">
        <v>217.67</v>
      </c>
      <c r="K114">
        <v>0</v>
      </c>
      <c r="L114" s="11" t="s">
        <v>143</v>
      </c>
      <c r="M114" s="11" t="s">
        <v>92</v>
      </c>
      <c r="N114" s="11" t="s">
        <v>26</v>
      </c>
      <c r="O114" s="11" t="s">
        <v>87</v>
      </c>
      <c r="P114" s="3">
        <v>45587</v>
      </c>
      <c r="Q114">
        <v>15000</v>
      </c>
      <c r="R114">
        <v>1523.6899999999998</v>
      </c>
      <c r="S114">
        <v>0.10157933333333333</v>
      </c>
    </row>
    <row r="115" spans="1:19" x14ac:dyDescent="0.25">
      <c r="A115" s="11" t="s">
        <v>498</v>
      </c>
      <c r="B115" s="3">
        <v>45416</v>
      </c>
      <c r="C115" s="11" t="s">
        <v>928</v>
      </c>
      <c r="D115" s="11" t="s">
        <v>44</v>
      </c>
      <c r="E115" s="11" t="s">
        <v>45</v>
      </c>
      <c r="F115" s="11" t="s">
        <v>77</v>
      </c>
      <c r="G115" s="11" t="s">
        <v>236</v>
      </c>
      <c r="H115" s="11" t="s">
        <v>195</v>
      </c>
      <c r="I115">
        <v>6</v>
      </c>
      <c r="J115">
        <v>7.57</v>
      </c>
      <c r="K115">
        <v>0.1</v>
      </c>
      <c r="L115" s="11" t="s">
        <v>143</v>
      </c>
      <c r="M115" s="11" t="s">
        <v>86</v>
      </c>
      <c r="N115" s="11" t="s">
        <v>39</v>
      </c>
      <c r="O115" s="11" t="s">
        <v>87</v>
      </c>
      <c r="P115" s="3">
        <v>45416</v>
      </c>
      <c r="Q115">
        <v>12000</v>
      </c>
      <c r="R115">
        <v>45.42</v>
      </c>
      <c r="S115">
        <v>3.7850000000000002E-3</v>
      </c>
    </row>
    <row r="116" spans="1:19" x14ac:dyDescent="0.25">
      <c r="A116" s="11" t="s">
        <v>500</v>
      </c>
      <c r="B116" s="3">
        <v>45292</v>
      </c>
      <c r="C116" s="11" t="s">
        <v>929</v>
      </c>
      <c r="D116" s="11" t="s">
        <v>44</v>
      </c>
      <c r="E116" s="11"/>
      <c r="F116" s="11" t="s">
        <v>106</v>
      </c>
      <c r="G116" s="11" t="s">
        <v>323</v>
      </c>
      <c r="H116" s="11" t="s">
        <v>195</v>
      </c>
      <c r="I116">
        <v>7</v>
      </c>
      <c r="J116">
        <v>258.14999999999998</v>
      </c>
      <c r="K116">
        <v>0.1</v>
      </c>
      <c r="L116" s="11" t="s">
        <v>143</v>
      </c>
      <c r="M116" s="11" t="s">
        <v>70</v>
      </c>
      <c r="N116" s="11" t="s">
        <v>50</v>
      </c>
      <c r="O116" s="11" t="s">
        <v>93</v>
      </c>
      <c r="P116" s="3">
        <v>45292</v>
      </c>
      <c r="Q116">
        <v>12000</v>
      </c>
      <c r="R116">
        <v>1807.0499999999997</v>
      </c>
      <c r="S116">
        <v>0.15058749999999999</v>
      </c>
    </row>
    <row r="117" spans="1:19" x14ac:dyDescent="0.25">
      <c r="A117" s="11" t="s">
        <v>503</v>
      </c>
      <c r="B117" s="3">
        <v>45403</v>
      </c>
      <c r="C117" s="11" t="s">
        <v>930</v>
      </c>
      <c r="D117" s="11" t="s">
        <v>188</v>
      </c>
      <c r="E117" s="11"/>
      <c r="F117" s="11" t="s">
        <v>77</v>
      </c>
      <c r="G117" s="11" t="s">
        <v>236</v>
      </c>
      <c r="H117" s="11" t="s">
        <v>195</v>
      </c>
      <c r="I117">
        <v>7</v>
      </c>
      <c r="J117">
        <v>366.6</v>
      </c>
      <c r="K117">
        <v>0.15</v>
      </c>
      <c r="L117" s="11" t="s">
        <v>143</v>
      </c>
      <c r="M117" s="11" t="s">
        <v>86</v>
      </c>
      <c r="N117" s="11" t="s">
        <v>71</v>
      </c>
      <c r="O117" s="11" t="s">
        <v>93</v>
      </c>
      <c r="P117" s="3">
        <v>45403</v>
      </c>
      <c r="Q117">
        <v>15000</v>
      </c>
      <c r="R117">
        <v>2566.2000000000003</v>
      </c>
      <c r="S117">
        <v>0.17108000000000001</v>
      </c>
    </row>
    <row r="118" spans="1:19" x14ac:dyDescent="0.25">
      <c r="A118" s="11" t="s">
        <v>506</v>
      </c>
      <c r="B118" s="3">
        <v>45581</v>
      </c>
      <c r="C118" s="11" t="s">
        <v>931</v>
      </c>
      <c r="D118" s="11" t="s">
        <v>188</v>
      </c>
      <c r="E118" s="11" t="s">
        <v>76</v>
      </c>
      <c r="F118" s="11" t="s">
        <v>106</v>
      </c>
      <c r="G118" s="11" t="s">
        <v>47</v>
      </c>
      <c r="H118" s="11" t="s">
        <v>68</v>
      </c>
      <c r="I118">
        <v>2</v>
      </c>
      <c r="J118">
        <v>416.13</v>
      </c>
      <c r="K118">
        <v>0.1</v>
      </c>
      <c r="L118" s="11" t="s">
        <v>102</v>
      </c>
      <c r="M118" s="11" t="s">
        <v>201</v>
      </c>
      <c r="N118" s="11" t="s">
        <v>39</v>
      </c>
      <c r="O118" s="11"/>
      <c r="P118" s="3">
        <v>45581</v>
      </c>
      <c r="Q118">
        <v>15000</v>
      </c>
      <c r="R118">
        <v>832.26</v>
      </c>
      <c r="S118">
        <v>5.5483999999999999E-2</v>
      </c>
    </row>
    <row r="119" spans="1:19" x14ac:dyDescent="0.25">
      <c r="A119" s="11" t="s">
        <v>509</v>
      </c>
      <c r="B119" s="3">
        <v>45303</v>
      </c>
      <c r="C119" s="11" t="s">
        <v>932</v>
      </c>
      <c r="D119" s="11" t="s">
        <v>97</v>
      </c>
      <c r="E119" s="11" t="s">
        <v>98</v>
      </c>
      <c r="F119" s="11" t="s">
        <v>153</v>
      </c>
      <c r="G119" s="11" t="s">
        <v>154</v>
      </c>
      <c r="H119" s="11" t="s">
        <v>68</v>
      </c>
      <c r="I119">
        <v>2</v>
      </c>
      <c r="J119">
        <v>54.99</v>
      </c>
      <c r="K119">
        <v>0.1</v>
      </c>
      <c r="L119" s="11" t="s">
        <v>139</v>
      </c>
      <c r="M119" s="11" t="s">
        <v>92</v>
      </c>
      <c r="N119" s="11" t="s">
        <v>50</v>
      </c>
      <c r="O119" s="11" t="s">
        <v>87</v>
      </c>
      <c r="P119" s="3">
        <v>45303</v>
      </c>
      <c r="Q119">
        <v>10000</v>
      </c>
      <c r="R119">
        <v>109.98</v>
      </c>
      <c r="S119">
        <v>1.0998000000000001E-2</v>
      </c>
    </row>
    <row r="120" spans="1:19" x14ac:dyDescent="0.25">
      <c r="A120" s="11" t="s">
        <v>512</v>
      </c>
      <c r="B120" s="3">
        <v>45490</v>
      </c>
      <c r="C120" s="11" t="s">
        <v>216</v>
      </c>
      <c r="D120" s="11" t="s">
        <v>188</v>
      </c>
      <c r="E120" s="11" t="s">
        <v>76</v>
      </c>
      <c r="F120" s="11" t="s">
        <v>77</v>
      </c>
      <c r="G120" s="11" t="s">
        <v>78</v>
      </c>
      <c r="H120" s="11" t="s">
        <v>68</v>
      </c>
      <c r="I120">
        <v>3</v>
      </c>
      <c r="J120">
        <v>330.15</v>
      </c>
      <c r="K120">
        <v>0</v>
      </c>
      <c r="L120" s="11" t="s">
        <v>37</v>
      </c>
      <c r="M120" s="11" t="s">
        <v>86</v>
      </c>
      <c r="N120" s="11" t="s">
        <v>26</v>
      </c>
      <c r="O120" s="11" t="s">
        <v>871</v>
      </c>
      <c r="P120" s="3">
        <v>45490</v>
      </c>
      <c r="Q120">
        <v>15000</v>
      </c>
      <c r="R120">
        <v>990.44999999999993</v>
      </c>
      <c r="S120">
        <v>6.6029999999999991E-2</v>
      </c>
    </row>
    <row r="121" spans="1:19" x14ac:dyDescent="0.25">
      <c r="A121" s="11" t="s">
        <v>514</v>
      </c>
      <c r="B121" s="3"/>
      <c r="C121" s="11" t="s">
        <v>516</v>
      </c>
      <c r="D121" s="11" t="s">
        <v>188</v>
      </c>
      <c r="E121" s="11" t="s">
        <v>32</v>
      </c>
      <c r="F121" s="11" t="s">
        <v>99</v>
      </c>
      <c r="G121" s="11" t="s">
        <v>220</v>
      </c>
      <c r="H121" s="11" t="s">
        <v>195</v>
      </c>
      <c r="I121">
        <v>10</v>
      </c>
      <c r="J121">
        <v>224.17</v>
      </c>
      <c r="K121">
        <v>0.05</v>
      </c>
      <c r="L121" s="11" t="s">
        <v>37</v>
      </c>
      <c r="M121" s="11" t="s">
        <v>92</v>
      </c>
      <c r="N121" s="11" t="s">
        <v>50</v>
      </c>
      <c r="O121" s="11" t="s">
        <v>126</v>
      </c>
      <c r="P121" s="3"/>
      <c r="Q121">
        <v>15000</v>
      </c>
      <c r="R121">
        <v>2241.6999999999998</v>
      </c>
      <c r="S121">
        <v>0.14944666666666664</v>
      </c>
    </row>
    <row r="122" spans="1:19" x14ac:dyDescent="0.25">
      <c r="A122" s="11" t="s">
        <v>517</v>
      </c>
      <c r="B122" s="3">
        <v>45419</v>
      </c>
      <c r="C122" s="11" t="s">
        <v>933</v>
      </c>
      <c r="D122" s="11" t="s">
        <v>97</v>
      </c>
      <c r="E122" s="11" t="s">
        <v>65</v>
      </c>
      <c r="F122" s="11" t="s">
        <v>153</v>
      </c>
      <c r="G122" s="11" t="s">
        <v>57</v>
      </c>
      <c r="H122" s="11" t="s">
        <v>195</v>
      </c>
      <c r="I122">
        <v>3</v>
      </c>
      <c r="J122">
        <v>25.71</v>
      </c>
      <c r="K122">
        <v>0</v>
      </c>
      <c r="L122" s="11" t="s">
        <v>139</v>
      </c>
      <c r="M122" s="11" t="s">
        <v>86</v>
      </c>
      <c r="N122" s="11"/>
      <c r="O122" s="11"/>
      <c r="P122" s="3">
        <v>45419</v>
      </c>
      <c r="Q122">
        <v>10000</v>
      </c>
      <c r="R122">
        <v>77.13</v>
      </c>
      <c r="S122">
        <v>7.7129999999999994E-3</v>
      </c>
    </row>
    <row r="123" spans="1:19" x14ac:dyDescent="0.25">
      <c r="A123" s="11" t="s">
        <v>520</v>
      </c>
      <c r="B123" s="3">
        <v>45495</v>
      </c>
      <c r="C123" s="11" t="s">
        <v>522</v>
      </c>
      <c r="D123" s="11" t="s">
        <v>44</v>
      </c>
      <c r="E123" s="11" t="s">
        <v>45</v>
      </c>
      <c r="F123" s="11" t="s">
        <v>77</v>
      </c>
      <c r="G123" s="11" t="s">
        <v>236</v>
      </c>
      <c r="H123" s="11" t="s">
        <v>68</v>
      </c>
      <c r="I123">
        <v>11</v>
      </c>
      <c r="J123">
        <v>299.55</v>
      </c>
      <c r="K123">
        <v>0</v>
      </c>
      <c r="L123" s="11" t="s">
        <v>143</v>
      </c>
      <c r="M123" s="11" t="s">
        <v>92</v>
      </c>
      <c r="N123" s="11" t="s">
        <v>26</v>
      </c>
      <c r="O123" s="11"/>
      <c r="P123" s="3">
        <v>45495</v>
      </c>
      <c r="Q123">
        <v>12000</v>
      </c>
      <c r="R123">
        <v>3295.05</v>
      </c>
      <c r="S123">
        <v>0.27458750000000004</v>
      </c>
    </row>
    <row r="124" spans="1:19" x14ac:dyDescent="0.25">
      <c r="A124" s="11" t="s">
        <v>523</v>
      </c>
      <c r="B124" s="3">
        <v>45414</v>
      </c>
      <c r="C124" s="11" t="s">
        <v>934</v>
      </c>
      <c r="D124" s="11" t="s">
        <v>97</v>
      </c>
      <c r="E124" s="11" t="s">
        <v>98</v>
      </c>
      <c r="F124" s="11" t="s">
        <v>77</v>
      </c>
      <c r="G124" s="11" t="s">
        <v>78</v>
      </c>
      <c r="H124" s="11" t="s">
        <v>68</v>
      </c>
      <c r="I124">
        <v>10</v>
      </c>
      <c r="J124">
        <v>54.12</v>
      </c>
      <c r="K124">
        <v>0.1</v>
      </c>
      <c r="L124" s="11" t="s">
        <v>102</v>
      </c>
      <c r="M124" s="11" t="s">
        <v>86</v>
      </c>
      <c r="N124" s="11" t="s">
        <v>111</v>
      </c>
      <c r="O124" s="11" t="s">
        <v>93</v>
      </c>
      <c r="P124" s="3">
        <v>45414</v>
      </c>
      <c r="Q124">
        <v>10000</v>
      </c>
      <c r="R124">
        <v>541.19999999999993</v>
      </c>
      <c r="S124">
        <v>5.4119999999999994E-2</v>
      </c>
    </row>
    <row r="125" spans="1:19" x14ac:dyDescent="0.25">
      <c r="A125" s="11" t="s">
        <v>526</v>
      </c>
      <c r="B125" s="3">
        <v>45580</v>
      </c>
      <c r="C125" s="11" t="s">
        <v>935</v>
      </c>
      <c r="D125" s="11" t="s">
        <v>162</v>
      </c>
      <c r="E125" s="11" t="s">
        <v>19</v>
      </c>
      <c r="F125" s="11" t="s">
        <v>298</v>
      </c>
      <c r="G125" s="11" t="s">
        <v>131</v>
      </c>
      <c r="H125" s="11" t="s">
        <v>195</v>
      </c>
      <c r="I125">
        <v>3</v>
      </c>
      <c r="J125">
        <v>153.5</v>
      </c>
      <c r="K125">
        <v>0</v>
      </c>
      <c r="L125" s="11" t="s">
        <v>143</v>
      </c>
      <c r="M125" s="11" t="s">
        <v>92</v>
      </c>
      <c r="N125" s="11" t="s">
        <v>26</v>
      </c>
      <c r="O125" s="11" t="s">
        <v>862</v>
      </c>
      <c r="P125" s="3">
        <v>45580</v>
      </c>
      <c r="Q125">
        <v>9000</v>
      </c>
      <c r="R125">
        <v>460.5</v>
      </c>
      <c r="S125">
        <v>5.1166666666666666E-2</v>
      </c>
    </row>
    <row r="126" spans="1:19" x14ac:dyDescent="0.25">
      <c r="A126" s="11" t="s">
        <v>529</v>
      </c>
      <c r="B126" s="3"/>
      <c r="C126" s="11" t="s">
        <v>936</v>
      </c>
      <c r="D126" s="11" t="s">
        <v>162</v>
      </c>
      <c r="E126" s="11" t="s">
        <v>19</v>
      </c>
      <c r="F126" s="11" t="s">
        <v>77</v>
      </c>
      <c r="G126" s="11" t="s">
        <v>236</v>
      </c>
      <c r="H126" s="11" t="s">
        <v>68</v>
      </c>
      <c r="I126">
        <v>1</v>
      </c>
      <c r="J126">
        <v>114.89</v>
      </c>
      <c r="K126">
        <v>0.2</v>
      </c>
      <c r="L126" s="11" t="s">
        <v>143</v>
      </c>
      <c r="M126" s="11" t="s">
        <v>92</v>
      </c>
      <c r="N126" s="11" t="s">
        <v>71</v>
      </c>
      <c r="O126" s="11" t="s">
        <v>93</v>
      </c>
      <c r="P126" s="3"/>
      <c r="Q126">
        <v>9000</v>
      </c>
      <c r="R126">
        <v>114.89</v>
      </c>
      <c r="S126">
        <v>1.2765555555555556E-2</v>
      </c>
    </row>
    <row r="127" spans="1:19" x14ac:dyDescent="0.25">
      <c r="A127" s="11" t="s">
        <v>532</v>
      </c>
      <c r="B127" s="3">
        <v>45570</v>
      </c>
      <c r="C127" s="11" t="s">
        <v>937</v>
      </c>
      <c r="D127" s="11" t="s">
        <v>44</v>
      </c>
      <c r="E127" s="11" t="s">
        <v>125</v>
      </c>
      <c r="F127" s="11" t="s">
        <v>153</v>
      </c>
      <c r="G127" s="11" t="s">
        <v>148</v>
      </c>
      <c r="H127" s="11" t="s">
        <v>68</v>
      </c>
      <c r="I127">
        <v>10</v>
      </c>
      <c r="J127">
        <v>311.76</v>
      </c>
      <c r="K127">
        <v>0.05</v>
      </c>
      <c r="L127" s="11" t="s">
        <v>143</v>
      </c>
      <c r="M127" s="11" t="s">
        <v>92</v>
      </c>
      <c r="N127" s="11"/>
      <c r="O127" s="11" t="s">
        <v>880</v>
      </c>
      <c r="P127" s="3">
        <v>45570</v>
      </c>
      <c r="Q127">
        <v>12000</v>
      </c>
      <c r="R127">
        <v>3117.6</v>
      </c>
      <c r="S127">
        <v>0.25979999999999998</v>
      </c>
    </row>
    <row r="128" spans="1:19" x14ac:dyDescent="0.25">
      <c r="A128" s="11" t="s">
        <v>535</v>
      </c>
      <c r="B128" s="3">
        <v>45548</v>
      </c>
      <c r="C128" s="11" t="s">
        <v>935</v>
      </c>
      <c r="D128" s="11" t="s">
        <v>97</v>
      </c>
      <c r="E128" s="11" t="s">
        <v>98</v>
      </c>
      <c r="F128" s="11" t="s">
        <v>99</v>
      </c>
      <c r="G128" s="11" t="s">
        <v>164</v>
      </c>
      <c r="H128" s="11" t="s">
        <v>195</v>
      </c>
      <c r="I128">
        <v>11</v>
      </c>
      <c r="J128">
        <v>150.28</v>
      </c>
      <c r="K128">
        <v>0</v>
      </c>
      <c r="L128" s="11" t="s">
        <v>37</v>
      </c>
      <c r="M128" s="11" t="s">
        <v>70</v>
      </c>
      <c r="N128" s="11" t="s">
        <v>71</v>
      </c>
      <c r="O128" s="11" t="s">
        <v>93</v>
      </c>
      <c r="P128" s="3">
        <v>45548</v>
      </c>
      <c r="Q128">
        <v>10000</v>
      </c>
      <c r="R128">
        <v>1653.08</v>
      </c>
      <c r="S128">
        <v>0.16530799999999998</v>
      </c>
    </row>
    <row r="129" spans="1:19" x14ac:dyDescent="0.25">
      <c r="A129" s="11" t="s">
        <v>538</v>
      </c>
      <c r="B129" s="3">
        <v>45588</v>
      </c>
      <c r="C129" s="11" t="s">
        <v>540</v>
      </c>
      <c r="D129" s="11" t="s">
        <v>188</v>
      </c>
      <c r="E129" s="11" t="s">
        <v>32</v>
      </c>
      <c r="F129" s="11" t="s">
        <v>106</v>
      </c>
      <c r="G129" s="11" t="s">
        <v>107</v>
      </c>
      <c r="H129" s="11" t="s">
        <v>195</v>
      </c>
      <c r="I129">
        <v>2</v>
      </c>
      <c r="J129">
        <v>38.92</v>
      </c>
      <c r="K129">
        <v>0.15</v>
      </c>
      <c r="L129" s="11" t="s">
        <v>143</v>
      </c>
      <c r="M129" s="11" t="s">
        <v>201</v>
      </c>
      <c r="N129" s="11" t="s">
        <v>111</v>
      </c>
      <c r="O129" s="11" t="s">
        <v>126</v>
      </c>
      <c r="P129" s="3">
        <v>45588</v>
      </c>
      <c r="Q129">
        <v>15000</v>
      </c>
      <c r="R129">
        <v>77.84</v>
      </c>
      <c r="S129">
        <v>5.189333333333334E-3</v>
      </c>
    </row>
    <row r="130" spans="1:19" x14ac:dyDescent="0.25">
      <c r="A130" s="11" t="s">
        <v>542</v>
      </c>
      <c r="B130" s="3"/>
      <c r="C130" s="11" t="s">
        <v>544</v>
      </c>
      <c r="D130" s="11" t="s">
        <v>188</v>
      </c>
      <c r="E130" s="11" t="s">
        <v>32</v>
      </c>
      <c r="F130" s="11" t="s">
        <v>106</v>
      </c>
      <c r="G130" s="11" t="s">
        <v>47</v>
      </c>
      <c r="H130" s="11" t="s">
        <v>68</v>
      </c>
      <c r="I130">
        <v>8</v>
      </c>
      <c r="J130">
        <v>351.37</v>
      </c>
      <c r="K130">
        <v>0.15</v>
      </c>
      <c r="L130" s="11" t="s">
        <v>139</v>
      </c>
      <c r="M130" s="11" t="s">
        <v>86</v>
      </c>
      <c r="N130" s="11" t="s">
        <v>26</v>
      </c>
      <c r="O130" s="11"/>
      <c r="P130" s="3"/>
      <c r="Q130">
        <v>15000</v>
      </c>
      <c r="R130">
        <v>2810.96</v>
      </c>
      <c r="S130">
        <v>0.18739733333333333</v>
      </c>
    </row>
    <row r="131" spans="1:19" x14ac:dyDescent="0.25">
      <c r="A131" s="11" t="s">
        <v>545</v>
      </c>
      <c r="B131" s="3">
        <v>45370</v>
      </c>
      <c r="C131" s="11" t="s">
        <v>547</v>
      </c>
      <c r="D131" s="11" t="s">
        <v>162</v>
      </c>
      <c r="E131" s="11" t="s">
        <v>19</v>
      </c>
      <c r="F131" s="11" t="s">
        <v>106</v>
      </c>
      <c r="G131" s="11" t="s">
        <v>34</v>
      </c>
      <c r="H131" s="11" t="s">
        <v>195</v>
      </c>
      <c r="I131">
        <v>10</v>
      </c>
      <c r="J131">
        <v>113.56</v>
      </c>
      <c r="K131">
        <v>0</v>
      </c>
      <c r="L131" s="11" t="s">
        <v>37</v>
      </c>
      <c r="M131" s="11" t="s">
        <v>86</v>
      </c>
      <c r="N131" s="11" t="s">
        <v>39</v>
      </c>
      <c r="O131" s="11" t="s">
        <v>865</v>
      </c>
      <c r="P131" s="3">
        <v>45370</v>
      </c>
      <c r="Q131">
        <v>9000</v>
      </c>
      <c r="R131">
        <v>1135.5999999999999</v>
      </c>
      <c r="S131">
        <v>0.12617777777777778</v>
      </c>
    </row>
    <row r="132" spans="1:19" x14ac:dyDescent="0.25">
      <c r="A132" s="11" t="s">
        <v>548</v>
      </c>
      <c r="B132" s="3">
        <v>45475</v>
      </c>
      <c r="C132" s="11" t="s">
        <v>550</v>
      </c>
      <c r="D132" s="11" t="s">
        <v>188</v>
      </c>
      <c r="E132" s="11" t="s">
        <v>199</v>
      </c>
      <c r="F132" s="11" t="s">
        <v>106</v>
      </c>
      <c r="G132" s="11" t="s">
        <v>34</v>
      </c>
      <c r="H132" s="11" t="s">
        <v>68</v>
      </c>
      <c r="I132">
        <v>5</v>
      </c>
      <c r="J132">
        <v>353.5</v>
      </c>
      <c r="K132">
        <v>0.15</v>
      </c>
      <c r="L132" s="11" t="s">
        <v>143</v>
      </c>
      <c r="M132" s="11" t="s">
        <v>86</v>
      </c>
      <c r="N132" s="11" t="s">
        <v>111</v>
      </c>
      <c r="O132" s="11" t="s">
        <v>871</v>
      </c>
      <c r="P132" s="3">
        <v>45475</v>
      </c>
      <c r="Q132">
        <v>15000</v>
      </c>
      <c r="R132">
        <v>1767.5</v>
      </c>
      <c r="S132">
        <v>0.11783333333333333</v>
      </c>
    </row>
    <row r="133" spans="1:19" x14ac:dyDescent="0.25">
      <c r="A133" s="11" t="s">
        <v>552</v>
      </c>
      <c r="B133" s="3">
        <v>45612</v>
      </c>
      <c r="C133" s="11" t="s">
        <v>895</v>
      </c>
      <c r="D133" s="11" t="s">
        <v>162</v>
      </c>
      <c r="E133" s="11" t="s">
        <v>117</v>
      </c>
      <c r="F133" s="11" t="s">
        <v>77</v>
      </c>
      <c r="G133" s="11" t="s">
        <v>137</v>
      </c>
      <c r="H133" s="11" t="s">
        <v>195</v>
      </c>
      <c r="I133">
        <v>8</v>
      </c>
      <c r="J133">
        <v>92.01</v>
      </c>
      <c r="K133">
        <v>0.05</v>
      </c>
      <c r="L133" s="11" t="s">
        <v>102</v>
      </c>
      <c r="M133" s="11" t="s">
        <v>86</v>
      </c>
      <c r="N133" s="11" t="s">
        <v>71</v>
      </c>
      <c r="O133" s="11" t="s">
        <v>862</v>
      </c>
      <c r="P133" s="3">
        <v>45612</v>
      </c>
      <c r="Q133">
        <v>9000</v>
      </c>
      <c r="R133">
        <v>736.08</v>
      </c>
      <c r="S133">
        <v>8.1786666666666674E-2</v>
      </c>
    </row>
    <row r="134" spans="1:19" x14ac:dyDescent="0.25">
      <c r="A134" s="11" t="s">
        <v>555</v>
      </c>
      <c r="B134" s="3">
        <v>45507</v>
      </c>
      <c r="C134" s="11" t="s">
        <v>938</v>
      </c>
      <c r="D134" s="11" t="s">
        <v>162</v>
      </c>
      <c r="E134" s="11" t="s">
        <v>19</v>
      </c>
      <c r="F134" s="11" t="s">
        <v>77</v>
      </c>
      <c r="G134" s="11" t="s">
        <v>137</v>
      </c>
      <c r="H134" s="11" t="s">
        <v>195</v>
      </c>
      <c r="I134">
        <v>3</v>
      </c>
      <c r="J134">
        <v>450.3</v>
      </c>
      <c r="K134">
        <v>0</v>
      </c>
      <c r="L134" s="11" t="s">
        <v>143</v>
      </c>
      <c r="M134" s="11" t="s">
        <v>70</v>
      </c>
      <c r="N134" s="11" t="s">
        <v>71</v>
      </c>
      <c r="O134" s="11"/>
      <c r="P134" s="3">
        <v>45507</v>
      </c>
      <c r="Q134">
        <v>9000</v>
      </c>
      <c r="R134">
        <v>1350.9</v>
      </c>
      <c r="S134">
        <v>0.15010000000000001</v>
      </c>
    </row>
    <row r="135" spans="1:19" x14ac:dyDescent="0.25">
      <c r="A135" s="11" t="s">
        <v>558</v>
      </c>
      <c r="B135" s="3">
        <v>45330</v>
      </c>
      <c r="C135" s="11" t="s">
        <v>588</v>
      </c>
      <c r="D135" s="11" t="s">
        <v>97</v>
      </c>
      <c r="E135" s="11" t="s">
        <v>65</v>
      </c>
      <c r="F135" s="11" t="s">
        <v>153</v>
      </c>
      <c r="G135" s="11" t="s">
        <v>57</v>
      </c>
      <c r="H135" s="11" t="s">
        <v>195</v>
      </c>
      <c r="I135">
        <v>6</v>
      </c>
      <c r="J135">
        <v>199.51</v>
      </c>
      <c r="K135">
        <v>0</v>
      </c>
      <c r="L135" s="11" t="s">
        <v>139</v>
      </c>
      <c r="M135" s="11" t="s">
        <v>92</v>
      </c>
      <c r="N135" s="11" t="s">
        <v>111</v>
      </c>
      <c r="O135" s="11" t="s">
        <v>871</v>
      </c>
      <c r="P135" s="3">
        <v>45330</v>
      </c>
      <c r="Q135">
        <v>10000</v>
      </c>
      <c r="R135">
        <v>1197.06</v>
      </c>
      <c r="S135">
        <v>0.11970599999999999</v>
      </c>
    </row>
    <row r="136" spans="1:19" x14ac:dyDescent="0.25">
      <c r="A136" s="11" t="s">
        <v>561</v>
      </c>
      <c r="B136" s="3">
        <v>45535</v>
      </c>
      <c r="C136" s="11" t="s">
        <v>844</v>
      </c>
      <c r="D136" s="11" t="s">
        <v>188</v>
      </c>
      <c r="E136" s="11" t="s">
        <v>76</v>
      </c>
      <c r="F136" s="11" t="s">
        <v>99</v>
      </c>
      <c r="G136" s="11" t="s">
        <v>177</v>
      </c>
      <c r="H136" s="11" t="s">
        <v>195</v>
      </c>
      <c r="I136">
        <v>10</v>
      </c>
      <c r="J136">
        <v>487.05</v>
      </c>
      <c r="K136">
        <v>0.05</v>
      </c>
      <c r="L136" s="11" t="s">
        <v>143</v>
      </c>
      <c r="M136" s="11" t="s">
        <v>70</v>
      </c>
      <c r="N136" s="11" t="s">
        <v>26</v>
      </c>
      <c r="O136" s="11" t="s">
        <v>126</v>
      </c>
      <c r="P136" s="3">
        <v>45535</v>
      </c>
      <c r="Q136">
        <v>15000</v>
      </c>
      <c r="R136">
        <v>4870.5</v>
      </c>
      <c r="S136">
        <v>0.32469999999999999</v>
      </c>
    </row>
    <row r="137" spans="1:19" x14ac:dyDescent="0.25">
      <c r="A137" s="11" t="s">
        <v>563</v>
      </c>
      <c r="B137" s="3">
        <v>45440</v>
      </c>
      <c r="C137" s="11" t="s">
        <v>939</v>
      </c>
      <c r="D137" s="11" t="s">
        <v>188</v>
      </c>
      <c r="E137" s="11" t="s">
        <v>199</v>
      </c>
      <c r="F137" s="11" t="s">
        <v>106</v>
      </c>
      <c r="G137" s="11" t="s">
        <v>107</v>
      </c>
      <c r="H137" s="11" t="s">
        <v>195</v>
      </c>
      <c r="I137">
        <v>5</v>
      </c>
      <c r="J137">
        <v>499.37</v>
      </c>
      <c r="K137">
        <v>0.1</v>
      </c>
      <c r="L137" s="11" t="s">
        <v>139</v>
      </c>
      <c r="M137" s="11" t="s">
        <v>86</v>
      </c>
      <c r="N137" s="11" t="s">
        <v>26</v>
      </c>
      <c r="O137" s="11" t="s">
        <v>87</v>
      </c>
      <c r="P137" s="3">
        <v>45440</v>
      </c>
      <c r="Q137">
        <v>15000</v>
      </c>
      <c r="R137">
        <v>2496.85</v>
      </c>
      <c r="S137">
        <v>0.16645666666666667</v>
      </c>
    </row>
    <row r="138" spans="1:19" x14ac:dyDescent="0.25">
      <c r="A138" s="11" t="s">
        <v>566</v>
      </c>
      <c r="B138" s="3">
        <v>45602</v>
      </c>
      <c r="C138" s="11" t="s">
        <v>940</v>
      </c>
      <c r="D138" s="11" t="s">
        <v>188</v>
      </c>
      <c r="E138" s="11" t="s">
        <v>76</v>
      </c>
      <c r="F138" s="11" t="s">
        <v>99</v>
      </c>
      <c r="G138" s="11" t="s">
        <v>100</v>
      </c>
      <c r="H138" s="11" t="s">
        <v>68</v>
      </c>
      <c r="I138">
        <v>3</v>
      </c>
      <c r="J138">
        <v>61.62</v>
      </c>
      <c r="K138">
        <v>0.1</v>
      </c>
      <c r="L138" s="11" t="s">
        <v>37</v>
      </c>
      <c r="M138" s="11" t="s">
        <v>92</v>
      </c>
      <c r="N138" s="11" t="s">
        <v>111</v>
      </c>
      <c r="O138" s="11" t="s">
        <v>862</v>
      </c>
      <c r="P138" s="3">
        <v>45602</v>
      </c>
      <c r="Q138">
        <v>15000</v>
      </c>
      <c r="R138">
        <v>184.85999999999999</v>
      </c>
      <c r="S138">
        <v>1.2323999999999998E-2</v>
      </c>
    </row>
    <row r="139" spans="1:19" x14ac:dyDescent="0.25">
      <c r="A139" s="11" t="s">
        <v>569</v>
      </c>
      <c r="B139" s="3">
        <v>45467</v>
      </c>
      <c r="C139" s="11" t="s">
        <v>941</v>
      </c>
      <c r="D139" s="11" t="s">
        <v>188</v>
      </c>
      <c r="E139" s="11" t="s">
        <v>199</v>
      </c>
      <c r="F139" s="11" t="s">
        <v>153</v>
      </c>
      <c r="G139" s="11" t="s">
        <v>57</v>
      </c>
      <c r="H139" s="11" t="s">
        <v>195</v>
      </c>
      <c r="I139">
        <v>6</v>
      </c>
      <c r="J139">
        <v>9.81</v>
      </c>
      <c r="K139">
        <v>0</v>
      </c>
      <c r="L139" s="11" t="s">
        <v>143</v>
      </c>
      <c r="M139" s="11" t="s">
        <v>92</v>
      </c>
      <c r="N139" s="11"/>
      <c r="O139" s="11" t="s">
        <v>93</v>
      </c>
      <c r="P139" s="3">
        <v>45467</v>
      </c>
      <c r="Q139">
        <v>15000</v>
      </c>
      <c r="R139">
        <v>58.86</v>
      </c>
      <c r="S139">
        <v>3.9239999999999995E-3</v>
      </c>
    </row>
    <row r="140" spans="1:19" x14ac:dyDescent="0.25">
      <c r="A140" s="11" t="s">
        <v>572</v>
      </c>
      <c r="B140" s="3">
        <v>45608</v>
      </c>
      <c r="C140" s="11" t="s">
        <v>942</v>
      </c>
      <c r="D140" s="11" t="s">
        <v>97</v>
      </c>
      <c r="E140" s="11" t="s">
        <v>65</v>
      </c>
      <c r="F140" s="11" t="s">
        <v>77</v>
      </c>
      <c r="G140" s="11" t="s">
        <v>318</v>
      </c>
      <c r="H140" s="11" t="s">
        <v>68</v>
      </c>
      <c r="I140">
        <v>5</v>
      </c>
      <c r="J140">
        <v>54.99</v>
      </c>
      <c r="K140">
        <v>0.05</v>
      </c>
      <c r="L140" s="11" t="s">
        <v>139</v>
      </c>
      <c r="M140" s="11" t="s">
        <v>86</v>
      </c>
      <c r="N140" s="11" t="s">
        <v>26</v>
      </c>
      <c r="O140" s="11" t="s">
        <v>880</v>
      </c>
      <c r="P140" s="3">
        <v>45608</v>
      </c>
      <c r="Q140">
        <v>10000</v>
      </c>
      <c r="R140">
        <v>274.95</v>
      </c>
      <c r="S140">
        <v>2.7494999999999999E-2</v>
      </c>
    </row>
    <row r="141" spans="1:19" x14ac:dyDescent="0.25">
      <c r="A141" s="11" t="s">
        <v>574</v>
      </c>
      <c r="B141" s="3">
        <v>45458</v>
      </c>
      <c r="C141" s="11" t="s">
        <v>576</v>
      </c>
      <c r="D141" s="11" t="s">
        <v>188</v>
      </c>
      <c r="E141" s="11" t="s">
        <v>199</v>
      </c>
      <c r="F141" s="11" t="s">
        <v>298</v>
      </c>
      <c r="G141" s="11" t="s">
        <v>213</v>
      </c>
      <c r="H141" s="11" t="s">
        <v>195</v>
      </c>
      <c r="I141">
        <v>2</v>
      </c>
      <c r="J141">
        <v>353.43</v>
      </c>
      <c r="K141">
        <v>0</v>
      </c>
      <c r="L141" s="11" t="s">
        <v>143</v>
      </c>
      <c r="M141" s="11" t="s">
        <v>86</v>
      </c>
      <c r="N141" s="11" t="s">
        <v>39</v>
      </c>
      <c r="O141" s="11" t="s">
        <v>880</v>
      </c>
      <c r="P141" s="3">
        <v>45458</v>
      </c>
      <c r="Q141">
        <v>15000</v>
      </c>
      <c r="R141">
        <v>706.86</v>
      </c>
      <c r="S141">
        <v>4.7123999999999999E-2</v>
      </c>
    </row>
    <row r="142" spans="1:19" x14ac:dyDescent="0.25">
      <c r="A142" s="11" t="s">
        <v>578</v>
      </c>
      <c r="B142" s="3"/>
      <c r="C142" s="11" t="s">
        <v>863</v>
      </c>
      <c r="D142" s="11" t="s">
        <v>44</v>
      </c>
      <c r="E142" s="11" t="s">
        <v>45</v>
      </c>
      <c r="F142" s="11" t="s">
        <v>153</v>
      </c>
      <c r="G142" s="11" t="s">
        <v>330</v>
      </c>
      <c r="H142" s="11" t="s">
        <v>68</v>
      </c>
      <c r="I142">
        <v>12</v>
      </c>
      <c r="J142">
        <v>392.28</v>
      </c>
      <c r="K142">
        <v>0.05</v>
      </c>
      <c r="L142" s="11" t="s">
        <v>143</v>
      </c>
      <c r="M142" s="11" t="s">
        <v>86</v>
      </c>
      <c r="N142" s="11"/>
      <c r="O142" s="11" t="s">
        <v>126</v>
      </c>
      <c r="P142" s="3"/>
      <c r="Q142">
        <v>12000</v>
      </c>
      <c r="R142">
        <v>4707.3599999999997</v>
      </c>
      <c r="S142">
        <v>0.39227999999999996</v>
      </c>
    </row>
    <row r="143" spans="1:19" x14ac:dyDescent="0.25">
      <c r="A143" s="11" t="s">
        <v>579</v>
      </c>
      <c r="B143" s="3">
        <v>45341</v>
      </c>
      <c r="C143" s="11" t="s">
        <v>540</v>
      </c>
      <c r="D143" s="11" t="s">
        <v>188</v>
      </c>
      <c r="E143" s="11" t="s">
        <v>32</v>
      </c>
      <c r="F143" s="11" t="s">
        <v>298</v>
      </c>
      <c r="G143" s="11" t="s">
        <v>264</v>
      </c>
      <c r="H143" s="11" t="s">
        <v>195</v>
      </c>
      <c r="I143">
        <v>9</v>
      </c>
      <c r="K143">
        <v>0.05</v>
      </c>
      <c r="L143" s="11" t="s">
        <v>139</v>
      </c>
      <c r="M143" s="11" t="s">
        <v>201</v>
      </c>
      <c r="N143" s="11" t="s">
        <v>39</v>
      </c>
      <c r="O143" s="11" t="s">
        <v>93</v>
      </c>
      <c r="P143" s="3">
        <v>45341</v>
      </c>
      <c r="Q143">
        <v>15000</v>
      </c>
    </row>
    <row r="144" spans="1:19" x14ac:dyDescent="0.25">
      <c r="A144" s="11" t="s">
        <v>582</v>
      </c>
      <c r="B144" s="3">
        <v>45461</v>
      </c>
      <c r="C144" s="11" t="s">
        <v>943</v>
      </c>
      <c r="D144" s="11" t="s">
        <v>44</v>
      </c>
      <c r="E144" s="11" t="s">
        <v>45</v>
      </c>
      <c r="F144" s="11" t="s">
        <v>106</v>
      </c>
      <c r="G144" s="11" t="s">
        <v>34</v>
      </c>
      <c r="H144" s="11" t="s">
        <v>195</v>
      </c>
      <c r="I144">
        <v>11</v>
      </c>
      <c r="J144">
        <v>148.87</v>
      </c>
      <c r="K144">
        <v>0</v>
      </c>
      <c r="L144" s="11" t="s">
        <v>37</v>
      </c>
      <c r="M144" s="11" t="s">
        <v>201</v>
      </c>
      <c r="N144" s="11" t="s">
        <v>50</v>
      </c>
      <c r="O144" s="11" t="s">
        <v>871</v>
      </c>
      <c r="P144" s="3">
        <v>45461</v>
      </c>
      <c r="Q144">
        <v>12000</v>
      </c>
      <c r="R144">
        <v>1637.5700000000002</v>
      </c>
      <c r="S144">
        <v>0.13646416666666669</v>
      </c>
    </row>
    <row r="145" spans="1:19" x14ac:dyDescent="0.25">
      <c r="A145" s="11" t="s">
        <v>586</v>
      </c>
      <c r="B145" s="3">
        <v>45501</v>
      </c>
      <c r="C145" s="11" t="s">
        <v>588</v>
      </c>
      <c r="D145" s="11" t="s">
        <v>97</v>
      </c>
      <c r="E145" s="11" t="s">
        <v>98</v>
      </c>
      <c r="F145" s="11" t="s">
        <v>99</v>
      </c>
      <c r="G145" s="11" t="s">
        <v>100</v>
      </c>
      <c r="H145" s="11" t="s">
        <v>68</v>
      </c>
      <c r="I145">
        <v>4</v>
      </c>
      <c r="J145">
        <v>495.54</v>
      </c>
      <c r="K145">
        <v>0.1</v>
      </c>
      <c r="L145" s="11" t="s">
        <v>139</v>
      </c>
      <c r="M145" s="11" t="s">
        <v>92</v>
      </c>
      <c r="N145" s="11" t="s">
        <v>50</v>
      </c>
      <c r="O145" s="11" t="s">
        <v>126</v>
      </c>
      <c r="P145" s="3">
        <v>45501</v>
      </c>
      <c r="Q145">
        <v>10000</v>
      </c>
      <c r="R145">
        <v>1982.16</v>
      </c>
      <c r="S145">
        <v>0.198216</v>
      </c>
    </row>
    <row r="146" spans="1:19" x14ac:dyDescent="0.25">
      <c r="A146" s="11" t="s">
        <v>589</v>
      </c>
      <c r="B146" s="3">
        <v>45358</v>
      </c>
      <c r="C146" s="11" t="s">
        <v>944</v>
      </c>
      <c r="D146" s="11" t="s">
        <v>44</v>
      </c>
      <c r="E146" s="11" t="s">
        <v>125</v>
      </c>
      <c r="F146" s="11" t="s">
        <v>153</v>
      </c>
      <c r="G146" s="11" t="s">
        <v>330</v>
      </c>
      <c r="H146" s="11" t="s">
        <v>68</v>
      </c>
      <c r="I146">
        <v>8</v>
      </c>
      <c r="J146">
        <v>381.79</v>
      </c>
      <c r="K146">
        <v>0.15</v>
      </c>
      <c r="L146" s="11" t="s">
        <v>37</v>
      </c>
      <c r="M146" s="11" t="s">
        <v>70</v>
      </c>
      <c r="N146" s="11" t="s">
        <v>39</v>
      </c>
      <c r="O146" s="11" t="s">
        <v>865</v>
      </c>
      <c r="P146" s="3">
        <v>45358</v>
      </c>
      <c r="Q146">
        <v>12000</v>
      </c>
      <c r="R146">
        <v>3054.32</v>
      </c>
      <c r="S146">
        <v>0.25452666666666668</v>
      </c>
    </row>
    <row r="147" spans="1:19" x14ac:dyDescent="0.25">
      <c r="A147" s="11" t="s">
        <v>593</v>
      </c>
      <c r="B147" s="3">
        <v>45493</v>
      </c>
      <c r="C147" s="11" t="s">
        <v>945</v>
      </c>
      <c r="D147" s="11" t="s">
        <v>44</v>
      </c>
      <c r="E147" s="11" t="s">
        <v>45</v>
      </c>
      <c r="F147" s="11" t="s">
        <v>77</v>
      </c>
      <c r="G147" s="11" t="s">
        <v>236</v>
      </c>
      <c r="H147" s="11" t="s">
        <v>195</v>
      </c>
      <c r="I147">
        <v>11</v>
      </c>
      <c r="J147">
        <v>205.14</v>
      </c>
      <c r="K147">
        <v>0.05</v>
      </c>
      <c r="L147" s="11" t="s">
        <v>102</v>
      </c>
      <c r="M147" s="11" t="s">
        <v>201</v>
      </c>
      <c r="N147" s="11" t="s">
        <v>39</v>
      </c>
      <c r="O147" s="11" t="s">
        <v>126</v>
      </c>
      <c r="P147" s="3">
        <v>45493</v>
      </c>
      <c r="Q147">
        <v>12000</v>
      </c>
      <c r="R147">
        <v>2256.54</v>
      </c>
      <c r="S147">
        <v>0.18804499999999999</v>
      </c>
    </row>
    <row r="148" spans="1:19" x14ac:dyDescent="0.25">
      <c r="A148" s="11" t="s">
        <v>597</v>
      </c>
      <c r="B148" s="3">
        <v>45539</v>
      </c>
      <c r="C148" s="11" t="s">
        <v>946</v>
      </c>
      <c r="D148" s="11" t="s">
        <v>162</v>
      </c>
      <c r="E148" s="11" t="s">
        <v>19</v>
      </c>
      <c r="F148" s="11" t="s">
        <v>106</v>
      </c>
      <c r="G148" s="11" t="s">
        <v>323</v>
      </c>
      <c r="H148" s="11" t="s">
        <v>195</v>
      </c>
      <c r="I148">
        <v>7</v>
      </c>
      <c r="J148">
        <v>307.88</v>
      </c>
      <c r="K148">
        <v>0.05</v>
      </c>
      <c r="L148" s="11" t="s">
        <v>139</v>
      </c>
      <c r="M148" s="11" t="s">
        <v>201</v>
      </c>
      <c r="N148" s="11" t="s">
        <v>26</v>
      </c>
      <c r="O148" s="11"/>
      <c r="P148" s="3">
        <v>45539</v>
      </c>
      <c r="Q148">
        <v>9000</v>
      </c>
      <c r="R148">
        <v>2155.16</v>
      </c>
      <c r="S148">
        <v>0.23946222222222222</v>
      </c>
    </row>
    <row r="149" spans="1:19" x14ac:dyDescent="0.25">
      <c r="A149" s="11" t="s">
        <v>600</v>
      </c>
      <c r="B149" s="3">
        <v>45639</v>
      </c>
      <c r="C149" s="11" t="s">
        <v>947</v>
      </c>
      <c r="D149" s="11" t="s">
        <v>97</v>
      </c>
      <c r="E149" s="11" t="s">
        <v>65</v>
      </c>
      <c r="F149" s="11" t="s">
        <v>153</v>
      </c>
      <c r="G149" s="11" t="s">
        <v>154</v>
      </c>
      <c r="H149" s="11" t="s">
        <v>195</v>
      </c>
      <c r="I149">
        <v>9</v>
      </c>
      <c r="J149">
        <v>271.69</v>
      </c>
      <c r="K149">
        <v>0.1</v>
      </c>
      <c r="L149" s="11" t="s">
        <v>102</v>
      </c>
      <c r="M149" s="11" t="s">
        <v>92</v>
      </c>
      <c r="N149" s="11" t="s">
        <v>26</v>
      </c>
      <c r="O149" s="11" t="s">
        <v>871</v>
      </c>
      <c r="P149" s="3">
        <v>45639</v>
      </c>
      <c r="Q149">
        <v>10000</v>
      </c>
      <c r="R149">
        <v>2445.21</v>
      </c>
      <c r="S149">
        <v>0.24452100000000002</v>
      </c>
    </row>
    <row r="150" spans="1:19" x14ac:dyDescent="0.25">
      <c r="A150" s="11" t="s">
        <v>603</v>
      </c>
      <c r="B150" s="3"/>
      <c r="C150" s="11" t="s">
        <v>605</v>
      </c>
      <c r="D150" s="11" t="s">
        <v>44</v>
      </c>
      <c r="E150" s="11" t="s">
        <v>125</v>
      </c>
      <c r="F150" s="11" t="s">
        <v>153</v>
      </c>
      <c r="G150" s="11" t="s">
        <v>57</v>
      </c>
      <c r="H150" s="11" t="s">
        <v>195</v>
      </c>
      <c r="I150">
        <v>10</v>
      </c>
      <c r="J150">
        <v>442.25</v>
      </c>
      <c r="K150">
        <v>0</v>
      </c>
      <c r="L150" s="11" t="s">
        <v>102</v>
      </c>
      <c r="M150" s="11" t="s">
        <v>86</v>
      </c>
      <c r="N150" s="11" t="s">
        <v>71</v>
      </c>
      <c r="O150" s="11" t="s">
        <v>87</v>
      </c>
      <c r="P150" s="3"/>
      <c r="Q150">
        <v>12000</v>
      </c>
      <c r="R150">
        <v>4422.5</v>
      </c>
      <c r="S150">
        <v>0.36854166666666666</v>
      </c>
    </row>
    <row r="151" spans="1:19" x14ac:dyDescent="0.25">
      <c r="A151" s="11" t="s">
        <v>607</v>
      </c>
      <c r="B151" s="3">
        <v>45567</v>
      </c>
      <c r="C151" s="11" t="s">
        <v>948</v>
      </c>
      <c r="D151" s="11" t="s">
        <v>97</v>
      </c>
      <c r="E151" s="11" t="s">
        <v>65</v>
      </c>
      <c r="F151" s="11" t="s">
        <v>153</v>
      </c>
      <c r="G151" s="11" t="s">
        <v>330</v>
      </c>
      <c r="H151" s="11" t="s">
        <v>195</v>
      </c>
      <c r="I151">
        <v>7</v>
      </c>
      <c r="J151">
        <v>280.86</v>
      </c>
      <c r="K151">
        <v>0</v>
      </c>
      <c r="L151" s="11" t="s">
        <v>143</v>
      </c>
      <c r="M151" s="11" t="s">
        <v>92</v>
      </c>
      <c r="N151" s="11"/>
      <c r="O151" s="11"/>
      <c r="P151" s="3">
        <v>45567</v>
      </c>
      <c r="Q151">
        <v>10000</v>
      </c>
      <c r="R151">
        <v>1966.02</v>
      </c>
      <c r="S151">
        <v>0.196602</v>
      </c>
    </row>
    <row r="152" spans="1:19" x14ac:dyDescent="0.25">
      <c r="A152" s="11" t="s">
        <v>610</v>
      </c>
      <c r="B152" s="3">
        <v>45638</v>
      </c>
      <c r="C152" s="11" t="s">
        <v>949</v>
      </c>
      <c r="D152" s="11" t="s">
        <v>97</v>
      </c>
      <c r="E152" s="11" t="s">
        <v>98</v>
      </c>
      <c r="F152" s="11" t="s">
        <v>99</v>
      </c>
      <c r="G152" s="11" t="s">
        <v>164</v>
      </c>
      <c r="H152" s="11" t="s">
        <v>195</v>
      </c>
      <c r="I152">
        <v>11</v>
      </c>
      <c r="J152">
        <v>204.19</v>
      </c>
      <c r="K152">
        <v>0</v>
      </c>
      <c r="L152" s="11" t="s">
        <v>139</v>
      </c>
      <c r="M152" s="11" t="s">
        <v>201</v>
      </c>
      <c r="N152" s="11" t="s">
        <v>50</v>
      </c>
      <c r="O152" s="11" t="s">
        <v>880</v>
      </c>
      <c r="P152" s="3">
        <v>45638</v>
      </c>
      <c r="Q152">
        <v>10000</v>
      </c>
      <c r="R152">
        <v>2246.09</v>
      </c>
      <c r="S152">
        <v>0.224609</v>
      </c>
    </row>
    <row r="153" spans="1:19" x14ac:dyDescent="0.25">
      <c r="A153" s="11" t="s">
        <v>613</v>
      </c>
      <c r="B153" s="3"/>
      <c r="C153" s="11" t="s">
        <v>688</v>
      </c>
      <c r="D153" s="11" t="s">
        <v>44</v>
      </c>
      <c r="E153" s="11" t="s">
        <v>125</v>
      </c>
      <c r="F153" s="11" t="s">
        <v>99</v>
      </c>
      <c r="G153" s="11" t="s">
        <v>100</v>
      </c>
      <c r="H153" s="11" t="s">
        <v>195</v>
      </c>
      <c r="I153">
        <v>2</v>
      </c>
      <c r="J153">
        <v>217.11</v>
      </c>
      <c r="K153">
        <v>0</v>
      </c>
      <c r="L153" s="11" t="s">
        <v>102</v>
      </c>
      <c r="M153" s="11" t="s">
        <v>92</v>
      </c>
      <c r="N153" s="11" t="s">
        <v>39</v>
      </c>
      <c r="O153" s="11" t="s">
        <v>871</v>
      </c>
      <c r="P153" s="3"/>
      <c r="Q153">
        <v>12000</v>
      </c>
      <c r="R153">
        <v>434.22</v>
      </c>
      <c r="S153">
        <v>3.6185000000000002E-2</v>
      </c>
    </row>
    <row r="154" spans="1:19" x14ac:dyDescent="0.25">
      <c r="A154" s="11" t="s">
        <v>616</v>
      </c>
      <c r="B154" s="3"/>
      <c r="C154" s="11" t="s">
        <v>950</v>
      </c>
      <c r="D154" s="11" t="s">
        <v>97</v>
      </c>
      <c r="E154" s="11" t="s">
        <v>65</v>
      </c>
      <c r="F154" s="11" t="s">
        <v>153</v>
      </c>
      <c r="G154" s="11" t="s">
        <v>154</v>
      </c>
      <c r="H154" s="11" t="s">
        <v>195</v>
      </c>
      <c r="I154">
        <v>8</v>
      </c>
      <c r="J154">
        <v>20.420000000000002</v>
      </c>
      <c r="K154">
        <v>0.15</v>
      </c>
      <c r="L154" s="11" t="s">
        <v>102</v>
      </c>
      <c r="M154" s="11" t="s">
        <v>86</v>
      </c>
      <c r="N154" s="11" t="s">
        <v>50</v>
      </c>
      <c r="O154" s="11" t="s">
        <v>862</v>
      </c>
      <c r="P154" s="3"/>
      <c r="Q154">
        <v>10000</v>
      </c>
      <c r="R154">
        <v>163.36000000000001</v>
      </c>
      <c r="S154">
        <v>1.6336E-2</v>
      </c>
    </row>
    <row r="155" spans="1:19" x14ac:dyDescent="0.25">
      <c r="A155" s="11" t="s">
        <v>619</v>
      </c>
      <c r="B155" s="3">
        <v>45411</v>
      </c>
      <c r="C155" s="11" t="s">
        <v>951</v>
      </c>
      <c r="D155" s="11" t="s">
        <v>162</v>
      </c>
      <c r="E155" s="11" t="s">
        <v>19</v>
      </c>
      <c r="F155" s="11" t="s">
        <v>106</v>
      </c>
      <c r="G155" s="11" t="s">
        <v>34</v>
      </c>
      <c r="H155" s="11" t="s">
        <v>195</v>
      </c>
      <c r="I155">
        <v>3</v>
      </c>
      <c r="J155">
        <v>371.74</v>
      </c>
      <c r="K155">
        <v>0</v>
      </c>
      <c r="L155" s="11" t="s">
        <v>102</v>
      </c>
      <c r="M155" s="11" t="s">
        <v>86</v>
      </c>
      <c r="N155" s="11"/>
      <c r="O155" s="11" t="s">
        <v>862</v>
      </c>
      <c r="P155" s="3">
        <v>45411</v>
      </c>
      <c r="Q155">
        <v>9000</v>
      </c>
      <c r="R155">
        <v>1115.22</v>
      </c>
      <c r="S155">
        <v>0.12391333333333333</v>
      </c>
    </row>
    <row r="156" spans="1:19" x14ac:dyDescent="0.25">
      <c r="A156" s="11" t="s">
        <v>623</v>
      </c>
      <c r="B156" s="3">
        <v>45426</v>
      </c>
      <c r="C156" s="11" t="s">
        <v>939</v>
      </c>
      <c r="D156" s="11" t="s">
        <v>162</v>
      </c>
      <c r="E156" s="11" t="s">
        <v>117</v>
      </c>
      <c r="F156" s="11" t="s">
        <v>106</v>
      </c>
      <c r="G156" s="11" t="s">
        <v>323</v>
      </c>
      <c r="H156" s="11" t="s">
        <v>195</v>
      </c>
      <c r="I156">
        <v>11</v>
      </c>
      <c r="J156">
        <v>238.15</v>
      </c>
      <c r="K156">
        <v>0</v>
      </c>
      <c r="L156" s="11" t="s">
        <v>102</v>
      </c>
      <c r="M156" s="11" t="s">
        <v>86</v>
      </c>
      <c r="N156" s="11" t="s">
        <v>39</v>
      </c>
      <c r="O156" s="11" t="s">
        <v>126</v>
      </c>
      <c r="P156" s="3">
        <v>45426</v>
      </c>
      <c r="Q156">
        <v>9000</v>
      </c>
      <c r="R156">
        <v>2619.65</v>
      </c>
      <c r="S156">
        <v>0.29107222222222223</v>
      </c>
    </row>
    <row r="157" spans="1:19" x14ac:dyDescent="0.25">
      <c r="A157" s="11" t="s">
        <v>626</v>
      </c>
      <c r="B157" s="3">
        <v>45373</v>
      </c>
      <c r="C157" s="11" t="s">
        <v>874</v>
      </c>
      <c r="D157" s="11" t="s">
        <v>162</v>
      </c>
      <c r="E157" s="11" t="s">
        <v>117</v>
      </c>
      <c r="F157" s="11" t="s">
        <v>153</v>
      </c>
      <c r="G157" s="11" t="s">
        <v>154</v>
      </c>
      <c r="H157" s="11" t="s">
        <v>68</v>
      </c>
      <c r="I157">
        <v>5</v>
      </c>
      <c r="J157">
        <v>350.63</v>
      </c>
      <c r="K157">
        <v>0.2</v>
      </c>
      <c r="L157" s="11" t="s">
        <v>37</v>
      </c>
      <c r="M157" s="11" t="s">
        <v>86</v>
      </c>
      <c r="N157" s="11"/>
      <c r="O157" s="11" t="s">
        <v>93</v>
      </c>
      <c r="P157" s="3">
        <v>45373</v>
      </c>
      <c r="Q157">
        <v>9000</v>
      </c>
      <c r="R157">
        <v>1753.15</v>
      </c>
      <c r="S157">
        <v>0.19479444444444446</v>
      </c>
    </row>
    <row r="158" spans="1:19" x14ac:dyDescent="0.25">
      <c r="A158" s="11" t="s">
        <v>630</v>
      </c>
      <c r="B158" s="3">
        <v>45514</v>
      </c>
      <c r="C158" s="11" t="s">
        <v>952</v>
      </c>
      <c r="D158" s="11" t="s">
        <v>162</v>
      </c>
      <c r="E158" s="11" t="s">
        <v>117</v>
      </c>
      <c r="F158" s="11" t="s">
        <v>298</v>
      </c>
      <c r="G158" s="11" t="s">
        <v>131</v>
      </c>
      <c r="H158" s="11" t="s">
        <v>195</v>
      </c>
      <c r="I158">
        <v>10</v>
      </c>
      <c r="J158">
        <v>478.89</v>
      </c>
      <c r="K158">
        <v>0.2</v>
      </c>
      <c r="L158" s="11" t="s">
        <v>139</v>
      </c>
      <c r="M158" s="11" t="s">
        <v>92</v>
      </c>
      <c r="N158" s="11"/>
      <c r="O158" s="11" t="s">
        <v>93</v>
      </c>
      <c r="P158" s="3">
        <v>45514</v>
      </c>
      <c r="Q158">
        <v>9000</v>
      </c>
      <c r="R158">
        <v>4788.8999999999996</v>
      </c>
      <c r="S158">
        <v>0.53209999999999991</v>
      </c>
    </row>
    <row r="159" spans="1:19" x14ac:dyDescent="0.25">
      <c r="A159" s="11" t="s">
        <v>633</v>
      </c>
      <c r="B159" s="3">
        <v>45443</v>
      </c>
      <c r="C159" s="11" t="s">
        <v>953</v>
      </c>
      <c r="D159" s="11" t="s">
        <v>188</v>
      </c>
      <c r="E159" s="11" t="s">
        <v>199</v>
      </c>
      <c r="F159" s="11" t="s">
        <v>99</v>
      </c>
      <c r="G159" s="11" t="s">
        <v>177</v>
      </c>
      <c r="H159" s="11" t="s">
        <v>195</v>
      </c>
      <c r="I159">
        <v>7</v>
      </c>
      <c r="J159">
        <v>20.260000000000002</v>
      </c>
      <c r="K159">
        <v>0</v>
      </c>
      <c r="L159" s="11" t="s">
        <v>37</v>
      </c>
      <c r="M159" s="11" t="s">
        <v>92</v>
      </c>
      <c r="N159" s="11" t="s">
        <v>26</v>
      </c>
      <c r="O159" s="11" t="s">
        <v>880</v>
      </c>
      <c r="P159" s="3">
        <v>45443</v>
      </c>
      <c r="Q159">
        <v>15000</v>
      </c>
      <c r="R159">
        <v>141.82000000000002</v>
      </c>
      <c r="S159">
        <v>9.4546666666666685E-3</v>
      </c>
    </row>
    <row r="160" spans="1:19" x14ac:dyDescent="0.25">
      <c r="A160" s="11" t="s">
        <v>637</v>
      </c>
      <c r="B160" s="3">
        <v>45476</v>
      </c>
      <c r="C160" s="11" t="s">
        <v>660</v>
      </c>
      <c r="D160" s="11" t="s">
        <v>162</v>
      </c>
      <c r="E160" s="11" t="s">
        <v>117</v>
      </c>
      <c r="F160" s="11" t="s">
        <v>298</v>
      </c>
      <c r="G160" s="11" t="s">
        <v>213</v>
      </c>
      <c r="H160" s="11" t="s">
        <v>195</v>
      </c>
      <c r="I160">
        <v>7</v>
      </c>
      <c r="J160">
        <v>36.619999999999997</v>
      </c>
      <c r="K160">
        <v>0</v>
      </c>
      <c r="L160" s="11" t="s">
        <v>139</v>
      </c>
      <c r="M160" s="11" t="s">
        <v>92</v>
      </c>
      <c r="N160" s="11" t="s">
        <v>26</v>
      </c>
      <c r="O160" s="11" t="s">
        <v>87</v>
      </c>
      <c r="P160" s="3">
        <v>45476</v>
      </c>
      <c r="Q160">
        <v>9000</v>
      </c>
      <c r="R160">
        <v>256.33999999999997</v>
      </c>
      <c r="S160">
        <v>2.8482222222222218E-2</v>
      </c>
    </row>
    <row r="161" spans="1:19" x14ac:dyDescent="0.25">
      <c r="A161" s="11" t="s">
        <v>640</v>
      </c>
      <c r="B161" s="3">
        <v>45601</v>
      </c>
      <c r="C161" s="11" t="s">
        <v>642</v>
      </c>
      <c r="D161" s="11" t="s">
        <v>97</v>
      </c>
      <c r="E161" s="11" t="s">
        <v>98</v>
      </c>
      <c r="F161" s="11" t="s">
        <v>77</v>
      </c>
      <c r="G161" s="11" t="s">
        <v>137</v>
      </c>
      <c r="H161" s="11" t="s">
        <v>68</v>
      </c>
      <c r="I161">
        <v>8</v>
      </c>
      <c r="J161">
        <v>13.8</v>
      </c>
      <c r="K161">
        <v>0</v>
      </c>
      <c r="L161" s="11" t="s">
        <v>102</v>
      </c>
      <c r="M161" s="11" t="s">
        <v>86</v>
      </c>
      <c r="N161" s="11" t="s">
        <v>39</v>
      </c>
      <c r="O161" s="11" t="s">
        <v>880</v>
      </c>
      <c r="P161" s="3">
        <v>45601</v>
      </c>
      <c r="Q161">
        <v>10000</v>
      </c>
      <c r="R161">
        <v>110.4</v>
      </c>
      <c r="S161">
        <v>1.1040000000000001E-2</v>
      </c>
    </row>
    <row r="162" spans="1:19" x14ac:dyDescent="0.25">
      <c r="A162" s="11" t="s">
        <v>643</v>
      </c>
      <c r="B162" s="3">
        <v>45586</v>
      </c>
      <c r="C162" s="11" t="s">
        <v>954</v>
      </c>
      <c r="D162" s="11" t="s">
        <v>162</v>
      </c>
      <c r="E162" s="11" t="s">
        <v>19</v>
      </c>
      <c r="F162" s="11" t="s">
        <v>298</v>
      </c>
      <c r="G162" s="11" t="s">
        <v>119</v>
      </c>
      <c r="H162" s="11" t="s">
        <v>195</v>
      </c>
      <c r="I162">
        <v>8</v>
      </c>
      <c r="J162">
        <v>103.61</v>
      </c>
      <c r="K162">
        <v>0.05</v>
      </c>
      <c r="L162" s="11" t="s">
        <v>139</v>
      </c>
      <c r="M162" s="11" t="s">
        <v>201</v>
      </c>
      <c r="N162" s="11" t="s">
        <v>71</v>
      </c>
      <c r="O162" s="11" t="s">
        <v>880</v>
      </c>
      <c r="P162" s="3">
        <v>45586</v>
      </c>
      <c r="Q162">
        <v>9000</v>
      </c>
      <c r="R162">
        <v>828.88</v>
      </c>
      <c r="S162">
        <v>9.2097777777777778E-2</v>
      </c>
    </row>
    <row r="163" spans="1:19" x14ac:dyDescent="0.25">
      <c r="A163" s="11" t="s">
        <v>645</v>
      </c>
      <c r="B163" s="3">
        <v>45657</v>
      </c>
      <c r="C163" s="11" t="s">
        <v>955</v>
      </c>
      <c r="D163" s="11" t="s">
        <v>162</v>
      </c>
      <c r="E163" s="11" t="s">
        <v>117</v>
      </c>
      <c r="F163" s="11" t="s">
        <v>298</v>
      </c>
      <c r="G163" s="11" t="s">
        <v>131</v>
      </c>
      <c r="H163" s="11" t="s">
        <v>68</v>
      </c>
      <c r="I163">
        <v>10</v>
      </c>
      <c r="J163">
        <v>192.95</v>
      </c>
      <c r="K163">
        <v>0.05</v>
      </c>
      <c r="L163" s="11" t="s">
        <v>143</v>
      </c>
      <c r="M163" s="11" t="s">
        <v>86</v>
      </c>
      <c r="N163" s="11" t="s">
        <v>71</v>
      </c>
      <c r="O163" s="11"/>
      <c r="P163" s="3">
        <v>45657</v>
      </c>
      <c r="Q163">
        <v>9000</v>
      </c>
      <c r="R163">
        <v>1929.5</v>
      </c>
      <c r="S163">
        <v>0.21438888888888888</v>
      </c>
    </row>
    <row r="164" spans="1:19" x14ac:dyDescent="0.25">
      <c r="A164" s="11" t="s">
        <v>648</v>
      </c>
      <c r="B164" s="3">
        <v>45412</v>
      </c>
      <c r="C164" s="11" t="s">
        <v>956</v>
      </c>
      <c r="D164" s="11" t="s">
        <v>44</v>
      </c>
      <c r="E164" s="11" t="s">
        <v>125</v>
      </c>
      <c r="F164" s="11" t="s">
        <v>298</v>
      </c>
      <c r="G164" s="11" t="s">
        <v>119</v>
      </c>
      <c r="H164" s="11" t="s">
        <v>195</v>
      </c>
      <c r="I164">
        <v>8</v>
      </c>
      <c r="J164">
        <v>69.91</v>
      </c>
      <c r="K164">
        <v>0</v>
      </c>
      <c r="L164" s="11" t="s">
        <v>143</v>
      </c>
      <c r="M164" s="11" t="s">
        <v>70</v>
      </c>
      <c r="N164" s="11" t="s">
        <v>71</v>
      </c>
      <c r="O164" s="11" t="s">
        <v>865</v>
      </c>
      <c r="P164" s="3">
        <v>45412</v>
      </c>
      <c r="Q164">
        <v>12000</v>
      </c>
      <c r="R164">
        <v>559.28</v>
      </c>
      <c r="S164">
        <v>4.6606666666666664E-2</v>
      </c>
    </row>
    <row r="165" spans="1:19" x14ac:dyDescent="0.25">
      <c r="A165" s="11" t="s">
        <v>651</v>
      </c>
      <c r="B165" s="3">
        <v>45527</v>
      </c>
      <c r="C165" s="11" t="s">
        <v>957</v>
      </c>
      <c r="D165" s="11" t="s">
        <v>162</v>
      </c>
      <c r="E165" s="11" t="s">
        <v>19</v>
      </c>
      <c r="F165" s="11" t="s">
        <v>298</v>
      </c>
      <c r="G165" s="11" t="s">
        <v>21</v>
      </c>
      <c r="H165" s="11" t="s">
        <v>68</v>
      </c>
      <c r="I165">
        <v>6</v>
      </c>
      <c r="J165">
        <v>193.06</v>
      </c>
      <c r="K165">
        <v>0</v>
      </c>
      <c r="L165" s="11" t="s">
        <v>143</v>
      </c>
      <c r="M165" s="11" t="s">
        <v>70</v>
      </c>
      <c r="N165" s="11" t="s">
        <v>39</v>
      </c>
      <c r="O165" s="11" t="s">
        <v>862</v>
      </c>
      <c r="P165" s="3">
        <v>45527</v>
      </c>
      <c r="Q165">
        <v>9000</v>
      </c>
      <c r="R165">
        <v>1158.3600000000001</v>
      </c>
      <c r="S165">
        <v>0.12870666666666669</v>
      </c>
    </row>
    <row r="166" spans="1:19" x14ac:dyDescent="0.25">
      <c r="A166" s="11" t="s">
        <v>654</v>
      </c>
      <c r="B166" s="3">
        <v>45350</v>
      </c>
      <c r="C166" s="11" t="s">
        <v>958</v>
      </c>
      <c r="D166" s="11" t="s">
        <v>188</v>
      </c>
      <c r="E166" s="11" t="s">
        <v>32</v>
      </c>
      <c r="F166" s="11" t="s">
        <v>77</v>
      </c>
      <c r="G166" s="11" t="s">
        <v>137</v>
      </c>
      <c r="H166" s="11" t="s">
        <v>195</v>
      </c>
      <c r="I166">
        <v>6</v>
      </c>
      <c r="J166">
        <v>256.17</v>
      </c>
      <c r="K166">
        <v>0</v>
      </c>
      <c r="L166" s="11" t="s">
        <v>139</v>
      </c>
      <c r="M166" s="11" t="s">
        <v>201</v>
      </c>
      <c r="N166" s="11" t="s">
        <v>71</v>
      </c>
      <c r="O166" s="11" t="s">
        <v>40</v>
      </c>
      <c r="P166" s="3">
        <v>45350</v>
      </c>
      <c r="Q166">
        <v>15000</v>
      </c>
      <c r="R166">
        <v>1537.02</v>
      </c>
      <c r="S166">
        <v>0.102468</v>
      </c>
    </row>
    <row r="167" spans="1:19" x14ac:dyDescent="0.25">
      <c r="A167" s="11" t="s">
        <v>658</v>
      </c>
      <c r="B167" s="3">
        <v>45475</v>
      </c>
      <c r="C167" s="11" t="s">
        <v>660</v>
      </c>
      <c r="D167" s="11" t="s">
        <v>97</v>
      </c>
      <c r="E167" s="11" t="s">
        <v>65</v>
      </c>
      <c r="F167" s="11" t="s">
        <v>106</v>
      </c>
      <c r="G167" s="11" t="s">
        <v>34</v>
      </c>
      <c r="H167" s="11" t="s">
        <v>68</v>
      </c>
      <c r="I167">
        <v>8</v>
      </c>
      <c r="J167">
        <v>285.35000000000002</v>
      </c>
      <c r="K167">
        <v>0.05</v>
      </c>
      <c r="L167" s="11" t="s">
        <v>37</v>
      </c>
      <c r="M167" s="11" t="s">
        <v>70</v>
      </c>
      <c r="N167" s="11" t="s">
        <v>50</v>
      </c>
      <c r="O167" s="11" t="s">
        <v>40</v>
      </c>
      <c r="P167" s="3">
        <v>45475</v>
      </c>
      <c r="Q167">
        <v>10000</v>
      </c>
      <c r="R167">
        <v>2282.8000000000002</v>
      </c>
      <c r="S167">
        <v>0.22828000000000001</v>
      </c>
    </row>
    <row r="168" spans="1:19" x14ac:dyDescent="0.25">
      <c r="A168" s="11" t="s">
        <v>661</v>
      </c>
      <c r="B168" s="3">
        <v>45332</v>
      </c>
      <c r="C168" s="11" t="s">
        <v>663</v>
      </c>
      <c r="D168" s="11" t="s">
        <v>97</v>
      </c>
      <c r="E168" s="11" t="s">
        <v>98</v>
      </c>
      <c r="F168" s="11" t="s">
        <v>298</v>
      </c>
      <c r="G168" s="11" t="s">
        <v>131</v>
      </c>
      <c r="H168" s="11" t="s">
        <v>68</v>
      </c>
      <c r="J168">
        <v>459.11</v>
      </c>
      <c r="K168">
        <v>0.15</v>
      </c>
      <c r="L168" s="11" t="s">
        <v>139</v>
      </c>
      <c r="M168" s="11" t="s">
        <v>201</v>
      </c>
      <c r="N168" s="11" t="s">
        <v>39</v>
      </c>
      <c r="O168" s="11" t="s">
        <v>880</v>
      </c>
      <c r="P168" s="3">
        <v>45332</v>
      </c>
      <c r="Q168">
        <v>10000</v>
      </c>
    </row>
    <row r="169" spans="1:19" x14ac:dyDescent="0.25">
      <c r="A169" s="11" t="s">
        <v>664</v>
      </c>
      <c r="B169" s="3">
        <v>45455</v>
      </c>
      <c r="C169" s="11" t="s">
        <v>959</v>
      </c>
      <c r="D169" s="11" t="s">
        <v>44</v>
      </c>
      <c r="E169" s="11" t="s">
        <v>45</v>
      </c>
      <c r="F169" s="11" t="s">
        <v>298</v>
      </c>
      <c r="G169" s="11" t="s">
        <v>119</v>
      </c>
      <c r="H169" s="11" t="s">
        <v>195</v>
      </c>
      <c r="I169">
        <v>11</v>
      </c>
      <c r="J169">
        <v>134.47</v>
      </c>
      <c r="K169">
        <v>0</v>
      </c>
      <c r="L169" s="11" t="s">
        <v>37</v>
      </c>
      <c r="M169" s="11" t="s">
        <v>70</v>
      </c>
      <c r="N169" s="11" t="s">
        <v>50</v>
      </c>
      <c r="O169" s="11"/>
      <c r="P169" s="3">
        <v>45455</v>
      </c>
      <c r="Q169">
        <v>12000</v>
      </c>
      <c r="R169">
        <v>1479.17</v>
      </c>
      <c r="S169">
        <v>0.12326416666666667</v>
      </c>
    </row>
    <row r="170" spans="1:19" x14ac:dyDescent="0.25">
      <c r="A170" s="11" t="s">
        <v>667</v>
      </c>
      <c r="B170" s="3">
        <v>45501</v>
      </c>
      <c r="C170" s="11" t="s">
        <v>960</v>
      </c>
      <c r="D170" s="11" t="s">
        <v>97</v>
      </c>
      <c r="E170" s="11" t="s">
        <v>98</v>
      </c>
      <c r="F170" s="11" t="s">
        <v>106</v>
      </c>
      <c r="G170" s="11" t="s">
        <v>47</v>
      </c>
      <c r="H170" s="11" t="s">
        <v>68</v>
      </c>
      <c r="I170">
        <v>9</v>
      </c>
      <c r="J170">
        <v>341.95</v>
      </c>
      <c r="K170">
        <v>0.05</v>
      </c>
      <c r="L170" s="11" t="s">
        <v>143</v>
      </c>
      <c r="M170" s="11" t="s">
        <v>86</v>
      </c>
      <c r="N170" s="11" t="s">
        <v>71</v>
      </c>
      <c r="O170" s="11" t="s">
        <v>87</v>
      </c>
      <c r="P170" s="3">
        <v>45501</v>
      </c>
      <c r="Q170">
        <v>10000</v>
      </c>
      <c r="R170">
        <v>3077.5499999999997</v>
      </c>
      <c r="S170">
        <v>0.30775499999999995</v>
      </c>
    </row>
    <row r="171" spans="1:19" x14ac:dyDescent="0.25">
      <c r="A171" s="11" t="s">
        <v>670</v>
      </c>
      <c r="B171" s="3"/>
      <c r="C171" s="11" t="s">
        <v>883</v>
      </c>
      <c r="D171" s="11" t="s">
        <v>97</v>
      </c>
      <c r="E171" s="11" t="s">
        <v>98</v>
      </c>
      <c r="F171" s="11" t="s">
        <v>77</v>
      </c>
      <c r="G171" s="11" t="s">
        <v>268</v>
      </c>
      <c r="H171" s="11" t="s">
        <v>195</v>
      </c>
      <c r="I171">
        <v>6</v>
      </c>
      <c r="J171">
        <v>265.39999999999998</v>
      </c>
      <c r="K171">
        <v>0.2</v>
      </c>
      <c r="L171" s="11" t="s">
        <v>143</v>
      </c>
      <c r="M171" s="11" t="s">
        <v>92</v>
      </c>
      <c r="N171" s="11" t="s">
        <v>50</v>
      </c>
      <c r="O171" s="11"/>
      <c r="P171" s="3"/>
      <c r="Q171">
        <v>10000</v>
      </c>
      <c r="R171">
        <v>1592.3999999999999</v>
      </c>
      <c r="S171">
        <v>0.15923999999999999</v>
      </c>
    </row>
    <row r="172" spans="1:19" x14ac:dyDescent="0.25">
      <c r="A172" s="11" t="s">
        <v>673</v>
      </c>
      <c r="B172" s="3">
        <v>45577</v>
      </c>
      <c r="C172" s="11" t="s">
        <v>961</v>
      </c>
      <c r="D172" s="11" t="s">
        <v>97</v>
      </c>
      <c r="E172" s="11" t="s">
        <v>65</v>
      </c>
      <c r="F172" s="11" t="s">
        <v>153</v>
      </c>
      <c r="G172" s="11" t="s">
        <v>154</v>
      </c>
      <c r="H172" s="11" t="s">
        <v>68</v>
      </c>
      <c r="I172">
        <v>12</v>
      </c>
      <c r="J172">
        <v>355.64</v>
      </c>
      <c r="K172">
        <v>0</v>
      </c>
      <c r="L172" s="11" t="s">
        <v>37</v>
      </c>
      <c r="M172" s="11" t="s">
        <v>86</v>
      </c>
      <c r="N172" s="11" t="s">
        <v>50</v>
      </c>
      <c r="O172" s="11" t="s">
        <v>871</v>
      </c>
      <c r="P172" s="3">
        <v>45577</v>
      </c>
      <c r="Q172">
        <v>10000</v>
      </c>
      <c r="R172">
        <v>4267.68</v>
      </c>
      <c r="S172">
        <v>0.42676800000000004</v>
      </c>
    </row>
    <row r="173" spans="1:19" x14ac:dyDescent="0.25">
      <c r="A173" s="11" t="s">
        <v>676</v>
      </c>
      <c r="B173" s="3"/>
      <c r="C173" s="11" t="s">
        <v>678</v>
      </c>
      <c r="D173" s="11" t="s">
        <v>97</v>
      </c>
      <c r="E173" s="11" t="s">
        <v>98</v>
      </c>
      <c r="F173" s="11" t="s">
        <v>99</v>
      </c>
      <c r="G173" s="11" t="s">
        <v>100</v>
      </c>
      <c r="H173" s="11" t="s">
        <v>195</v>
      </c>
      <c r="I173">
        <v>5</v>
      </c>
      <c r="J173">
        <v>393.21</v>
      </c>
      <c r="K173">
        <v>0</v>
      </c>
      <c r="L173" s="11" t="s">
        <v>143</v>
      </c>
      <c r="M173" s="11" t="s">
        <v>92</v>
      </c>
      <c r="N173" s="11"/>
      <c r="O173" s="11"/>
      <c r="P173" s="3"/>
      <c r="Q173">
        <v>10000</v>
      </c>
      <c r="R173">
        <v>1966.05</v>
      </c>
      <c r="S173">
        <v>0.196605</v>
      </c>
    </row>
    <row r="174" spans="1:19" x14ac:dyDescent="0.25">
      <c r="A174" s="11" t="s">
        <v>679</v>
      </c>
      <c r="B174" s="3">
        <v>45525</v>
      </c>
      <c r="C174" s="11" t="s">
        <v>681</v>
      </c>
      <c r="D174" s="11" t="s">
        <v>188</v>
      </c>
      <c r="E174" s="11" t="s">
        <v>76</v>
      </c>
      <c r="F174" s="11" t="s">
        <v>153</v>
      </c>
      <c r="G174" s="11" t="s">
        <v>57</v>
      </c>
      <c r="H174" s="11" t="s">
        <v>195</v>
      </c>
      <c r="I174">
        <v>10</v>
      </c>
      <c r="J174">
        <v>367.87</v>
      </c>
      <c r="K174">
        <v>0</v>
      </c>
      <c r="L174" s="11" t="s">
        <v>143</v>
      </c>
      <c r="M174" s="11" t="s">
        <v>92</v>
      </c>
      <c r="N174" s="11" t="s">
        <v>50</v>
      </c>
      <c r="O174" s="11" t="s">
        <v>865</v>
      </c>
      <c r="P174" s="3">
        <v>45525</v>
      </c>
      <c r="Q174">
        <v>15000</v>
      </c>
      <c r="R174">
        <v>3678.7</v>
      </c>
      <c r="S174">
        <v>0.24524666666666667</v>
      </c>
    </row>
    <row r="175" spans="1:19" x14ac:dyDescent="0.25">
      <c r="A175" s="11" t="s">
        <v>683</v>
      </c>
      <c r="B175" s="3">
        <v>45526</v>
      </c>
      <c r="C175" s="11" t="s">
        <v>962</v>
      </c>
      <c r="D175" s="11" t="s">
        <v>162</v>
      </c>
      <c r="E175" s="11" t="s">
        <v>19</v>
      </c>
      <c r="F175" s="11" t="s">
        <v>77</v>
      </c>
      <c r="G175" s="11" t="s">
        <v>236</v>
      </c>
      <c r="H175" s="11" t="s">
        <v>195</v>
      </c>
      <c r="I175">
        <v>8</v>
      </c>
      <c r="J175">
        <v>183.76</v>
      </c>
      <c r="K175">
        <v>0.15</v>
      </c>
      <c r="L175" s="11" t="s">
        <v>102</v>
      </c>
      <c r="M175" s="11" t="s">
        <v>201</v>
      </c>
      <c r="N175" s="11" t="s">
        <v>111</v>
      </c>
      <c r="O175" s="11" t="s">
        <v>871</v>
      </c>
      <c r="P175" s="3">
        <v>45526</v>
      </c>
      <c r="Q175">
        <v>9000</v>
      </c>
      <c r="R175">
        <v>1470.08</v>
      </c>
      <c r="S175">
        <v>0.16334222222222222</v>
      </c>
    </row>
    <row r="176" spans="1:19" x14ac:dyDescent="0.25">
      <c r="A176" s="11" t="s">
        <v>685</v>
      </c>
      <c r="B176" s="3">
        <v>45504</v>
      </c>
      <c r="C176" s="11" t="s">
        <v>963</v>
      </c>
      <c r="D176" s="11" t="s">
        <v>188</v>
      </c>
      <c r="E176" s="11" t="s">
        <v>199</v>
      </c>
      <c r="F176" s="11" t="s">
        <v>298</v>
      </c>
      <c r="G176" s="11" t="s">
        <v>21</v>
      </c>
      <c r="H176" s="11" t="s">
        <v>195</v>
      </c>
      <c r="I176">
        <v>8</v>
      </c>
      <c r="J176">
        <v>77.94</v>
      </c>
      <c r="K176">
        <v>0.05</v>
      </c>
      <c r="L176" s="11" t="s">
        <v>139</v>
      </c>
      <c r="M176" s="11" t="s">
        <v>92</v>
      </c>
      <c r="N176" s="11" t="s">
        <v>39</v>
      </c>
      <c r="O176" s="11" t="s">
        <v>865</v>
      </c>
      <c r="P176" s="3">
        <v>45504</v>
      </c>
      <c r="Q176">
        <v>15000</v>
      </c>
      <c r="R176">
        <v>623.52</v>
      </c>
      <c r="S176">
        <v>4.1568000000000001E-2</v>
      </c>
    </row>
    <row r="177" spans="1:19" x14ac:dyDescent="0.25">
      <c r="A177" s="11" t="s">
        <v>689</v>
      </c>
      <c r="B177" s="3">
        <v>45602</v>
      </c>
      <c r="C177" s="11" t="s">
        <v>964</v>
      </c>
      <c r="D177" s="11" t="s">
        <v>44</v>
      </c>
      <c r="E177" s="11" t="s">
        <v>125</v>
      </c>
      <c r="F177" s="11" t="s">
        <v>298</v>
      </c>
      <c r="G177" s="11" t="s">
        <v>264</v>
      </c>
      <c r="H177" s="11" t="s">
        <v>68</v>
      </c>
      <c r="I177">
        <v>4</v>
      </c>
      <c r="K177">
        <v>0.2</v>
      </c>
      <c r="L177" s="11" t="s">
        <v>102</v>
      </c>
      <c r="M177" s="11" t="s">
        <v>92</v>
      </c>
      <c r="N177" s="11" t="s">
        <v>111</v>
      </c>
      <c r="O177" s="11" t="s">
        <v>871</v>
      </c>
      <c r="P177" s="3">
        <v>45602</v>
      </c>
      <c r="Q177">
        <v>12000</v>
      </c>
    </row>
    <row r="178" spans="1:19" x14ac:dyDescent="0.25">
      <c r="A178" s="11" t="s">
        <v>692</v>
      </c>
      <c r="B178" s="3">
        <v>45434</v>
      </c>
      <c r="C178" s="11" t="s">
        <v>694</v>
      </c>
      <c r="D178" s="11" t="s">
        <v>162</v>
      </c>
      <c r="E178" s="11" t="s">
        <v>19</v>
      </c>
      <c r="F178" s="11" t="s">
        <v>298</v>
      </c>
      <c r="G178" s="11" t="s">
        <v>119</v>
      </c>
      <c r="H178" s="11" t="s">
        <v>195</v>
      </c>
      <c r="I178">
        <v>3</v>
      </c>
      <c r="J178">
        <v>138.01</v>
      </c>
      <c r="K178">
        <v>0</v>
      </c>
      <c r="L178" s="11" t="s">
        <v>139</v>
      </c>
      <c r="M178" s="11" t="s">
        <v>201</v>
      </c>
      <c r="N178" s="11"/>
      <c r="O178" s="11" t="s">
        <v>87</v>
      </c>
      <c r="P178" s="3">
        <v>45434</v>
      </c>
      <c r="Q178">
        <v>9000</v>
      </c>
      <c r="R178">
        <v>414.03</v>
      </c>
      <c r="S178">
        <v>4.6003333333333334E-2</v>
      </c>
    </row>
    <row r="179" spans="1:19" x14ac:dyDescent="0.25">
      <c r="A179" s="11" t="s">
        <v>695</v>
      </c>
      <c r="B179" s="3">
        <v>45651</v>
      </c>
      <c r="C179" s="11" t="s">
        <v>697</v>
      </c>
      <c r="D179" s="11" t="s">
        <v>162</v>
      </c>
      <c r="E179" s="11" t="s">
        <v>19</v>
      </c>
      <c r="F179" s="11" t="s">
        <v>99</v>
      </c>
      <c r="G179" s="11" t="s">
        <v>84</v>
      </c>
      <c r="H179" s="11" t="s">
        <v>195</v>
      </c>
      <c r="J179">
        <v>113.23</v>
      </c>
      <c r="K179">
        <v>0</v>
      </c>
      <c r="L179" s="11" t="s">
        <v>143</v>
      </c>
      <c r="M179" s="11" t="s">
        <v>70</v>
      </c>
      <c r="N179" s="11"/>
      <c r="O179" s="11" t="s">
        <v>865</v>
      </c>
      <c r="P179" s="3">
        <v>45651</v>
      </c>
      <c r="Q179">
        <v>9000</v>
      </c>
    </row>
    <row r="180" spans="1:19" x14ac:dyDescent="0.25">
      <c r="A180" s="11" t="s">
        <v>698</v>
      </c>
      <c r="B180" s="3">
        <v>45635</v>
      </c>
      <c r="C180" s="11" t="s">
        <v>700</v>
      </c>
      <c r="D180" s="11" t="s">
        <v>162</v>
      </c>
      <c r="E180" s="11" t="s">
        <v>19</v>
      </c>
      <c r="F180" s="11" t="s">
        <v>99</v>
      </c>
      <c r="G180" s="11" t="s">
        <v>220</v>
      </c>
      <c r="H180" s="11" t="s">
        <v>68</v>
      </c>
      <c r="I180">
        <v>4</v>
      </c>
      <c r="J180">
        <v>193.16</v>
      </c>
      <c r="K180">
        <v>0.05</v>
      </c>
      <c r="L180" s="11" t="s">
        <v>139</v>
      </c>
      <c r="M180" s="11" t="s">
        <v>92</v>
      </c>
      <c r="N180" s="11" t="s">
        <v>111</v>
      </c>
      <c r="O180" s="11" t="s">
        <v>862</v>
      </c>
      <c r="P180" s="3">
        <v>45635</v>
      </c>
      <c r="Q180">
        <v>9000</v>
      </c>
      <c r="R180">
        <v>772.64</v>
      </c>
      <c r="S180">
        <v>8.5848888888888891E-2</v>
      </c>
    </row>
    <row r="181" spans="1:19" x14ac:dyDescent="0.25">
      <c r="A181" s="11" t="s">
        <v>701</v>
      </c>
      <c r="B181" s="3">
        <v>45385</v>
      </c>
      <c r="C181" s="11" t="s">
        <v>965</v>
      </c>
      <c r="D181" s="11" t="s">
        <v>188</v>
      </c>
      <c r="E181" s="11" t="s">
        <v>76</v>
      </c>
      <c r="F181" s="11" t="s">
        <v>99</v>
      </c>
      <c r="G181" s="11" t="s">
        <v>220</v>
      </c>
      <c r="H181" s="11" t="s">
        <v>68</v>
      </c>
      <c r="I181">
        <v>1</v>
      </c>
      <c r="J181">
        <v>172.58</v>
      </c>
      <c r="K181">
        <v>0.15</v>
      </c>
      <c r="L181" s="11" t="s">
        <v>37</v>
      </c>
      <c r="M181" s="11" t="s">
        <v>92</v>
      </c>
      <c r="N181" s="11"/>
      <c r="O181" s="11" t="s">
        <v>862</v>
      </c>
      <c r="P181" s="3">
        <v>45385</v>
      </c>
      <c r="Q181">
        <v>15000</v>
      </c>
      <c r="R181">
        <v>172.58</v>
      </c>
      <c r="S181">
        <v>1.1505333333333334E-2</v>
      </c>
    </row>
    <row r="182" spans="1:19" x14ac:dyDescent="0.25">
      <c r="A182" s="11" t="s">
        <v>704</v>
      </c>
      <c r="B182" s="3">
        <v>45329</v>
      </c>
      <c r="C182" s="11" t="s">
        <v>706</v>
      </c>
      <c r="D182" s="11" t="s">
        <v>97</v>
      </c>
      <c r="E182" s="11" t="s">
        <v>98</v>
      </c>
      <c r="F182" s="11" t="s">
        <v>106</v>
      </c>
      <c r="G182" s="11" t="s">
        <v>323</v>
      </c>
      <c r="H182" s="11" t="s">
        <v>68</v>
      </c>
      <c r="I182">
        <v>8</v>
      </c>
      <c r="J182">
        <v>223.89</v>
      </c>
      <c r="K182">
        <v>0</v>
      </c>
      <c r="L182" s="11" t="s">
        <v>143</v>
      </c>
      <c r="M182" s="11" t="s">
        <v>92</v>
      </c>
      <c r="N182" s="11" t="s">
        <v>26</v>
      </c>
      <c r="O182" s="11" t="s">
        <v>87</v>
      </c>
      <c r="P182" s="3">
        <v>45329</v>
      </c>
      <c r="Q182">
        <v>10000</v>
      </c>
      <c r="R182">
        <v>1791.12</v>
      </c>
      <c r="S182">
        <v>0.17911199999999999</v>
      </c>
    </row>
    <row r="183" spans="1:19" x14ac:dyDescent="0.25">
      <c r="A183" s="11" t="s">
        <v>707</v>
      </c>
      <c r="B183" s="3">
        <v>45506</v>
      </c>
      <c r="C183" s="11" t="s">
        <v>709</v>
      </c>
      <c r="D183" s="11" t="s">
        <v>44</v>
      </c>
      <c r="E183" s="11" t="s">
        <v>45</v>
      </c>
      <c r="F183" s="11" t="s">
        <v>77</v>
      </c>
      <c r="G183" s="11" t="s">
        <v>78</v>
      </c>
      <c r="H183" s="11" t="s">
        <v>195</v>
      </c>
      <c r="I183">
        <v>4</v>
      </c>
      <c r="J183">
        <v>176.35</v>
      </c>
      <c r="K183">
        <v>0</v>
      </c>
      <c r="L183" s="11" t="s">
        <v>143</v>
      </c>
      <c r="M183" s="11" t="s">
        <v>70</v>
      </c>
      <c r="N183" s="11"/>
      <c r="O183" s="11" t="s">
        <v>126</v>
      </c>
      <c r="P183" s="3">
        <v>45506</v>
      </c>
      <c r="Q183">
        <v>12000</v>
      </c>
      <c r="R183">
        <v>705.4</v>
      </c>
      <c r="S183">
        <v>5.8783333333333333E-2</v>
      </c>
    </row>
    <row r="184" spans="1:19" x14ac:dyDescent="0.25">
      <c r="A184" s="11" t="s">
        <v>710</v>
      </c>
      <c r="B184" s="3">
        <v>45533</v>
      </c>
      <c r="C184" s="11" t="s">
        <v>966</v>
      </c>
      <c r="D184" s="11" t="s">
        <v>97</v>
      </c>
      <c r="E184" s="11" t="s">
        <v>98</v>
      </c>
      <c r="F184" s="11" t="s">
        <v>153</v>
      </c>
      <c r="G184" s="11" t="s">
        <v>154</v>
      </c>
      <c r="H184" s="11" t="s">
        <v>68</v>
      </c>
      <c r="J184">
        <v>160.28</v>
      </c>
      <c r="K184">
        <v>0.15</v>
      </c>
      <c r="L184" s="11" t="s">
        <v>102</v>
      </c>
      <c r="M184" s="11" t="s">
        <v>70</v>
      </c>
      <c r="N184" s="11" t="s">
        <v>26</v>
      </c>
      <c r="O184" s="11" t="s">
        <v>871</v>
      </c>
      <c r="P184" s="3">
        <v>45533</v>
      </c>
      <c r="Q184">
        <v>10000</v>
      </c>
    </row>
    <row r="185" spans="1:19" x14ac:dyDescent="0.25">
      <c r="A185" s="11" t="s">
        <v>713</v>
      </c>
      <c r="B185" s="3">
        <v>45627</v>
      </c>
      <c r="C185" s="11" t="s">
        <v>715</v>
      </c>
      <c r="D185" s="11" t="s">
        <v>162</v>
      </c>
      <c r="E185" s="11" t="s">
        <v>19</v>
      </c>
      <c r="F185" s="11" t="s">
        <v>99</v>
      </c>
      <c r="G185" s="11" t="s">
        <v>220</v>
      </c>
      <c r="H185" s="11" t="s">
        <v>195</v>
      </c>
      <c r="I185">
        <v>7</v>
      </c>
      <c r="J185">
        <v>273.8</v>
      </c>
      <c r="K185">
        <v>0.05</v>
      </c>
      <c r="L185" s="11" t="s">
        <v>143</v>
      </c>
      <c r="M185" s="11" t="s">
        <v>92</v>
      </c>
      <c r="N185" s="11" t="s">
        <v>39</v>
      </c>
      <c r="O185" s="11" t="s">
        <v>880</v>
      </c>
      <c r="P185" s="3">
        <v>45627</v>
      </c>
      <c r="Q185">
        <v>9000</v>
      </c>
      <c r="R185">
        <v>1916.6000000000001</v>
      </c>
      <c r="S185">
        <v>0.21295555555555556</v>
      </c>
    </row>
    <row r="186" spans="1:19" x14ac:dyDescent="0.25">
      <c r="A186" s="11" t="s">
        <v>716</v>
      </c>
      <c r="B186" s="3">
        <v>45511</v>
      </c>
      <c r="C186" s="11" t="s">
        <v>967</v>
      </c>
      <c r="D186" s="11" t="s">
        <v>188</v>
      </c>
      <c r="E186" s="11" t="s">
        <v>199</v>
      </c>
      <c r="F186" s="11" t="s">
        <v>99</v>
      </c>
      <c r="G186" s="11" t="s">
        <v>100</v>
      </c>
      <c r="H186" s="11" t="s">
        <v>195</v>
      </c>
      <c r="I186">
        <v>1</v>
      </c>
      <c r="J186">
        <v>388.56</v>
      </c>
      <c r="K186">
        <v>0.1</v>
      </c>
      <c r="L186" s="11" t="s">
        <v>143</v>
      </c>
      <c r="M186" s="11" t="s">
        <v>70</v>
      </c>
      <c r="N186" s="11" t="s">
        <v>26</v>
      </c>
      <c r="O186" s="11" t="s">
        <v>87</v>
      </c>
      <c r="P186" s="3">
        <v>45511</v>
      </c>
      <c r="Q186">
        <v>15000</v>
      </c>
      <c r="R186">
        <v>388.56</v>
      </c>
      <c r="S186">
        <v>2.5904E-2</v>
      </c>
    </row>
    <row r="187" spans="1:19" x14ac:dyDescent="0.25">
      <c r="A187" s="11" t="s">
        <v>719</v>
      </c>
      <c r="B187" s="3">
        <v>45627</v>
      </c>
      <c r="C187" s="11" t="s">
        <v>968</v>
      </c>
      <c r="D187" s="11" t="s">
        <v>162</v>
      </c>
      <c r="E187" s="11" t="s">
        <v>19</v>
      </c>
      <c r="F187" s="11" t="s">
        <v>99</v>
      </c>
      <c r="G187" s="11" t="s">
        <v>177</v>
      </c>
      <c r="H187" s="11" t="s">
        <v>68</v>
      </c>
      <c r="I187">
        <v>8</v>
      </c>
      <c r="J187">
        <v>316.73</v>
      </c>
      <c r="K187">
        <v>0.15</v>
      </c>
      <c r="L187" s="11" t="s">
        <v>139</v>
      </c>
      <c r="M187" s="11" t="s">
        <v>86</v>
      </c>
      <c r="N187" s="11" t="s">
        <v>111</v>
      </c>
      <c r="O187" s="11" t="s">
        <v>862</v>
      </c>
      <c r="P187" s="3">
        <v>45627</v>
      </c>
      <c r="Q187">
        <v>9000</v>
      </c>
      <c r="R187">
        <v>2533.84</v>
      </c>
      <c r="S187">
        <v>0.28153777777777778</v>
      </c>
    </row>
    <row r="188" spans="1:19" x14ac:dyDescent="0.25">
      <c r="A188" s="11" t="s">
        <v>723</v>
      </c>
      <c r="B188" s="3">
        <v>45357</v>
      </c>
      <c r="C188" s="11" t="s">
        <v>725</v>
      </c>
      <c r="D188" s="11" t="s">
        <v>44</v>
      </c>
      <c r="E188" s="11" t="s">
        <v>45</v>
      </c>
      <c r="F188" s="11" t="s">
        <v>99</v>
      </c>
      <c r="G188" s="11" t="s">
        <v>177</v>
      </c>
      <c r="H188" s="11" t="s">
        <v>195</v>
      </c>
      <c r="I188">
        <v>12</v>
      </c>
      <c r="J188">
        <v>339.24</v>
      </c>
      <c r="K188">
        <v>0.15</v>
      </c>
      <c r="L188" s="11" t="s">
        <v>143</v>
      </c>
      <c r="M188" s="11" t="s">
        <v>86</v>
      </c>
      <c r="N188" s="11" t="s">
        <v>39</v>
      </c>
      <c r="O188" s="11" t="s">
        <v>871</v>
      </c>
      <c r="P188" s="3">
        <v>45357</v>
      </c>
      <c r="Q188">
        <v>12000</v>
      </c>
      <c r="R188">
        <v>4070.88</v>
      </c>
      <c r="S188">
        <v>0.33923999999999999</v>
      </c>
    </row>
    <row r="189" spans="1:19" x14ac:dyDescent="0.25">
      <c r="A189" s="11" t="s">
        <v>726</v>
      </c>
      <c r="B189" s="3">
        <v>45651</v>
      </c>
      <c r="C189" s="11" t="s">
        <v>727</v>
      </c>
      <c r="D189" s="11" t="s">
        <v>162</v>
      </c>
      <c r="E189" s="11" t="s">
        <v>117</v>
      </c>
      <c r="F189" s="11" t="s">
        <v>99</v>
      </c>
      <c r="G189" s="11" t="s">
        <v>164</v>
      </c>
      <c r="H189" s="11" t="s">
        <v>195</v>
      </c>
      <c r="I189">
        <v>10</v>
      </c>
      <c r="J189">
        <v>255.77</v>
      </c>
      <c r="K189">
        <v>0.2</v>
      </c>
      <c r="L189" s="11" t="s">
        <v>143</v>
      </c>
      <c r="M189" s="11" t="s">
        <v>70</v>
      </c>
      <c r="N189" s="11" t="s">
        <v>71</v>
      </c>
      <c r="O189" s="11" t="s">
        <v>862</v>
      </c>
      <c r="P189" s="3">
        <v>45651</v>
      </c>
      <c r="Q189">
        <v>9000</v>
      </c>
      <c r="R189">
        <v>2557.7000000000003</v>
      </c>
      <c r="S189">
        <v>0.28418888888888894</v>
      </c>
    </row>
    <row r="190" spans="1:19" x14ac:dyDescent="0.25">
      <c r="A190" s="11" t="s">
        <v>728</v>
      </c>
      <c r="B190" s="3">
        <v>45452</v>
      </c>
      <c r="C190" s="11" t="s">
        <v>678</v>
      </c>
      <c r="D190" s="11" t="s">
        <v>188</v>
      </c>
      <c r="E190" s="11" t="s">
        <v>76</v>
      </c>
      <c r="F190" s="11" t="s">
        <v>298</v>
      </c>
      <c r="G190" s="11" t="s">
        <v>21</v>
      </c>
      <c r="H190" s="11" t="s">
        <v>68</v>
      </c>
      <c r="J190">
        <v>472.97</v>
      </c>
      <c r="K190">
        <v>0.05</v>
      </c>
      <c r="L190" s="11" t="s">
        <v>139</v>
      </c>
      <c r="M190" s="11" t="s">
        <v>201</v>
      </c>
      <c r="N190" s="11"/>
      <c r="O190" s="11" t="s">
        <v>871</v>
      </c>
      <c r="P190" s="3">
        <v>45452</v>
      </c>
      <c r="Q190">
        <v>15000</v>
      </c>
    </row>
    <row r="191" spans="1:19" x14ac:dyDescent="0.25">
      <c r="A191" s="11" t="s">
        <v>730</v>
      </c>
      <c r="B191" s="3"/>
      <c r="C191" s="11" t="s">
        <v>969</v>
      </c>
      <c r="D191" s="11" t="s">
        <v>162</v>
      </c>
      <c r="E191" s="11" t="s">
        <v>117</v>
      </c>
      <c r="F191" s="11" t="s">
        <v>77</v>
      </c>
      <c r="G191" s="11" t="s">
        <v>137</v>
      </c>
      <c r="H191" s="11" t="s">
        <v>195</v>
      </c>
      <c r="I191">
        <v>10</v>
      </c>
      <c r="J191">
        <v>104.42</v>
      </c>
      <c r="K191">
        <v>0.1</v>
      </c>
      <c r="L191" s="11" t="s">
        <v>143</v>
      </c>
      <c r="M191" s="11" t="s">
        <v>70</v>
      </c>
      <c r="N191" s="11"/>
      <c r="O191" s="11" t="s">
        <v>40</v>
      </c>
      <c r="P191" s="3"/>
      <c r="Q191">
        <v>9000</v>
      </c>
      <c r="R191">
        <v>1044.2</v>
      </c>
      <c r="S191">
        <v>0.11602222222222222</v>
      </c>
    </row>
    <row r="192" spans="1:19" x14ac:dyDescent="0.25">
      <c r="A192" s="11" t="s">
        <v>733</v>
      </c>
      <c r="B192" s="3">
        <v>45467</v>
      </c>
      <c r="C192" s="11" t="s">
        <v>970</v>
      </c>
      <c r="D192" s="11" t="s">
        <v>44</v>
      </c>
      <c r="E192" s="11" t="s">
        <v>125</v>
      </c>
      <c r="F192" s="11" t="s">
        <v>153</v>
      </c>
      <c r="G192" s="11" t="s">
        <v>330</v>
      </c>
      <c r="H192" s="11" t="s">
        <v>68</v>
      </c>
      <c r="I192">
        <v>1</v>
      </c>
      <c r="J192">
        <v>43.58</v>
      </c>
      <c r="K192">
        <v>0.15</v>
      </c>
      <c r="L192" s="11" t="s">
        <v>143</v>
      </c>
      <c r="M192" s="11" t="s">
        <v>86</v>
      </c>
      <c r="N192" s="11"/>
      <c r="O192" s="11" t="s">
        <v>865</v>
      </c>
      <c r="P192" s="3">
        <v>45467</v>
      </c>
      <c r="Q192">
        <v>12000</v>
      </c>
      <c r="R192">
        <v>43.58</v>
      </c>
      <c r="S192">
        <v>3.6316666666666667E-3</v>
      </c>
    </row>
    <row r="193" spans="1:19" x14ac:dyDescent="0.25">
      <c r="A193" s="11" t="s">
        <v>735</v>
      </c>
      <c r="B193" s="3"/>
      <c r="C193" s="11" t="s">
        <v>971</v>
      </c>
      <c r="D193" s="11" t="s">
        <v>188</v>
      </c>
      <c r="E193" s="11" t="s">
        <v>199</v>
      </c>
      <c r="F193" s="11" t="s">
        <v>153</v>
      </c>
      <c r="G193" s="11" t="s">
        <v>330</v>
      </c>
      <c r="H193" s="11" t="s">
        <v>68</v>
      </c>
      <c r="I193">
        <v>9</v>
      </c>
      <c r="J193">
        <v>439.93</v>
      </c>
      <c r="K193">
        <v>0</v>
      </c>
      <c r="L193" s="11" t="s">
        <v>37</v>
      </c>
      <c r="M193" s="11" t="s">
        <v>201</v>
      </c>
      <c r="N193" s="11" t="s">
        <v>111</v>
      </c>
      <c r="O193" s="11"/>
      <c r="P193" s="3"/>
      <c r="Q193">
        <v>15000</v>
      </c>
      <c r="R193">
        <v>3959.37</v>
      </c>
      <c r="S193">
        <v>0.26395799999999997</v>
      </c>
    </row>
    <row r="194" spans="1:19" x14ac:dyDescent="0.25">
      <c r="A194" s="11" t="s">
        <v>738</v>
      </c>
      <c r="B194" s="3">
        <v>45335</v>
      </c>
      <c r="C194" s="11" t="s">
        <v>907</v>
      </c>
      <c r="D194" s="11" t="s">
        <v>44</v>
      </c>
      <c r="E194" s="11" t="s">
        <v>125</v>
      </c>
      <c r="F194" s="11" t="s">
        <v>77</v>
      </c>
      <c r="G194" s="11" t="s">
        <v>137</v>
      </c>
      <c r="H194" s="11" t="s">
        <v>195</v>
      </c>
      <c r="I194">
        <v>8</v>
      </c>
      <c r="J194">
        <v>419.35</v>
      </c>
      <c r="K194">
        <v>0</v>
      </c>
      <c r="L194" s="11" t="s">
        <v>37</v>
      </c>
      <c r="M194" s="11" t="s">
        <v>201</v>
      </c>
      <c r="N194" s="11" t="s">
        <v>39</v>
      </c>
      <c r="O194" s="11" t="s">
        <v>93</v>
      </c>
      <c r="P194" s="3">
        <v>45335</v>
      </c>
      <c r="Q194">
        <v>12000</v>
      </c>
      <c r="R194">
        <v>3354.8</v>
      </c>
      <c r="S194">
        <v>0.27956666666666669</v>
      </c>
    </row>
    <row r="195" spans="1:19" x14ac:dyDescent="0.25">
      <c r="A195" s="11" t="s">
        <v>741</v>
      </c>
      <c r="B195" s="3"/>
      <c r="C195" s="11" t="s">
        <v>743</v>
      </c>
      <c r="D195" s="11" t="s">
        <v>44</v>
      </c>
      <c r="E195" s="11" t="s">
        <v>45</v>
      </c>
      <c r="F195" s="11" t="s">
        <v>106</v>
      </c>
      <c r="G195" s="11" t="s">
        <v>323</v>
      </c>
      <c r="H195" s="11" t="s">
        <v>68</v>
      </c>
      <c r="I195">
        <v>4</v>
      </c>
      <c r="J195">
        <v>193.02</v>
      </c>
      <c r="K195">
        <v>0.1</v>
      </c>
      <c r="L195" s="11" t="s">
        <v>143</v>
      </c>
      <c r="M195" s="11" t="s">
        <v>70</v>
      </c>
      <c r="N195" s="11" t="s">
        <v>50</v>
      </c>
      <c r="O195" s="11" t="s">
        <v>87</v>
      </c>
      <c r="P195" s="3"/>
      <c r="Q195">
        <v>12000</v>
      </c>
      <c r="R195">
        <v>772.08</v>
      </c>
      <c r="S195">
        <v>6.4340000000000008E-2</v>
      </c>
    </row>
    <row r="196" spans="1:19" x14ac:dyDescent="0.25">
      <c r="A196" s="11" t="s">
        <v>744</v>
      </c>
      <c r="B196" s="3">
        <v>45575</v>
      </c>
      <c r="C196" s="11" t="s">
        <v>746</v>
      </c>
      <c r="D196" s="11" t="s">
        <v>162</v>
      </c>
      <c r="E196" s="11" t="s">
        <v>117</v>
      </c>
      <c r="F196" s="11" t="s">
        <v>106</v>
      </c>
      <c r="G196" s="11" t="s">
        <v>368</v>
      </c>
      <c r="H196" s="11" t="s">
        <v>195</v>
      </c>
      <c r="J196">
        <v>432.15</v>
      </c>
      <c r="K196">
        <v>0.15</v>
      </c>
      <c r="L196" s="11" t="s">
        <v>143</v>
      </c>
      <c r="M196" s="11" t="s">
        <v>86</v>
      </c>
      <c r="N196" s="11" t="s">
        <v>39</v>
      </c>
      <c r="O196" s="11" t="s">
        <v>40</v>
      </c>
      <c r="P196" s="3">
        <v>45575</v>
      </c>
      <c r="Q196">
        <v>9000</v>
      </c>
    </row>
    <row r="197" spans="1:19" x14ac:dyDescent="0.25">
      <c r="A197" s="11" t="s">
        <v>747</v>
      </c>
      <c r="B197" s="3"/>
      <c r="C197" s="11" t="s">
        <v>972</v>
      </c>
      <c r="D197" s="11" t="s">
        <v>188</v>
      </c>
      <c r="E197" s="11" t="s">
        <v>76</v>
      </c>
      <c r="F197" s="11" t="s">
        <v>106</v>
      </c>
      <c r="G197" s="11" t="s">
        <v>368</v>
      </c>
      <c r="H197" s="11" t="s">
        <v>68</v>
      </c>
      <c r="I197">
        <v>1</v>
      </c>
      <c r="J197">
        <v>320.89999999999998</v>
      </c>
      <c r="K197">
        <v>0</v>
      </c>
      <c r="L197" s="11" t="s">
        <v>143</v>
      </c>
      <c r="M197" s="11" t="s">
        <v>70</v>
      </c>
      <c r="N197" s="11" t="s">
        <v>50</v>
      </c>
      <c r="O197" s="11" t="s">
        <v>880</v>
      </c>
      <c r="P197" s="3"/>
      <c r="Q197">
        <v>15000</v>
      </c>
      <c r="R197">
        <v>320.89999999999998</v>
      </c>
      <c r="S197">
        <v>2.139333333333333E-2</v>
      </c>
    </row>
    <row r="198" spans="1:19" x14ac:dyDescent="0.25">
      <c r="A198" s="11" t="s">
        <v>750</v>
      </c>
      <c r="B198" s="3">
        <v>45452</v>
      </c>
      <c r="C198" s="11" t="s">
        <v>973</v>
      </c>
      <c r="D198" s="11" t="s">
        <v>162</v>
      </c>
      <c r="E198" s="11" t="s">
        <v>117</v>
      </c>
      <c r="F198" s="11" t="s">
        <v>153</v>
      </c>
      <c r="G198" s="11" t="s">
        <v>67</v>
      </c>
      <c r="H198" s="11" t="s">
        <v>195</v>
      </c>
      <c r="I198">
        <v>5</v>
      </c>
      <c r="J198">
        <v>71.02</v>
      </c>
      <c r="K198">
        <v>0.2</v>
      </c>
      <c r="L198" s="11" t="s">
        <v>143</v>
      </c>
      <c r="M198" s="11" t="s">
        <v>70</v>
      </c>
      <c r="N198" s="11" t="s">
        <v>26</v>
      </c>
      <c r="O198" s="11" t="s">
        <v>40</v>
      </c>
      <c r="P198" s="3">
        <v>45452</v>
      </c>
      <c r="Q198">
        <v>9000</v>
      </c>
      <c r="R198">
        <v>355.09999999999997</v>
      </c>
      <c r="S198">
        <v>3.9455555555555549E-2</v>
      </c>
    </row>
    <row r="199" spans="1:19" x14ac:dyDescent="0.25">
      <c r="A199" s="11" t="s">
        <v>753</v>
      </c>
      <c r="B199" s="3">
        <v>45584</v>
      </c>
      <c r="C199" s="11" t="s">
        <v>974</v>
      </c>
      <c r="D199" s="11" t="s">
        <v>97</v>
      </c>
      <c r="E199" s="11" t="s">
        <v>65</v>
      </c>
      <c r="F199" s="11" t="s">
        <v>153</v>
      </c>
      <c r="G199" s="11" t="s">
        <v>67</v>
      </c>
      <c r="H199" s="11" t="s">
        <v>195</v>
      </c>
      <c r="I199">
        <v>12</v>
      </c>
      <c r="J199">
        <v>272.36</v>
      </c>
      <c r="K199">
        <v>0</v>
      </c>
      <c r="L199" s="11" t="s">
        <v>143</v>
      </c>
      <c r="M199" s="11" t="s">
        <v>86</v>
      </c>
      <c r="N199" s="11" t="s">
        <v>50</v>
      </c>
      <c r="O199" s="11" t="s">
        <v>87</v>
      </c>
      <c r="P199" s="3">
        <v>45584</v>
      </c>
      <c r="Q199">
        <v>10000</v>
      </c>
      <c r="R199">
        <v>3268.32</v>
      </c>
      <c r="S199">
        <v>0.32683200000000001</v>
      </c>
    </row>
    <row r="200" spans="1:19" x14ac:dyDescent="0.25">
      <c r="A200" s="11" t="s">
        <v>756</v>
      </c>
      <c r="B200" s="3"/>
      <c r="C200" s="11" t="s">
        <v>975</v>
      </c>
      <c r="D200" s="11" t="s">
        <v>162</v>
      </c>
      <c r="E200" s="11" t="s">
        <v>19</v>
      </c>
      <c r="F200" s="11" t="s">
        <v>298</v>
      </c>
      <c r="G200" s="11" t="s">
        <v>21</v>
      </c>
      <c r="H200" s="11" t="s">
        <v>68</v>
      </c>
      <c r="I200">
        <v>12</v>
      </c>
      <c r="J200">
        <v>464.79</v>
      </c>
      <c r="K200">
        <v>0.2</v>
      </c>
      <c r="L200" s="11" t="s">
        <v>139</v>
      </c>
      <c r="M200" s="11" t="s">
        <v>201</v>
      </c>
      <c r="N200" s="11" t="s">
        <v>26</v>
      </c>
      <c r="O200" s="11" t="s">
        <v>871</v>
      </c>
      <c r="P200" s="3"/>
      <c r="Q200">
        <v>9000</v>
      </c>
      <c r="R200">
        <v>5577.4800000000005</v>
      </c>
      <c r="S200">
        <v>0.61972000000000005</v>
      </c>
    </row>
    <row r="201" spans="1:19" x14ac:dyDescent="0.25">
      <c r="A201" s="11" t="s">
        <v>758</v>
      </c>
      <c r="B201" s="3">
        <v>45635</v>
      </c>
      <c r="C201" s="11" t="s">
        <v>976</v>
      </c>
      <c r="D201" s="11" t="s">
        <v>97</v>
      </c>
      <c r="E201" s="11"/>
      <c r="F201" s="11" t="s">
        <v>77</v>
      </c>
      <c r="G201" s="11" t="s">
        <v>137</v>
      </c>
      <c r="H201" s="11" t="s">
        <v>68</v>
      </c>
      <c r="I201">
        <v>3</v>
      </c>
      <c r="J201">
        <v>225.78</v>
      </c>
      <c r="K201">
        <v>0.2</v>
      </c>
      <c r="L201" s="11" t="s">
        <v>143</v>
      </c>
      <c r="M201" s="11" t="s">
        <v>201</v>
      </c>
      <c r="N201" s="11" t="s">
        <v>71</v>
      </c>
      <c r="O201" s="11" t="s">
        <v>93</v>
      </c>
      <c r="P201" s="3">
        <v>45635</v>
      </c>
      <c r="Q201">
        <v>10000</v>
      </c>
      <c r="R201">
        <v>677.34</v>
      </c>
      <c r="S201">
        <v>6.7734000000000003E-2</v>
      </c>
    </row>
    <row r="202" spans="1:19" x14ac:dyDescent="0.25">
      <c r="A202" s="11" t="s">
        <v>762</v>
      </c>
      <c r="B202" s="3">
        <v>45354</v>
      </c>
      <c r="C202" s="11" t="s">
        <v>764</v>
      </c>
      <c r="D202" s="11" t="s">
        <v>44</v>
      </c>
      <c r="E202" s="11" t="s">
        <v>125</v>
      </c>
      <c r="F202" s="11" t="s">
        <v>99</v>
      </c>
      <c r="G202" s="11" t="s">
        <v>164</v>
      </c>
      <c r="H202" s="11" t="s">
        <v>195</v>
      </c>
      <c r="J202">
        <v>36.909999999999997</v>
      </c>
      <c r="K202">
        <v>0.05</v>
      </c>
      <c r="L202" s="11" t="s">
        <v>143</v>
      </c>
      <c r="M202" s="11" t="s">
        <v>70</v>
      </c>
      <c r="N202" s="11" t="s">
        <v>71</v>
      </c>
      <c r="O202" s="11" t="s">
        <v>87</v>
      </c>
      <c r="P202" s="3">
        <v>45354</v>
      </c>
      <c r="Q202">
        <v>12000</v>
      </c>
    </row>
    <row r="203" spans="1:19" x14ac:dyDescent="0.25">
      <c r="A203" s="11" t="s">
        <v>765</v>
      </c>
      <c r="B203" s="3">
        <v>45486</v>
      </c>
      <c r="C203" s="11" t="s">
        <v>977</v>
      </c>
      <c r="D203" s="11" t="s">
        <v>188</v>
      </c>
      <c r="E203" s="11"/>
      <c r="F203" s="11" t="s">
        <v>153</v>
      </c>
      <c r="G203" s="11" t="s">
        <v>148</v>
      </c>
      <c r="H203" s="11" t="s">
        <v>68</v>
      </c>
      <c r="I203">
        <v>8</v>
      </c>
      <c r="J203">
        <v>136.19</v>
      </c>
      <c r="K203">
        <v>0</v>
      </c>
      <c r="L203" s="11" t="s">
        <v>139</v>
      </c>
      <c r="M203" s="11" t="s">
        <v>201</v>
      </c>
      <c r="N203" s="11" t="s">
        <v>26</v>
      </c>
      <c r="O203" s="11" t="s">
        <v>87</v>
      </c>
      <c r="P203" s="3">
        <v>45486</v>
      </c>
      <c r="Q203">
        <v>15000</v>
      </c>
      <c r="R203">
        <v>1089.52</v>
      </c>
      <c r="S203">
        <v>7.2634666666666667E-2</v>
      </c>
    </row>
    <row r="204" spans="1:19" x14ac:dyDescent="0.25">
      <c r="A204" s="11" t="s">
        <v>768</v>
      </c>
      <c r="B204" s="3">
        <v>45648</v>
      </c>
      <c r="C204" s="11" t="s">
        <v>978</v>
      </c>
      <c r="D204" s="11" t="s">
        <v>162</v>
      </c>
      <c r="E204" s="11" t="s">
        <v>117</v>
      </c>
      <c r="F204" s="11" t="s">
        <v>77</v>
      </c>
      <c r="G204" s="11" t="s">
        <v>268</v>
      </c>
      <c r="H204" s="11" t="s">
        <v>68</v>
      </c>
      <c r="I204">
        <v>8</v>
      </c>
      <c r="J204">
        <v>474.88</v>
      </c>
      <c r="K204">
        <v>0.1</v>
      </c>
      <c r="L204" s="11" t="s">
        <v>37</v>
      </c>
      <c r="M204" s="11" t="s">
        <v>201</v>
      </c>
      <c r="N204" s="11" t="s">
        <v>26</v>
      </c>
      <c r="O204" s="11" t="s">
        <v>871</v>
      </c>
      <c r="P204" s="3">
        <v>45648</v>
      </c>
      <c r="Q204">
        <v>9000</v>
      </c>
      <c r="R204">
        <v>3799.04</v>
      </c>
      <c r="S204">
        <v>0.42211555555555558</v>
      </c>
    </row>
    <row r="205" spans="1:19" x14ac:dyDescent="0.25">
      <c r="A205" s="11" t="s">
        <v>772</v>
      </c>
      <c r="B205" s="3"/>
      <c r="C205" s="11" t="s">
        <v>979</v>
      </c>
      <c r="D205" s="11" t="s">
        <v>162</v>
      </c>
      <c r="E205" s="11" t="s">
        <v>19</v>
      </c>
      <c r="F205" s="11" t="s">
        <v>298</v>
      </c>
      <c r="G205" s="11" t="s">
        <v>119</v>
      </c>
      <c r="H205" s="11" t="s">
        <v>195</v>
      </c>
      <c r="I205">
        <v>10</v>
      </c>
      <c r="J205">
        <v>219.66</v>
      </c>
      <c r="K205">
        <v>0</v>
      </c>
      <c r="L205" s="11" t="s">
        <v>139</v>
      </c>
      <c r="M205" s="11" t="s">
        <v>92</v>
      </c>
      <c r="N205" s="11" t="s">
        <v>111</v>
      </c>
      <c r="O205" s="11" t="s">
        <v>126</v>
      </c>
      <c r="P205" s="3"/>
      <c r="Q205">
        <v>9000</v>
      </c>
      <c r="R205">
        <v>2196.6</v>
      </c>
      <c r="S205">
        <v>0.24406666666666665</v>
      </c>
    </row>
    <row r="206" spans="1:19" x14ac:dyDescent="0.25">
      <c r="A206" s="11" t="s">
        <v>775</v>
      </c>
      <c r="B206" s="3"/>
      <c r="C206" s="11" t="s">
        <v>777</v>
      </c>
      <c r="D206" s="11" t="s">
        <v>44</v>
      </c>
      <c r="E206" s="11" t="s">
        <v>45</v>
      </c>
      <c r="F206" s="11" t="s">
        <v>298</v>
      </c>
      <c r="G206" s="11" t="s">
        <v>264</v>
      </c>
      <c r="H206" s="11" t="s">
        <v>68</v>
      </c>
      <c r="J206">
        <v>31.99</v>
      </c>
      <c r="K206">
        <v>0.15</v>
      </c>
      <c r="L206" s="11" t="s">
        <v>143</v>
      </c>
      <c r="M206" s="11" t="s">
        <v>86</v>
      </c>
      <c r="N206" s="11" t="s">
        <v>26</v>
      </c>
      <c r="O206" s="11" t="s">
        <v>87</v>
      </c>
      <c r="P206" s="3"/>
      <c r="Q206">
        <v>12000</v>
      </c>
    </row>
    <row r="207" spans="1:19" x14ac:dyDescent="0.25">
      <c r="A207" s="11" t="s">
        <v>778</v>
      </c>
      <c r="B207" s="3">
        <v>45335</v>
      </c>
      <c r="C207" s="11" t="s">
        <v>779</v>
      </c>
      <c r="D207" s="11" t="s">
        <v>162</v>
      </c>
      <c r="E207" s="11" t="s">
        <v>117</v>
      </c>
      <c r="F207" s="11" t="s">
        <v>106</v>
      </c>
      <c r="G207" s="11" t="s">
        <v>323</v>
      </c>
      <c r="H207" s="11" t="s">
        <v>68</v>
      </c>
      <c r="I207">
        <v>10</v>
      </c>
      <c r="J207">
        <v>458.79</v>
      </c>
      <c r="K207">
        <v>0.15</v>
      </c>
      <c r="L207" s="11" t="s">
        <v>143</v>
      </c>
      <c r="M207" s="11" t="s">
        <v>201</v>
      </c>
      <c r="N207" s="11"/>
      <c r="O207" s="11" t="s">
        <v>93</v>
      </c>
      <c r="P207" s="3">
        <v>45335</v>
      </c>
      <c r="Q207">
        <v>9000</v>
      </c>
      <c r="R207">
        <v>4587.9000000000005</v>
      </c>
      <c r="S207">
        <v>0.5097666666666667</v>
      </c>
    </row>
    <row r="208" spans="1:19" x14ac:dyDescent="0.25">
      <c r="A208" s="11" t="s">
        <v>780</v>
      </c>
      <c r="B208" s="3">
        <v>45418</v>
      </c>
      <c r="C208" s="11" t="s">
        <v>898</v>
      </c>
      <c r="D208" s="11" t="s">
        <v>162</v>
      </c>
      <c r="E208" s="11" t="s">
        <v>19</v>
      </c>
      <c r="F208" s="11" t="s">
        <v>106</v>
      </c>
      <c r="G208" s="11" t="s">
        <v>368</v>
      </c>
      <c r="H208" s="11" t="s">
        <v>68</v>
      </c>
      <c r="I208">
        <v>2</v>
      </c>
      <c r="J208">
        <v>65.959999999999994</v>
      </c>
      <c r="K208">
        <v>0.15</v>
      </c>
      <c r="L208" s="11" t="s">
        <v>139</v>
      </c>
      <c r="M208" s="11" t="s">
        <v>70</v>
      </c>
      <c r="N208" s="11" t="s">
        <v>111</v>
      </c>
      <c r="O208" s="11" t="s">
        <v>862</v>
      </c>
      <c r="P208" s="3">
        <v>45418</v>
      </c>
      <c r="Q208">
        <v>9000</v>
      </c>
      <c r="R208">
        <v>131.91999999999999</v>
      </c>
      <c r="S208">
        <v>1.4657777777777777E-2</v>
      </c>
    </row>
    <row r="209" spans="1:19" x14ac:dyDescent="0.25">
      <c r="A209" s="11" t="s">
        <v>783</v>
      </c>
      <c r="B209" s="3"/>
      <c r="C209" s="11" t="s">
        <v>978</v>
      </c>
      <c r="D209" s="11" t="s">
        <v>97</v>
      </c>
      <c r="E209" s="11" t="s">
        <v>65</v>
      </c>
      <c r="F209" s="11" t="s">
        <v>106</v>
      </c>
      <c r="G209" s="11" t="s">
        <v>34</v>
      </c>
      <c r="H209" s="11" t="s">
        <v>195</v>
      </c>
      <c r="J209">
        <v>209.84</v>
      </c>
      <c r="K209">
        <v>0.2</v>
      </c>
      <c r="L209" s="11" t="s">
        <v>143</v>
      </c>
      <c r="M209" s="11" t="s">
        <v>201</v>
      </c>
      <c r="N209" s="11" t="s">
        <v>26</v>
      </c>
      <c r="O209" s="11" t="s">
        <v>871</v>
      </c>
      <c r="P209" s="3"/>
      <c r="Q209">
        <v>10000</v>
      </c>
    </row>
    <row r="210" spans="1:19" x14ac:dyDescent="0.25">
      <c r="A210" s="11" t="s">
        <v>786</v>
      </c>
      <c r="B210" s="3">
        <v>45476</v>
      </c>
      <c r="C210" s="11" t="s">
        <v>788</v>
      </c>
      <c r="D210" s="11" t="s">
        <v>162</v>
      </c>
      <c r="E210" s="11" t="s">
        <v>19</v>
      </c>
      <c r="F210" s="11" t="s">
        <v>298</v>
      </c>
      <c r="G210" s="11" t="s">
        <v>21</v>
      </c>
      <c r="H210" s="11" t="s">
        <v>68</v>
      </c>
      <c r="I210">
        <v>6</v>
      </c>
      <c r="J210">
        <v>65.069999999999993</v>
      </c>
      <c r="K210">
        <v>0</v>
      </c>
      <c r="L210" s="11" t="s">
        <v>37</v>
      </c>
      <c r="M210" s="11" t="s">
        <v>92</v>
      </c>
      <c r="N210" s="11" t="s">
        <v>39</v>
      </c>
      <c r="O210" s="11"/>
      <c r="P210" s="3">
        <v>45476</v>
      </c>
      <c r="Q210">
        <v>9000</v>
      </c>
      <c r="R210">
        <v>390.41999999999996</v>
      </c>
      <c r="S210">
        <v>4.3379999999999995E-2</v>
      </c>
    </row>
    <row r="211" spans="1:19" x14ac:dyDescent="0.25">
      <c r="A211" s="11" t="s">
        <v>790</v>
      </c>
      <c r="B211" s="3">
        <v>45605</v>
      </c>
      <c r="C211" s="11" t="s">
        <v>980</v>
      </c>
      <c r="D211" s="11" t="s">
        <v>162</v>
      </c>
      <c r="E211" s="11" t="s">
        <v>19</v>
      </c>
      <c r="F211" s="11" t="s">
        <v>77</v>
      </c>
      <c r="G211" s="11" t="s">
        <v>268</v>
      </c>
      <c r="H211" s="11" t="s">
        <v>68</v>
      </c>
      <c r="I211">
        <v>3</v>
      </c>
      <c r="J211">
        <v>402.96</v>
      </c>
      <c r="K211">
        <v>0</v>
      </c>
      <c r="L211" s="11" t="s">
        <v>102</v>
      </c>
      <c r="M211" s="11" t="s">
        <v>86</v>
      </c>
      <c r="N211" s="11" t="s">
        <v>71</v>
      </c>
      <c r="O211" s="11" t="s">
        <v>871</v>
      </c>
      <c r="P211" s="3">
        <v>45605</v>
      </c>
      <c r="Q211">
        <v>9000</v>
      </c>
      <c r="R211">
        <v>1208.8799999999999</v>
      </c>
      <c r="S211">
        <v>0.13431999999999999</v>
      </c>
    </row>
    <row r="212" spans="1:19" x14ac:dyDescent="0.25">
      <c r="A212" s="11" t="s">
        <v>793</v>
      </c>
      <c r="B212" s="3">
        <v>45355</v>
      </c>
      <c r="C212" s="11" t="s">
        <v>54</v>
      </c>
      <c r="D212" s="11" t="s">
        <v>188</v>
      </c>
      <c r="E212" s="11" t="s">
        <v>76</v>
      </c>
      <c r="F212" s="11" t="s">
        <v>153</v>
      </c>
      <c r="G212" s="11" t="s">
        <v>148</v>
      </c>
      <c r="H212" s="11" t="s">
        <v>68</v>
      </c>
      <c r="J212">
        <v>183.39</v>
      </c>
      <c r="K212">
        <v>0.15</v>
      </c>
      <c r="L212" s="11" t="s">
        <v>102</v>
      </c>
      <c r="M212" s="11" t="s">
        <v>92</v>
      </c>
      <c r="N212" s="11"/>
      <c r="O212" s="11" t="s">
        <v>40</v>
      </c>
      <c r="P212" s="3">
        <v>45355</v>
      </c>
      <c r="Q212">
        <v>15000</v>
      </c>
    </row>
    <row r="213" spans="1:19" x14ac:dyDescent="0.25">
      <c r="A213" s="11" t="s">
        <v>797</v>
      </c>
      <c r="B213" s="3">
        <v>45516</v>
      </c>
      <c r="C213" s="11" t="s">
        <v>799</v>
      </c>
      <c r="D213" s="11" t="s">
        <v>188</v>
      </c>
      <c r="E213" s="11" t="s">
        <v>76</v>
      </c>
      <c r="F213" s="11" t="s">
        <v>153</v>
      </c>
      <c r="G213" s="11" t="s">
        <v>330</v>
      </c>
      <c r="H213" s="11" t="s">
        <v>68</v>
      </c>
      <c r="I213">
        <v>12</v>
      </c>
      <c r="J213">
        <v>118.33</v>
      </c>
      <c r="K213">
        <v>0</v>
      </c>
      <c r="L213" s="11" t="s">
        <v>102</v>
      </c>
      <c r="M213" s="11" t="s">
        <v>86</v>
      </c>
      <c r="N213" s="11" t="s">
        <v>71</v>
      </c>
      <c r="O213" s="11" t="s">
        <v>40</v>
      </c>
      <c r="P213" s="3">
        <v>45516</v>
      </c>
      <c r="Q213">
        <v>15000</v>
      </c>
      <c r="R213">
        <v>1419.96</v>
      </c>
      <c r="S213">
        <v>9.4663999999999998E-2</v>
      </c>
    </row>
    <row r="214" spans="1:19" x14ac:dyDescent="0.25">
      <c r="A214" s="11" t="s">
        <v>800</v>
      </c>
      <c r="B214" s="3">
        <v>45516</v>
      </c>
      <c r="C214" s="11" t="s">
        <v>802</v>
      </c>
      <c r="D214" s="11" t="s">
        <v>44</v>
      </c>
      <c r="E214" s="11" t="s">
        <v>125</v>
      </c>
      <c r="F214" s="11" t="s">
        <v>153</v>
      </c>
      <c r="G214" s="11" t="s">
        <v>154</v>
      </c>
      <c r="H214" s="11" t="s">
        <v>195</v>
      </c>
      <c r="I214">
        <v>4</v>
      </c>
      <c r="J214">
        <v>378.86</v>
      </c>
      <c r="K214">
        <v>0.15</v>
      </c>
      <c r="L214" s="11" t="s">
        <v>102</v>
      </c>
      <c r="M214" s="11" t="s">
        <v>201</v>
      </c>
      <c r="N214" s="11" t="s">
        <v>71</v>
      </c>
      <c r="O214" s="11" t="s">
        <v>87</v>
      </c>
      <c r="P214" s="3">
        <v>45516</v>
      </c>
      <c r="Q214">
        <v>12000</v>
      </c>
      <c r="R214">
        <v>1515.44</v>
      </c>
      <c r="S214">
        <v>0.12628666666666666</v>
      </c>
    </row>
    <row r="215" spans="1:19" x14ac:dyDescent="0.25">
      <c r="A215" s="11" t="s">
        <v>803</v>
      </c>
      <c r="B215" s="3">
        <v>45468</v>
      </c>
      <c r="C215" s="11" t="s">
        <v>805</v>
      </c>
      <c r="D215" s="11" t="s">
        <v>162</v>
      </c>
      <c r="E215" s="11" t="s">
        <v>117</v>
      </c>
      <c r="F215" s="11" t="s">
        <v>106</v>
      </c>
      <c r="G215" s="11" t="s">
        <v>107</v>
      </c>
      <c r="H215" s="11" t="s">
        <v>195</v>
      </c>
      <c r="I215">
        <v>12</v>
      </c>
      <c r="J215">
        <v>295.52999999999997</v>
      </c>
      <c r="K215">
        <v>0.05</v>
      </c>
      <c r="L215" s="11" t="s">
        <v>139</v>
      </c>
      <c r="M215" s="11" t="s">
        <v>201</v>
      </c>
      <c r="N215" s="11" t="s">
        <v>50</v>
      </c>
      <c r="O215" s="11" t="s">
        <v>93</v>
      </c>
      <c r="P215" s="3">
        <v>45468</v>
      </c>
      <c r="Q215">
        <v>9000</v>
      </c>
      <c r="R215">
        <v>3546.3599999999997</v>
      </c>
      <c r="S215">
        <v>0.39403999999999995</v>
      </c>
    </row>
    <row r="216" spans="1:19" x14ac:dyDescent="0.25">
      <c r="A216" s="11" t="s">
        <v>806</v>
      </c>
      <c r="B216" s="3">
        <v>45383</v>
      </c>
      <c r="C216" s="11" t="s">
        <v>981</v>
      </c>
      <c r="D216" s="11" t="s">
        <v>188</v>
      </c>
      <c r="E216" s="11" t="s">
        <v>76</v>
      </c>
      <c r="F216" s="11" t="s">
        <v>153</v>
      </c>
      <c r="G216" s="11" t="s">
        <v>57</v>
      </c>
      <c r="H216" s="11" t="s">
        <v>195</v>
      </c>
      <c r="I216">
        <v>7</v>
      </c>
      <c r="J216">
        <v>7.71</v>
      </c>
      <c r="K216">
        <v>0</v>
      </c>
      <c r="L216" s="11" t="s">
        <v>102</v>
      </c>
      <c r="M216" s="11" t="s">
        <v>86</v>
      </c>
      <c r="N216" s="11" t="s">
        <v>26</v>
      </c>
      <c r="O216" s="11" t="s">
        <v>40</v>
      </c>
      <c r="P216" s="3">
        <v>45383</v>
      </c>
      <c r="Q216">
        <v>15000</v>
      </c>
      <c r="R216">
        <v>53.97</v>
      </c>
      <c r="S216">
        <v>3.5980000000000001E-3</v>
      </c>
    </row>
    <row r="217" spans="1:19" x14ac:dyDescent="0.25">
      <c r="A217" s="11" t="s">
        <v>494</v>
      </c>
      <c r="B217" s="3">
        <v>45587</v>
      </c>
      <c r="C217" s="11" t="s">
        <v>982</v>
      </c>
      <c r="D217" s="11" t="s">
        <v>188</v>
      </c>
      <c r="E217" s="11" t="s">
        <v>76</v>
      </c>
      <c r="F217" s="11" t="s">
        <v>77</v>
      </c>
      <c r="G217" s="11" t="s">
        <v>268</v>
      </c>
      <c r="H217" s="11" t="s">
        <v>195</v>
      </c>
      <c r="I217">
        <v>7</v>
      </c>
      <c r="J217">
        <v>217.67</v>
      </c>
      <c r="K217">
        <v>0</v>
      </c>
      <c r="L217" s="11" t="s">
        <v>143</v>
      </c>
      <c r="M217" s="11" t="s">
        <v>92</v>
      </c>
      <c r="N217" s="11" t="s">
        <v>26</v>
      </c>
      <c r="O217" s="11" t="s">
        <v>87</v>
      </c>
      <c r="P217" s="3">
        <v>45587</v>
      </c>
      <c r="Q217">
        <v>15000</v>
      </c>
      <c r="R217">
        <v>1523.6899999999998</v>
      </c>
      <c r="S217">
        <v>0.10157933333333333</v>
      </c>
    </row>
    <row r="218" spans="1:19" x14ac:dyDescent="0.25">
      <c r="A218" s="11" t="s">
        <v>809</v>
      </c>
      <c r="B218" s="3">
        <v>45433</v>
      </c>
      <c r="C218" s="11" t="s">
        <v>897</v>
      </c>
      <c r="D218" s="11" t="s">
        <v>162</v>
      </c>
      <c r="E218" s="11" t="s">
        <v>117</v>
      </c>
      <c r="F218" s="11" t="s">
        <v>298</v>
      </c>
      <c r="G218" s="11" t="s">
        <v>213</v>
      </c>
      <c r="H218" s="11" t="s">
        <v>68</v>
      </c>
      <c r="I218">
        <v>6</v>
      </c>
      <c r="J218">
        <v>270.25</v>
      </c>
      <c r="K218">
        <v>0</v>
      </c>
      <c r="L218" s="11" t="s">
        <v>143</v>
      </c>
      <c r="M218" s="11" t="s">
        <v>70</v>
      </c>
      <c r="N218" s="11" t="s">
        <v>50</v>
      </c>
      <c r="O218" s="11" t="s">
        <v>93</v>
      </c>
      <c r="P218" s="3">
        <v>45433</v>
      </c>
      <c r="Q218">
        <v>9000</v>
      </c>
      <c r="R218">
        <v>1621.5</v>
      </c>
      <c r="S218">
        <v>0.18016666666666667</v>
      </c>
    </row>
    <row r="219" spans="1:19" x14ac:dyDescent="0.25">
      <c r="A219" s="11" t="s">
        <v>812</v>
      </c>
      <c r="B219" s="3">
        <v>45534</v>
      </c>
      <c r="C219" s="11" t="s">
        <v>971</v>
      </c>
      <c r="D219" s="11" t="s">
        <v>44</v>
      </c>
      <c r="E219" s="11" t="s">
        <v>45</v>
      </c>
      <c r="F219" s="11" t="s">
        <v>77</v>
      </c>
      <c r="G219" s="11" t="s">
        <v>236</v>
      </c>
      <c r="H219" s="11" t="s">
        <v>195</v>
      </c>
      <c r="I219">
        <v>8</v>
      </c>
      <c r="J219">
        <v>51.06</v>
      </c>
      <c r="K219">
        <v>0.1</v>
      </c>
      <c r="L219" s="11" t="s">
        <v>102</v>
      </c>
      <c r="M219" s="11" t="s">
        <v>201</v>
      </c>
      <c r="N219" s="11" t="s">
        <v>71</v>
      </c>
      <c r="O219" s="11" t="s">
        <v>93</v>
      </c>
      <c r="P219" s="3">
        <v>45534</v>
      </c>
      <c r="Q219">
        <v>12000</v>
      </c>
      <c r="R219">
        <v>408.48</v>
      </c>
      <c r="S219">
        <v>3.4040000000000001E-2</v>
      </c>
    </row>
    <row r="220" spans="1:19" x14ac:dyDescent="0.25">
      <c r="A220" s="11" t="s">
        <v>816</v>
      </c>
      <c r="B220" s="3">
        <v>45652</v>
      </c>
      <c r="C220" s="11" t="s">
        <v>818</v>
      </c>
      <c r="D220" s="11" t="s">
        <v>188</v>
      </c>
      <c r="E220" s="11" t="s">
        <v>76</v>
      </c>
      <c r="F220" s="11" t="s">
        <v>99</v>
      </c>
      <c r="G220" s="11" t="s">
        <v>220</v>
      </c>
      <c r="H220" s="11" t="s">
        <v>68</v>
      </c>
      <c r="I220">
        <v>7</v>
      </c>
      <c r="J220">
        <v>42.13</v>
      </c>
      <c r="K220">
        <v>0.1</v>
      </c>
      <c r="L220" s="11" t="s">
        <v>102</v>
      </c>
      <c r="M220" s="11" t="s">
        <v>201</v>
      </c>
      <c r="N220" s="11" t="s">
        <v>50</v>
      </c>
      <c r="O220" s="11" t="s">
        <v>865</v>
      </c>
      <c r="P220" s="3">
        <v>45652</v>
      </c>
      <c r="Q220">
        <v>15000</v>
      </c>
      <c r="R220">
        <v>294.91000000000003</v>
      </c>
      <c r="S220">
        <v>1.966066666666667E-2</v>
      </c>
    </row>
    <row r="221" spans="1:19" x14ac:dyDescent="0.25">
      <c r="A221" s="11" t="s">
        <v>820</v>
      </c>
      <c r="B221" s="3">
        <v>45341</v>
      </c>
      <c r="C221" s="11" t="s">
        <v>822</v>
      </c>
      <c r="D221" s="11" t="s">
        <v>97</v>
      </c>
      <c r="E221" s="11"/>
      <c r="F221" s="11" t="s">
        <v>106</v>
      </c>
      <c r="G221" s="11" t="s">
        <v>107</v>
      </c>
      <c r="H221" s="11" t="s">
        <v>68</v>
      </c>
      <c r="I221">
        <v>9</v>
      </c>
      <c r="J221">
        <v>270.19</v>
      </c>
      <c r="K221">
        <v>0.15</v>
      </c>
      <c r="L221" s="11" t="s">
        <v>37</v>
      </c>
      <c r="M221" s="11" t="s">
        <v>86</v>
      </c>
      <c r="N221" s="11" t="s">
        <v>39</v>
      </c>
      <c r="O221" s="11" t="s">
        <v>871</v>
      </c>
      <c r="P221" s="3">
        <v>45341</v>
      </c>
      <c r="Q221">
        <v>10000</v>
      </c>
      <c r="R221">
        <v>2431.71</v>
      </c>
      <c r="S221">
        <v>0.243171</v>
      </c>
    </row>
    <row r="222" spans="1:19" x14ac:dyDescent="0.25">
      <c r="A222" s="11" t="s">
        <v>823</v>
      </c>
      <c r="B222" s="3">
        <v>45362</v>
      </c>
      <c r="C222" s="11" t="s">
        <v>983</v>
      </c>
      <c r="D222" s="11" t="s">
        <v>97</v>
      </c>
      <c r="E222" s="11" t="s">
        <v>65</v>
      </c>
      <c r="F222" s="11" t="s">
        <v>77</v>
      </c>
      <c r="G222" s="11" t="s">
        <v>137</v>
      </c>
      <c r="H222" s="11" t="s">
        <v>195</v>
      </c>
      <c r="I222">
        <v>8</v>
      </c>
      <c r="J222">
        <v>390.17</v>
      </c>
      <c r="K222">
        <v>0.05</v>
      </c>
      <c r="L222" s="11" t="s">
        <v>143</v>
      </c>
      <c r="M222" s="11" t="s">
        <v>70</v>
      </c>
      <c r="N222" s="11" t="s">
        <v>26</v>
      </c>
      <c r="O222" s="11" t="s">
        <v>126</v>
      </c>
      <c r="P222" s="3">
        <v>45362</v>
      </c>
      <c r="Q222">
        <v>10000</v>
      </c>
      <c r="R222">
        <v>3121.36</v>
      </c>
      <c r="S222">
        <v>0.31213600000000002</v>
      </c>
    </row>
    <row r="223" spans="1:19" x14ac:dyDescent="0.25">
      <c r="A223" s="11" t="s">
        <v>825</v>
      </c>
      <c r="B223" s="3">
        <v>45405</v>
      </c>
      <c r="C223" s="11" t="s">
        <v>984</v>
      </c>
      <c r="D223" s="11" t="s">
        <v>44</v>
      </c>
      <c r="E223" s="11" t="s">
        <v>125</v>
      </c>
      <c r="F223" s="11" t="s">
        <v>99</v>
      </c>
      <c r="G223" s="11" t="s">
        <v>177</v>
      </c>
      <c r="H223" s="11" t="s">
        <v>195</v>
      </c>
      <c r="I223">
        <v>9</v>
      </c>
      <c r="J223">
        <v>301.98</v>
      </c>
      <c r="K223">
        <v>0.15</v>
      </c>
      <c r="L223" s="11" t="s">
        <v>143</v>
      </c>
      <c r="M223" s="11" t="s">
        <v>86</v>
      </c>
      <c r="N223" s="11"/>
      <c r="O223" s="11"/>
      <c r="P223" s="3">
        <v>45405</v>
      </c>
      <c r="Q223">
        <v>12000</v>
      </c>
      <c r="R223">
        <v>2717.82</v>
      </c>
      <c r="S223">
        <v>0.22648500000000002</v>
      </c>
    </row>
    <row r="224" spans="1:19" x14ac:dyDescent="0.25">
      <c r="A224" s="11" t="s">
        <v>828</v>
      </c>
      <c r="B224" s="3">
        <v>45452</v>
      </c>
      <c r="C224" s="11" t="s">
        <v>829</v>
      </c>
      <c r="D224" s="11" t="s">
        <v>97</v>
      </c>
      <c r="E224" s="11" t="s">
        <v>65</v>
      </c>
      <c r="F224" s="11" t="s">
        <v>106</v>
      </c>
      <c r="G224" s="11" t="s">
        <v>34</v>
      </c>
      <c r="H224" s="11" t="s">
        <v>195</v>
      </c>
      <c r="I224">
        <v>11</v>
      </c>
      <c r="J224">
        <v>40.68</v>
      </c>
      <c r="K224">
        <v>0</v>
      </c>
      <c r="L224" s="11" t="s">
        <v>143</v>
      </c>
      <c r="M224" s="11" t="s">
        <v>92</v>
      </c>
      <c r="N224" s="11" t="s">
        <v>39</v>
      </c>
      <c r="O224" s="11" t="s">
        <v>865</v>
      </c>
      <c r="P224" s="3">
        <v>45452</v>
      </c>
      <c r="Q224">
        <v>10000</v>
      </c>
      <c r="R224">
        <v>447.48</v>
      </c>
      <c r="S224">
        <v>4.4748000000000003E-2</v>
      </c>
    </row>
    <row r="225" spans="1:19" x14ac:dyDescent="0.25">
      <c r="A225" s="11" t="s">
        <v>830</v>
      </c>
      <c r="B225" s="3">
        <v>45322</v>
      </c>
      <c r="C225" s="11" t="s">
        <v>985</v>
      </c>
      <c r="D225" s="11" t="s">
        <v>97</v>
      </c>
      <c r="E225" s="11" t="s">
        <v>98</v>
      </c>
      <c r="F225" s="11" t="s">
        <v>298</v>
      </c>
      <c r="G225" s="11" t="s">
        <v>21</v>
      </c>
      <c r="H225" s="11" t="s">
        <v>195</v>
      </c>
      <c r="I225">
        <v>2</v>
      </c>
      <c r="J225">
        <v>47.26</v>
      </c>
      <c r="K225">
        <v>0.1</v>
      </c>
      <c r="L225" s="11" t="s">
        <v>37</v>
      </c>
      <c r="M225" s="11" t="s">
        <v>86</v>
      </c>
      <c r="N225" s="11" t="s">
        <v>26</v>
      </c>
      <c r="O225" s="11" t="s">
        <v>93</v>
      </c>
      <c r="P225" s="3">
        <v>45322</v>
      </c>
      <c r="Q225">
        <v>10000</v>
      </c>
      <c r="R225">
        <v>94.52</v>
      </c>
      <c r="S225">
        <v>9.4520000000000003E-3</v>
      </c>
    </row>
    <row r="226" spans="1:19" x14ac:dyDescent="0.25">
      <c r="A226" s="11" t="s">
        <v>833</v>
      </c>
      <c r="B226" s="3">
        <v>45344</v>
      </c>
      <c r="C226" s="11" t="s">
        <v>986</v>
      </c>
      <c r="D226" s="11" t="s">
        <v>97</v>
      </c>
      <c r="E226" s="11" t="s">
        <v>98</v>
      </c>
      <c r="F226" s="11" t="s">
        <v>153</v>
      </c>
      <c r="G226" s="11" t="s">
        <v>67</v>
      </c>
      <c r="H226" s="11" t="s">
        <v>195</v>
      </c>
      <c r="I226">
        <v>9</v>
      </c>
      <c r="J226">
        <v>45.89</v>
      </c>
      <c r="K226">
        <v>0.05</v>
      </c>
      <c r="L226" s="11" t="s">
        <v>102</v>
      </c>
      <c r="M226" s="11" t="s">
        <v>92</v>
      </c>
      <c r="N226" s="11" t="s">
        <v>71</v>
      </c>
      <c r="O226" s="11"/>
      <c r="P226" s="3">
        <v>45344</v>
      </c>
      <c r="Q226">
        <v>10000</v>
      </c>
      <c r="R226">
        <v>413.01</v>
      </c>
      <c r="S226">
        <v>4.1300999999999997E-2</v>
      </c>
    </row>
    <row r="227" spans="1:19" x14ac:dyDescent="0.25">
      <c r="A227" s="11" t="s">
        <v>836</v>
      </c>
      <c r="B227" s="3">
        <v>45510</v>
      </c>
      <c r="C227" s="11" t="s">
        <v>987</v>
      </c>
      <c r="D227" s="11" t="s">
        <v>162</v>
      </c>
      <c r="E227" s="11" t="s">
        <v>19</v>
      </c>
      <c r="F227" s="11" t="s">
        <v>77</v>
      </c>
      <c r="G227" s="11" t="s">
        <v>318</v>
      </c>
      <c r="H227" s="11" t="s">
        <v>68</v>
      </c>
      <c r="I227">
        <v>12</v>
      </c>
      <c r="J227">
        <v>151.04</v>
      </c>
      <c r="K227">
        <v>0</v>
      </c>
      <c r="L227" s="11" t="s">
        <v>102</v>
      </c>
      <c r="M227" s="11" t="s">
        <v>201</v>
      </c>
      <c r="N227" s="11" t="s">
        <v>50</v>
      </c>
      <c r="O227" s="11"/>
      <c r="P227" s="3">
        <v>45510</v>
      </c>
      <c r="Q227">
        <v>9000</v>
      </c>
      <c r="R227">
        <v>1812.48</v>
      </c>
      <c r="S227">
        <v>0.20138666666666666</v>
      </c>
    </row>
    <row r="228" spans="1:19" x14ac:dyDescent="0.25">
      <c r="A228" s="11" t="s">
        <v>838</v>
      </c>
      <c r="B228" s="3">
        <v>45495</v>
      </c>
      <c r="C228" s="11" t="s">
        <v>840</v>
      </c>
      <c r="D228" s="11" t="s">
        <v>44</v>
      </c>
      <c r="E228" s="11" t="s">
        <v>125</v>
      </c>
      <c r="F228" s="11" t="s">
        <v>153</v>
      </c>
      <c r="G228" s="11" t="s">
        <v>67</v>
      </c>
      <c r="H228" s="11" t="s">
        <v>68</v>
      </c>
      <c r="I228">
        <v>11</v>
      </c>
      <c r="J228">
        <v>361.68</v>
      </c>
      <c r="K228">
        <v>0</v>
      </c>
      <c r="L228" s="11" t="s">
        <v>102</v>
      </c>
      <c r="M228" s="11" t="s">
        <v>201</v>
      </c>
      <c r="N228" s="11" t="s">
        <v>39</v>
      </c>
      <c r="O228" s="11" t="s">
        <v>871</v>
      </c>
      <c r="P228" s="3">
        <v>45495</v>
      </c>
      <c r="Q228">
        <v>12000</v>
      </c>
      <c r="R228">
        <v>3978.48</v>
      </c>
      <c r="S228">
        <v>0.33154</v>
      </c>
    </row>
    <row r="229" spans="1:19" x14ac:dyDescent="0.25">
      <c r="A229" s="11" t="s">
        <v>841</v>
      </c>
      <c r="B229" s="3">
        <v>45642</v>
      </c>
      <c r="C229" s="11" t="s">
        <v>976</v>
      </c>
      <c r="D229" s="11" t="s">
        <v>97</v>
      </c>
      <c r="E229" s="11"/>
      <c r="F229" s="11" t="s">
        <v>298</v>
      </c>
      <c r="G229" s="11" t="s">
        <v>213</v>
      </c>
      <c r="H229" s="11" t="s">
        <v>195</v>
      </c>
      <c r="I229">
        <v>5</v>
      </c>
      <c r="J229">
        <v>15.02</v>
      </c>
      <c r="K229">
        <v>0</v>
      </c>
      <c r="L229" s="11" t="s">
        <v>143</v>
      </c>
      <c r="M229" s="11" t="s">
        <v>92</v>
      </c>
      <c r="N229" s="11"/>
      <c r="O229" s="11" t="s">
        <v>40</v>
      </c>
      <c r="P229" s="3">
        <v>45642</v>
      </c>
      <c r="Q229">
        <v>10000</v>
      </c>
      <c r="R229">
        <v>75.099999999999994</v>
      </c>
      <c r="S229">
        <v>7.5099999999999993E-3</v>
      </c>
    </row>
    <row r="230" spans="1:19" x14ac:dyDescent="0.25">
      <c r="A230" s="11" t="s">
        <v>845</v>
      </c>
      <c r="B230" s="3">
        <v>45543</v>
      </c>
      <c r="C230" s="11" t="s">
        <v>847</v>
      </c>
      <c r="D230" s="11" t="s">
        <v>188</v>
      </c>
      <c r="E230" s="11" t="s">
        <v>199</v>
      </c>
      <c r="F230" s="11" t="s">
        <v>106</v>
      </c>
      <c r="G230" s="11" t="s">
        <v>323</v>
      </c>
      <c r="H230" s="11" t="s">
        <v>68</v>
      </c>
      <c r="I230">
        <v>3</v>
      </c>
      <c r="J230">
        <v>327.5</v>
      </c>
      <c r="K230">
        <v>0</v>
      </c>
      <c r="L230" s="11" t="s">
        <v>102</v>
      </c>
      <c r="M230" s="11" t="s">
        <v>92</v>
      </c>
      <c r="N230" s="11"/>
      <c r="O230" s="11" t="s">
        <v>87</v>
      </c>
      <c r="P230" s="3">
        <v>45543</v>
      </c>
      <c r="Q230">
        <v>15000</v>
      </c>
      <c r="R230">
        <v>982.5</v>
      </c>
      <c r="S230">
        <v>6.5500000000000003E-2</v>
      </c>
    </row>
    <row r="231" spans="1:19" x14ac:dyDescent="0.25">
      <c r="A231" s="11" t="s">
        <v>848</v>
      </c>
      <c r="B231" s="3">
        <v>45635</v>
      </c>
      <c r="C231" s="11" t="s">
        <v>988</v>
      </c>
      <c r="D231" s="11" t="s">
        <v>97</v>
      </c>
      <c r="E231" s="11" t="s">
        <v>65</v>
      </c>
      <c r="F231" s="11" t="s">
        <v>106</v>
      </c>
      <c r="G231" s="11" t="s">
        <v>34</v>
      </c>
      <c r="H231" s="11" t="s">
        <v>68</v>
      </c>
      <c r="I231">
        <v>8</v>
      </c>
      <c r="J231">
        <v>373.94</v>
      </c>
      <c r="K231">
        <v>0.05</v>
      </c>
      <c r="L231" s="11" t="s">
        <v>102</v>
      </c>
      <c r="M231" s="11" t="s">
        <v>86</v>
      </c>
      <c r="N231" s="11"/>
      <c r="O231" s="11" t="s">
        <v>87</v>
      </c>
      <c r="P231" s="3">
        <v>45635</v>
      </c>
      <c r="Q231">
        <v>10000</v>
      </c>
      <c r="R231">
        <v>2991.52</v>
      </c>
      <c r="S231">
        <v>0.29915199999999997</v>
      </c>
    </row>
    <row r="232" spans="1:19" x14ac:dyDescent="0.25">
      <c r="A232" s="11" t="s">
        <v>851</v>
      </c>
      <c r="B232" s="3">
        <v>45388</v>
      </c>
      <c r="C232" s="11" t="s">
        <v>853</v>
      </c>
      <c r="D232" s="11" t="s">
        <v>162</v>
      </c>
      <c r="E232" s="11" t="s">
        <v>19</v>
      </c>
      <c r="F232" s="11" t="s">
        <v>99</v>
      </c>
      <c r="G232" s="11" t="s">
        <v>164</v>
      </c>
      <c r="H232" s="11" t="s">
        <v>195</v>
      </c>
      <c r="I232">
        <v>7</v>
      </c>
      <c r="J232">
        <v>279.39</v>
      </c>
      <c r="K232">
        <v>0.15</v>
      </c>
      <c r="L232" s="11" t="s">
        <v>37</v>
      </c>
      <c r="M232" s="11" t="s">
        <v>201</v>
      </c>
      <c r="N232" s="11"/>
      <c r="O232" s="11" t="s">
        <v>87</v>
      </c>
      <c r="P232" s="3">
        <v>45388</v>
      </c>
      <c r="Q232">
        <v>9000</v>
      </c>
      <c r="R232">
        <v>1955.73</v>
      </c>
      <c r="S232">
        <v>0.21730333333333335</v>
      </c>
    </row>
    <row r="233" spans="1:19" x14ac:dyDescent="0.25">
      <c r="A233" s="11" t="s">
        <v>991</v>
      </c>
      <c r="B233" s="3">
        <v>44595</v>
      </c>
      <c r="C233" s="11" t="s">
        <v>995</v>
      </c>
      <c r="D233" s="11" t="s">
        <v>188</v>
      </c>
      <c r="E233" s="11" t="s">
        <v>992</v>
      </c>
      <c r="F233" s="11" t="s">
        <v>990</v>
      </c>
      <c r="G233" s="11" t="s">
        <v>993</v>
      </c>
      <c r="H233" s="11" t="s">
        <v>195</v>
      </c>
      <c r="I233">
        <v>2</v>
      </c>
      <c r="J233">
        <v>45</v>
      </c>
      <c r="K233">
        <v>0.2</v>
      </c>
      <c r="L233" s="11" t="s">
        <v>143</v>
      </c>
      <c r="M233" s="11" t="s">
        <v>92</v>
      </c>
      <c r="N233" s="11"/>
      <c r="O233" s="11" t="s">
        <v>994</v>
      </c>
      <c r="P233" s="3">
        <v>44595</v>
      </c>
      <c r="Q233">
        <v>15000</v>
      </c>
      <c r="R233">
        <v>90</v>
      </c>
      <c r="S233">
        <v>6.0000000000000001E-3</v>
      </c>
    </row>
    <row r="234" spans="1:19" x14ac:dyDescent="0.25">
      <c r="A234" s="11" t="s">
        <v>664</v>
      </c>
      <c r="B234" s="3">
        <v>45720</v>
      </c>
      <c r="C234" s="11" t="s">
        <v>1021</v>
      </c>
      <c r="D234" s="11" t="s">
        <v>188</v>
      </c>
      <c r="E234" s="11" t="s">
        <v>45</v>
      </c>
      <c r="F234" s="11" t="s">
        <v>99</v>
      </c>
      <c r="G234" s="11" t="s">
        <v>1011</v>
      </c>
      <c r="H234" s="11" t="s">
        <v>195</v>
      </c>
      <c r="I234">
        <v>1</v>
      </c>
      <c r="J234">
        <v>98</v>
      </c>
      <c r="K234">
        <v>0</v>
      </c>
      <c r="L234" s="11" t="s">
        <v>143</v>
      </c>
      <c r="M234" s="11" t="s">
        <v>92</v>
      </c>
      <c r="N234" s="11"/>
      <c r="O234" s="11"/>
      <c r="P234" s="3">
        <v>45720</v>
      </c>
      <c r="Q234">
        <v>15000</v>
      </c>
      <c r="R234">
        <v>98</v>
      </c>
      <c r="S234">
        <v>6.5333333333333337E-3</v>
      </c>
    </row>
    <row r="235" spans="1:19" x14ac:dyDescent="0.25">
      <c r="A235" s="11" t="s">
        <v>1017</v>
      </c>
      <c r="B235" s="3">
        <v>45906</v>
      </c>
      <c r="C235" s="11" t="s">
        <v>1022</v>
      </c>
      <c r="D235" s="11" t="s">
        <v>44</v>
      </c>
      <c r="E235" s="11" t="s">
        <v>98</v>
      </c>
      <c r="F235" s="11" t="s">
        <v>77</v>
      </c>
      <c r="G235" s="11" t="s">
        <v>1012</v>
      </c>
      <c r="H235" s="11" t="s">
        <v>195</v>
      </c>
      <c r="I235">
        <v>2</v>
      </c>
      <c r="J235">
        <v>25</v>
      </c>
      <c r="K235">
        <v>0</v>
      </c>
      <c r="L235" s="11" t="s">
        <v>37</v>
      </c>
      <c r="M235" s="11" t="s">
        <v>86</v>
      </c>
      <c r="N235" s="11"/>
      <c r="O235" s="11"/>
      <c r="P235" s="3">
        <v>45906</v>
      </c>
      <c r="Q235">
        <v>12000</v>
      </c>
      <c r="R235">
        <v>50</v>
      </c>
      <c r="S235">
        <v>4.1666666666666666E-3</v>
      </c>
    </row>
    <row r="236" spans="1:19" x14ac:dyDescent="0.25">
      <c r="A236" s="11" t="s">
        <v>1018</v>
      </c>
      <c r="B236" s="3">
        <v>45748</v>
      </c>
      <c r="C236" s="11" t="s">
        <v>1023</v>
      </c>
      <c r="D236" s="11" t="s">
        <v>188</v>
      </c>
      <c r="E236" s="11" t="s">
        <v>19</v>
      </c>
      <c r="F236" s="11" t="s">
        <v>106</v>
      </c>
      <c r="G236" s="11" t="s">
        <v>1013</v>
      </c>
      <c r="H236" s="11" t="s">
        <v>68</v>
      </c>
      <c r="I236">
        <v>3</v>
      </c>
      <c r="J236">
        <v>85</v>
      </c>
      <c r="K236">
        <v>0</v>
      </c>
      <c r="L236" s="11" t="s">
        <v>143</v>
      </c>
      <c r="M236" s="11" t="s">
        <v>86</v>
      </c>
      <c r="N236" s="11"/>
      <c r="O236" s="11"/>
      <c r="P236" s="3">
        <v>45748</v>
      </c>
      <c r="Q236">
        <v>15000</v>
      </c>
      <c r="R236">
        <v>255</v>
      </c>
      <c r="S236">
        <v>1.7000000000000001E-2</v>
      </c>
    </row>
    <row r="237" spans="1:19" x14ac:dyDescent="0.25">
      <c r="A237" s="11" t="s">
        <v>1019</v>
      </c>
      <c r="B237" s="3">
        <v>45878</v>
      </c>
      <c r="C237" s="11" t="s">
        <v>1024</v>
      </c>
      <c r="D237" s="11" t="s">
        <v>97</v>
      </c>
      <c r="E237" s="11" t="s">
        <v>65</v>
      </c>
      <c r="F237" s="11" t="s">
        <v>99</v>
      </c>
      <c r="G237" s="11" t="s">
        <v>1014</v>
      </c>
      <c r="H237" s="11" t="s">
        <v>195</v>
      </c>
      <c r="I237">
        <v>4</v>
      </c>
      <c r="J237">
        <v>40</v>
      </c>
      <c r="K237">
        <v>0</v>
      </c>
      <c r="L237" s="11" t="s">
        <v>102</v>
      </c>
      <c r="M237" s="11" t="s">
        <v>92</v>
      </c>
      <c r="N237" s="11"/>
      <c r="O237" s="11"/>
      <c r="P237" s="3">
        <v>45878</v>
      </c>
      <c r="Q237">
        <v>10000</v>
      </c>
      <c r="R237">
        <v>160</v>
      </c>
      <c r="S237">
        <v>1.6E-2</v>
      </c>
    </row>
    <row r="238" spans="1:19" x14ac:dyDescent="0.25">
      <c r="A238" s="11" t="s">
        <v>1020</v>
      </c>
      <c r="B238" s="3">
        <v>45841</v>
      </c>
      <c r="C238" s="11" t="s">
        <v>1025</v>
      </c>
      <c r="D238" s="11" t="s">
        <v>162</v>
      </c>
      <c r="E238" s="11" t="s">
        <v>125</v>
      </c>
      <c r="F238" s="11" t="s">
        <v>77</v>
      </c>
      <c r="G238" s="11" t="s">
        <v>1015</v>
      </c>
      <c r="H238" s="11" t="s">
        <v>195</v>
      </c>
      <c r="I238">
        <v>5</v>
      </c>
      <c r="J238">
        <v>77</v>
      </c>
      <c r="K238">
        <v>0</v>
      </c>
      <c r="L238" s="11" t="s">
        <v>143</v>
      </c>
      <c r="M238" s="11" t="s">
        <v>201</v>
      </c>
      <c r="N238" s="11"/>
      <c r="O238" s="11"/>
      <c r="P238" s="3">
        <v>45841</v>
      </c>
      <c r="Q238">
        <v>9000</v>
      </c>
      <c r="R238">
        <v>385</v>
      </c>
      <c r="S238">
        <v>4.2777777777777776E-2</v>
      </c>
    </row>
    <row r="239" spans="1:19" x14ac:dyDescent="0.25">
      <c r="R239">
        <f>SUBTOTAL(109,tblOrders_2[Revenue])</f>
        <v>356111.00000000006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44B1-282B-4917-8E86-6F8B50A6A1CB}">
  <dimension ref="A1:B10"/>
  <sheetViews>
    <sheetView workbookViewId="0">
      <selection activeCell="J9" sqref="J9"/>
    </sheetView>
  </sheetViews>
  <sheetFormatPr defaultRowHeight="15" x14ac:dyDescent="0.25"/>
  <cols>
    <col min="1" max="1" width="20.140625" customWidth="1"/>
    <col min="2" max="2" width="16.7109375" customWidth="1"/>
  </cols>
  <sheetData>
    <row r="1" spans="1:2" x14ac:dyDescent="0.25">
      <c r="A1" s="10" t="s">
        <v>996</v>
      </c>
    </row>
    <row r="2" spans="1:2" x14ac:dyDescent="0.25">
      <c r="A2" t="s">
        <v>997</v>
      </c>
      <c r="B2">
        <f>COUNTA(tblOrders_1[OrderID])</f>
        <v>250</v>
      </c>
    </row>
    <row r="3" spans="1:2" x14ac:dyDescent="0.25">
      <c r="A3" t="s">
        <v>998</v>
      </c>
      <c r="B3">
        <f>COUNTA(tblOrders_2[OrderID])</f>
        <v>237</v>
      </c>
    </row>
    <row r="5" spans="1:2" x14ac:dyDescent="0.25">
      <c r="A5" t="s">
        <v>999</v>
      </c>
      <c r="B5">
        <f>COUNTBLANK(tblOrders_2[Quantity])</f>
        <v>19</v>
      </c>
    </row>
    <row r="6" spans="1:2" x14ac:dyDescent="0.25">
      <c r="A6" t="s">
        <v>1000</v>
      </c>
      <c r="B6">
        <f>COUNTBLANK(tblOrders_2[UnitPrice])</f>
        <v>8</v>
      </c>
    </row>
    <row r="7" spans="1:2" x14ac:dyDescent="0.25">
      <c r="A7" t="s">
        <v>1001</v>
      </c>
      <c r="B7">
        <f>COUNTA(_xlfn.UNIQUE(tblOrders_2[Region]))</f>
        <v>4</v>
      </c>
    </row>
    <row r="8" spans="1:2" x14ac:dyDescent="0.25">
      <c r="A8" t="s">
        <v>1002</v>
      </c>
      <c r="B8">
        <f>COUNTA(_xlfn.UNIQUE(tblOrders_2[OrderStatus]))</f>
        <v>4</v>
      </c>
    </row>
    <row r="10" spans="1:2" x14ac:dyDescent="0.25">
      <c r="A10" t="s">
        <v>1003</v>
      </c>
      <c r="B10">
        <f>SUM(tblOrders_2[Revenue])</f>
        <v>356111.00000000006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B34-442A-44B0-921A-D147C428CE03}">
  <dimension ref="A1:D4"/>
  <sheetViews>
    <sheetView workbookViewId="0">
      <selection activeCell="D7" sqref="D7"/>
    </sheetView>
  </sheetViews>
  <sheetFormatPr defaultRowHeight="15" x14ac:dyDescent="0.25"/>
  <cols>
    <col min="1" max="1" width="11" customWidth="1"/>
  </cols>
  <sheetData>
    <row r="1" spans="1:4" x14ac:dyDescent="0.25">
      <c r="A1" s="4" t="s">
        <v>5</v>
      </c>
      <c r="B1" s="6" t="s">
        <v>856</v>
      </c>
      <c r="C1" s="6" t="s">
        <v>857</v>
      </c>
      <c r="D1" s="6" t="s">
        <v>858</v>
      </c>
    </row>
    <row r="2" spans="1:4" ht="30" x14ac:dyDescent="0.25">
      <c r="A2" s="7" t="s">
        <v>99</v>
      </c>
      <c r="B2" s="5">
        <v>4200</v>
      </c>
      <c r="C2" s="5">
        <v>3900</v>
      </c>
      <c r="D2" s="5">
        <v>4600</v>
      </c>
    </row>
    <row r="3" spans="1:4" ht="30" x14ac:dyDescent="0.25">
      <c r="A3" s="7" t="s">
        <v>153</v>
      </c>
      <c r="B3" s="5">
        <v>3100</v>
      </c>
      <c r="C3" s="5">
        <v>2800</v>
      </c>
      <c r="D3" s="5">
        <v>3500</v>
      </c>
    </row>
    <row r="4" spans="1:4" x14ac:dyDescent="0.25">
      <c r="A4" s="7" t="s">
        <v>298</v>
      </c>
      <c r="B4" s="5">
        <v>1800</v>
      </c>
      <c r="C4" s="5">
        <v>2000</v>
      </c>
      <c r="D4" s="5">
        <v>1750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6"/>
  <sheetViews>
    <sheetView workbookViewId="0">
      <pane ySplit="1" topLeftCell="A233" activePane="bottomLeft" state="frozen"/>
      <selection pane="bottomLeft" activeCell="O249" sqref="O249"/>
    </sheetView>
  </sheetViews>
  <sheetFormatPr defaultRowHeight="15" x14ac:dyDescent="0.25"/>
  <cols>
    <col min="1" max="1" width="11.28515625" customWidth="1"/>
    <col min="2" max="2" width="14" customWidth="1"/>
    <col min="3" max="3" width="20" customWidth="1"/>
    <col min="4" max="4" width="10.42578125" customWidth="1"/>
    <col min="5" max="5" width="12" customWidth="1"/>
    <col min="6" max="6" width="14" customWidth="1"/>
    <col min="7" max="7" width="20" customWidth="1"/>
    <col min="8" max="8" width="12" customWidth="1"/>
    <col min="9" max="9" width="11.5703125" customWidth="1"/>
    <col min="10" max="10" width="12.5703125" customWidth="1"/>
    <col min="11" max="11" width="12.140625" customWidth="1"/>
    <col min="12" max="12" width="19.42578125" customWidth="1"/>
    <col min="13" max="13" width="15.5703125" customWidth="1"/>
    <col min="14" max="14" width="12.85546875" customWidth="1"/>
    <col min="15" max="15" width="26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369.04</v>
      </c>
      <c r="K2" s="2"/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416.52</v>
      </c>
      <c r="K3" s="2">
        <v>0.05</v>
      </c>
      <c r="L3" s="2" t="s">
        <v>37</v>
      </c>
      <c r="M3" s="2" t="s">
        <v>38</v>
      </c>
      <c r="N3" s="2" t="s">
        <v>39</v>
      </c>
      <c r="O3" s="2" t="s">
        <v>40</v>
      </c>
    </row>
    <row r="4" spans="1:1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>
        <v>5</v>
      </c>
      <c r="J4" s="2" t="s">
        <v>49</v>
      </c>
      <c r="K4" s="2">
        <v>0.2</v>
      </c>
      <c r="L4" s="2" t="s">
        <v>37</v>
      </c>
      <c r="M4" s="2" t="s">
        <v>25</v>
      </c>
      <c r="N4" s="2" t="s">
        <v>50</v>
      </c>
      <c r="O4" s="2" t="s">
        <v>51</v>
      </c>
    </row>
    <row r="5" spans="1:15" x14ac:dyDescent="0.25">
      <c r="A5" s="2" t="s">
        <v>52</v>
      </c>
      <c r="B5" s="2" t="s">
        <v>53</v>
      </c>
      <c r="C5" s="2" t="s">
        <v>54</v>
      </c>
      <c r="D5" s="2" t="s">
        <v>55</v>
      </c>
      <c r="E5" s="2" t="s">
        <v>32</v>
      </c>
      <c r="F5" s="2" t="s">
        <v>56</v>
      </c>
      <c r="G5" s="2" t="s">
        <v>57</v>
      </c>
      <c r="H5" s="2" t="s">
        <v>58</v>
      </c>
      <c r="I5" s="2">
        <v>1</v>
      </c>
      <c r="J5" s="2">
        <v>151.09</v>
      </c>
      <c r="K5" s="2"/>
      <c r="L5" s="2" t="s">
        <v>59</v>
      </c>
      <c r="M5" s="2" t="s">
        <v>60</v>
      </c>
      <c r="N5" s="2" t="s">
        <v>26</v>
      </c>
      <c r="O5" s="2" t="s">
        <v>40</v>
      </c>
    </row>
    <row r="6" spans="1:15" x14ac:dyDescent="0.25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>
        <v>3</v>
      </c>
      <c r="J6" s="2">
        <v>51.05</v>
      </c>
      <c r="K6" s="2">
        <v>0.2</v>
      </c>
      <c r="L6" s="2" t="s">
        <v>69</v>
      </c>
      <c r="M6" s="2" t="s">
        <v>70</v>
      </c>
      <c r="N6" s="2" t="s">
        <v>71</v>
      </c>
      <c r="O6" s="2" t="s">
        <v>27</v>
      </c>
    </row>
    <row r="7" spans="1:1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22</v>
      </c>
      <c r="I7" s="2">
        <v>11</v>
      </c>
      <c r="J7" s="2">
        <v>363.02</v>
      </c>
      <c r="K7" s="2">
        <v>0.05</v>
      </c>
      <c r="L7" s="2" t="s">
        <v>79</v>
      </c>
      <c r="M7" s="2" t="s">
        <v>60</v>
      </c>
      <c r="N7" s="2" t="s">
        <v>39</v>
      </c>
      <c r="O7" s="2" t="s">
        <v>27</v>
      </c>
    </row>
    <row r="8" spans="1:15" x14ac:dyDescent="0.25">
      <c r="A8" s="2" t="s">
        <v>80</v>
      </c>
      <c r="B8" s="2" t="s">
        <v>81</v>
      </c>
      <c r="C8" s="2" t="s">
        <v>82</v>
      </c>
      <c r="D8" s="2" t="s">
        <v>44</v>
      </c>
      <c r="E8" s="2" t="s">
        <v>45</v>
      </c>
      <c r="F8" s="2" t="s">
        <v>83</v>
      </c>
      <c r="G8" s="2" t="s">
        <v>84</v>
      </c>
      <c r="H8" s="2" t="s">
        <v>35</v>
      </c>
      <c r="I8" s="2">
        <v>10</v>
      </c>
      <c r="J8" s="2">
        <v>286.63</v>
      </c>
      <c r="K8" s="2" t="s">
        <v>85</v>
      </c>
      <c r="L8" s="2" t="s">
        <v>79</v>
      </c>
      <c r="M8" s="2" t="s">
        <v>86</v>
      </c>
      <c r="N8" s="2"/>
      <c r="O8" s="2" t="s">
        <v>87</v>
      </c>
    </row>
    <row r="9" spans="1:15" x14ac:dyDescent="0.25">
      <c r="A9" s="2" t="s">
        <v>88</v>
      </c>
      <c r="B9" s="2" t="s">
        <v>89</v>
      </c>
      <c r="C9" s="2" t="s">
        <v>90</v>
      </c>
      <c r="D9" s="2" t="s">
        <v>18</v>
      </c>
      <c r="E9" s="2" t="s">
        <v>19</v>
      </c>
      <c r="F9" s="2" t="s">
        <v>91</v>
      </c>
      <c r="G9" s="2" t="s">
        <v>84</v>
      </c>
      <c r="H9" s="2" t="s">
        <v>58</v>
      </c>
      <c r="I9" s="2">
        <v>4</v>
      </c>
      <c r="J9" s="2">
        <v>490.8</v>
      </c>
      <c r="K9" s="2"/>
      <c r="L9" s="2" t="s">
        <v>59</v>
      </c>
      <c r="M9" s="2" t="s">
        <v>92</v>
      </c>
      <c r="N9" s="2" t="s">
        <v>71</v>
      </c>
      <c r="O9" s="2" t="s">
        <v>93</v>
      </c>
    </row>
    <row r="10" spans="1:15" x14ac:dyDescent="0.25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35</v>
      </c>
      <c r="I10" s="2">
        <v>11</v>
      </c>
      <c r="J10" s="2" t="s">
        <v>101</v>
      </c>
      <c r="K10" s="2">
        <v>0.2</v>
      </c>
      <c r="L10" s="2" t="s">
        <v>102</v>
      </c>
      <c r="M10" s="2" t="s">
        <v>86</v>
      </c>
      <c r="N10" s="2"/>
      <c r="O10" s="2" t="s">
        <v>40</v>
      </c>
    </row>
    <row r="11" spans="1:15" x14ac:dyDescent="0.25">
      <c r="A11" s="2" t="s">
        <v>103</v>
      </c>
      <c r="B11" s="2" t="s">
        <v>104</v>
      </c>
      <c r="C11" s="2" t="s">
        <v>105</v>
      </c>
      <c r="D11" s="2" t="s">
        <v>75</v>
      </c>
      <c r="E11" s="2" t="s">
        <v>76</v>
      </c>
      <c r="F11" s="2" t="s">
        <v>106</v>
      </c>
      <c r="G11" s="2" t="s">
        <v>107</v>
      </c>
      <c r="H11" s="2" t="s">
        <v>108</v>
      </c>
      <c r="I11" s="2">
        <v>4</v>
      </c>
      <c r="J11" s="2" t="s">
        <v>109</v>
      </c>
      <c r="K11" s="2">
        <v>0.2</v>
      </c>
      <c r="L11" s="2" t="s">
        <v>24</v>
      </c>
      <c r="M11" s="2" t="s">
        <v>110</v>
      </c>
      <c r="N11" s="2" t="s">
        <v>111</v>
      </c>
      <c r="O11" s="2" t="s">
        <v>112</v>
      </c>
    </row>
    <row r="12" spans="1:15" x14ac:dyDescent="0.25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58</v>
      </c>
      <c r="I12" s="2">
        <v>3</v>
      </c>
      <c r="J12" s="2" t="s">
        <v>120</v>
      </c>
      <c r="K12" s="2"/>
      <c r="L12" s="2" t="s">
        <v>37</v>
      </c>
      <c r="M12" s="2" t="s">
        <v>70</v>
      </c>
      <c r="N12" s="2"/>
      <c r="O12" s="2" t="s">
        <v>112</v>
      </c>
    </row>
    <row r="13" spans="1:15" x14ac:dyDescent="0.25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66</v>
      </c>
      <c r="G13" s="2" t="s">
        <v>57</v>
      </c>
      <c r="H13" s="2" t="s">
        <v>22</v>
      </c>
      <c r="I13" s="2">
        <v>4</v>
      </c>
      <c r="J13" s="2">
        <v>275.55</v>
      </c>
      <c r="K13" s="2"/>
      <c r="L13" s="2" t="s">
        <v>69</v>
      </c>
      <c r="M13" s="2" t="s">
        <v>86</v>
      </c>
      <c r="N13" s="2" t="s">
        <v>111</v>
      </c>
      <c r="O13" s="2" t="s">
        <v>126</v>
      </c>
    </row>
    <row r="14" spans="1:15" x14ac:dyDescent="0.25">
      <c r="A14" s="2" t="s">
        <v>127</v>
      </c>
      <c r="B14" s="2" t="s">
        <v>128</v>
      </c>
      <c r="C14" s="2" t="s">
        <v>129</v>
      </c>
      <c r="D14" s="2" t="s">
        <v>97</v>
      </c>
      <c r="E14" s="2" t="s">
        <v>98</v>
      </c>
      <c r="F14" s="2" t="s">
        <v>130</v>
      </c>
      <c r="G14" s="2" t="s">
        <v>131</v>
      </c>
      <c r="H14" s="2" t="s">
        <v>48</v>
      </c>
      <c r="I14" s="2">
        <v>9</v>
      </c>
      <c r="J14" s="2"/>
      <c r="K14" s="2"/>
      <c r="L14" s="2" t="s">
        <v>132</v>
      </c>
      <c r="M14" s="2" t="s">
        <v>110</v>
      </c>
      <c r="N14" s="2" t="s">
        <v>111</v>
      </c>
      <c r="O14" s="2" t="s">
        <v>93</v>
      </c>
    </row>
    <row r="15" spans="1:15" x14ac:dyDescent="0.25">
      <c r="A15" s="2" t="s">
        <v>133</v>
      </c>
      <c r="B15" s="2" t="s">
        <v>134</v>
      </c>
      <c r="C15" s="2" t="s">
        <v>135</v>
      </c>
      <c r="D15" s="2" t="s">
        <v>64</v>
      </c>
      <c r="E15" s="2" t="s">
        <v>65</v>
      </c>
      <c r="F15" s="2" t="s">
        <v>136</v>
      </c>
      <c r="G15" s="2" t="s">
        <v>137</v>
      </c>
      <c r="H15" s="2" t="s">
        <v>35</v>
      </c>
      <c r="I15" s="2">
        <v>7</v>
      </c>
      <c r="J15" s="2">
        <v>22.48</v>
      </c>
      <c r="K15" s="2" t="s">
        <v>138</v>
      </c>
      <c r="L15" s="2" t="s">
        <v>139</v>
      </c>
      <c r="M15" s="2" t="s">
        <v>70</v>
      </c>
      <c r="N15" s="2"/>
      <c r="O15" s="2" t="s">
        <v>87</v>
      </c>
    </row>
    <row r="16" spans="1:15" x14ac:dyDescent="0.25">
      <c r="A16" s="2" t="s">
        <v>140</v>
      </c>
      <c r="B16" s="2" t="s">
        <v>141</v>
      </c>
      <c r="C16" s="2" t="s">
        <v>142</v>
      </c>
      <c r="D16" s="2" t="s">
        <v>97</v>
      </c>
      <c r="E16" s="2"/>
      <c r="F16" s="2" t="s">
        <v>33</v>
      </c>
      <c r="G16" s="2" t="s">
        <v>47</v>
      </c>
      <c r="H16" s="2" t="s">
        <v>22</v>
      </c>
      <c r="I16" s="2">
        <v>8</v>
      </c>
      <c r="J16" s="2">
        <v>379.18</v>
      </c>
      <c r="K16" s="2"/>
      <c r="L16" s="2" t="s">
        <v>143</v>
      </c>
      <c r="M16" s="2" t="s">
        <v>144</v>
      </c>
      <c r="N16" s="2" t="s">
        <v>39</v>
      </c>
      <c r="O16" s="2" t="s">
        <v>40</v>
      </c>
    </row>
    <row r="17" spans="1:15" x14ac:dyDescent="0.25">
      <c r="A17" s="2" t="s">
        <v>145</v>
      </c>
      <c r="B17" s="2" t="s">
        <v>146</v>
      </c>
      <c r="C17" s="2" t="s">
        <v>147</v>
      </c>
      <c r="D17" s="2" t="s">
        <v>64</v>
      </c>
      <c r="E17" s="2" t="s">
        <v>65</v>
      </c>
      <c r="F17" s="2" t="s">
        <v>66</v>
      </c>
      <c r="G17" s="2" t="s">
        <v>148</v>
      </c>
      <c r="H17" s="2" t="s">
        <v>35</v>
      </c>
      <c r="I17" s="2">
        <v>1</v>
      </c>
      <c r="J17" s="2">
        <v>239.12</v>
      </c>
      <c r="K17" s="2">
        <v>0.05</v>
      </c>
      <c r="L17" s="2" t="s">
        <v>59</v>
      </c>
      <c r="M17" s="2" t="s">
        <v>86</v>
      </c>
      <c r="N17" s="2" t="s">
        <v>111</v>
      </c>
      <c r="O17" s="2"/>
    </row>
    <row r="18" spans="1:15" x14ac:dyDescent="0.25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19</v>
      </c>
      <c r="F18" s="2" t="s">
        <v>153</v>
      </c>
      <c r="G18" s="2" t="s">
        <v>154</v>
      </c>
      <c r="H18" s="2" t="s">
        <v>108</v>
      </c>
      <c r="I18" s="2"/>
      <c r="J18" s="2">
        <v>464.9</v>
      </c>
      <c r="K18" s="2">
        <v>0.1</v>
      </c>
      <c r="L18" s="2" t="s">
        <v>24</v>
      </c>
      <c r="M18" s="2" t="s">
        <v>86</v>
      </c>
      <c r="N18" s="2" t="s">
        <v>111</v>
      </c>
      <c r="O18" s="2" t="s">
        <v>27</v>
      </c>
    </row>
    <row r="19" spans="1:15" x14ac:dyDescent="0.25">
      <c r="A19" s="2" t="s">
        <v>155</v>
      </c>
      <c r="B19" s="2" t="s">
        <v>156</v>
      </c>
      <c r="C19" s="2" t="s">
        <v>157</v>
      </c>
      <c r="D19" s="2" t="s">
        <v>152</v>
      </c>
      <c r="E19" s="2" t="s">
        <v>117</v>
      </c>
      <c r="F19" s="2" t="s">
        <v>56</v>
      </c>
      <c r="G19" s="2" t="s">
        <v>57</v>
      </c>
      <c r="H19" s="2" t="s">
        <v>58</v>
      </c>
      <c r="I19" s="2">
        <v>8</v>
      </c>
      <c r="J19" s="2">
        <v>353.25</v>
      </c>
      <c r="K19" s="2">
        <v>0.2</v>
      </c>
      <c r="L19" s="2" t="s">
        <v>143</v>
      </c>
      <c r="M19" s="2" t="s">
        <v>158</v>
      </c>
      <c r="N19" s="2" t="s">
        <v>26</v>
      </c>
      <c r="O19" s="2" t="s">
        <v>112</v>
      </c>
    </row>
    <row r="20" spans="1:15" x14ac:dyDescent="0.25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19</v>
      </c>
      <c r="F20" s="2" t="s">
        <v>163</v>
      </c>
      <c r="G20" s="2" t="s">
        <v>164</v>
      </c>
      <c r="H20" s="2" t="s">
        <v>35</v>
      </c>
      <c r="I20" s="2"/>
      <c r="J20" s="2">
        <v>140.30000000000001</v>
      </c>
      <c r="K20" s="2">
        <v>0.1</v>
      </c>
      <c r="L20" s="2" t="s">
        <v>102</v>
      </c>
      <c r="M20" s="2" t="s">
        <v>165</v>
      </c>
      <c r="N20" s="2" t="s">
        <v>50</v>
      </c>
      <c r="O20" s="2" t="s">
        <v>51</v>
      </c>
    </row>
    <row r="21" spans="1:15" x14ac:dyDescent="0.25">
      <c r="A21" s="2" t="s">
        <v>166</v>
      </c>
      <c r="B21" s="2" t="s">
        <v>167</v>
      </c>
      <c r="C21" s="2" t="s">
        <v>168</v>
      </c>
      <c r="D21" s="2" t="s">
        <v>116</v>
      </c>
      <c r="E21" s="2" t="s">
        <v>117</v>
      </c>
      <c r="F21" s="2" t="s">
        <v>91</v>
      </c>
      <c r="G21" s="2" t="s">
        <v>164</v>
      </c>
      <c r="H21" s="2" t="s">
        <v>58</v>
      </c>
      <c r="I21" s="2" t="s">
        <v>169</v>
      </c>
      <c r="J21" s="2">
        <v>44.12</v>
      </c>
      <c r="K21" s="2">
        <v>0.05</v>
      </c>
      <c r="L21" s="2" t="s">
        <v>102</v>
      </c>
      <c r="M21" s="2" t="s">
        <v>170</v>
      </c>
      <c r="N21" s="2" t="s">
        <v>50</v>
      </c>
      <c r="O21" s="2" t="s">
        <v>171</v>
      </c>
    </row>
    <row r="22" spans="1:15" x14ac:dyDescent="0.25">
      <c r="A22" s="2" t="s">
        <v>172</v>
      </c>
      <c r="B22" s="2" t="s">
        <v>173</v>
      </c>
      <c r="C22" s="2" t="s">
        <v>174</v>
      </c>
      <c r="D22" s="2" t="s">
        <v>175</v>
      </c>
      <c r="E22" s="2" t="s">
        <v>32</v>
      </c>
      <c r="F22" s="2" t="s">
        <v>176</v>
      </c>
      <c r="G22" s="2" t="s">
        <v>177</v>
      </c>
      <c r="H22" s="2" t="s">
        <v>178</v>
      </c>
      <c r="I22" s="2">
        <v>10</v>
      </c>
      <c r="J22" s="2" t="s">
        <v>179</v>
      </c>
      <c r="K22" s="2" t="s">
        <v>85</v>
      </c>
      <c r="L22" s="2" t="s">
        <v>180</v>
      </c>
      <c r="M22" s="2" t="s">
        <v>25</v>
      </c>
      <c r="N22" s="2" t="s">
        <v>39</v>
      </c>
      <c r="O22" s="2" t="s">
        <v>40</v>
      </c>
    </row>
    <row r="23" spans="1:15" x14ac:dyDescent="0.25">
      <c r="A23" s="2" t="s">
        <v>181</v>
      </c>
      <c r="B23" s="2" t="s">
        <v>182</v>
      </c>
      <c r="C23" s="2" t="s">
        <v>183</v>
      </c>
      <c r="D23" s="2" t="s">
        <v>44</v>
      </c>
      <c r="E23" s="2"/>
      <c r="F23" s="2" t="s">
        <v>184</v>
      </c>
      <c r="G23" s="2" t="s">
        <v>34</v>
      </c>
      <c r="H23" s="2" t="s">
        <v>48</v>
      </c>
      <c r="I23" s="2">
        <v>2</v>
      </c>
      <c r="J23" s="2">
        <v>375.41</v>
      </c>
      <c r="K23" s="2"/>
      <c r="L23" s="2" t="s">
        <v>69</v>
      </c>
      <c r="M23" s="2" t="s">
        <v>158</v>
      </c>
      <c r="N23" s="2" t="s">
        <v>26</v>
      </c>
      <c r="O23" s="2" t="s">
        <v>112</v>
      </c>
    </row>
    <row r="24" spans="1:15" x14ac:dyDescent="0.25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32</v>
      </c>
      <c r="F24" s="2" t="s">
        <v>189</v>
      </c>
      <c r="G24" s="2" t="s">
        <v>154</v>
      </c>
      <c r="H24" s="2" t="s">
        <v>58</v>
      </c>
      <c r="I24" s="2" t="s">
        <v>190</v>
      </c>
      <c r="J24" s="2">
        <v>282.13</v>
      </c>
      <c r="K24" s="2"/>
      <c r="L24" s="2" t="s">
        <v>69</v>
      </c>
      <c r="M24" s="2" t="s">
        <v>158</v>
      </c>
      <c r="N24" s="2" t="s">
        <v>111</v>
      </c>
      <c r="O24" s="2" t="s">
        <v>51</v>
      </c>
    </row>
    <row r="25" spans="1:15" x14ac:dyDescent="0.25">
      <c r="A25" s="2" t="s">
        <v>191</v>
      </c>
      <c r="B25" s="2" t="s">
        <v>192</v>
      </c>
      <c r="C25" s="2" t="s">
        <v>193</v>
      </c>
      <c r="D25" s="2" t="s">
        <v>194</v>
      </c>
      <c r="E25" s="2" t="s">
        <v>98</v>
      </c>
      <c r="F25" s="2" t="s">
        <v>130</v>
      </c>
      <c r="G25" s="2" t="s">
        <v>21</v>
      </c>
      <c r="H25" s="2" t="s">
        <v>195</v>
      </c>
      <c r="I25" s="2">
        <v>12</v>
      </c>
      <c r="J25" s="2"/>
      <c r="K25" s="2"/>
      <c r="L25" s="2" t="s">
        <v>79</v>
      </c>
      <c r="M25" s="2" t="s">
        <v>144</v>
      </c>
      <c r="N25" s="2" t="s">
        <v>111</v>
      </c>
      <c r="O25" s="2" t="s">
        <v>40</v>
      </c>
    </row>
    <row r="26" spans="1:15" x14ac:dyDescent="0.25">
      <c r="A26" s="2" t="s">
        <v>196</v>
      </c>
      <c r="B26" s="2" t="s">
        <v>197</v>
      </c>
      <c r="C26" s="2" t="s">
        <v>198</v>
      </c>
      <c r="D26" s="2" t="s">
        <v>75</v>
      </c>
      <c r="E26" s="2" t="s">
        <v>199</v>
      </c>
      <c r="F26" s="2" t="s">
        <v>184</v>
      </c>
      <c r="G26" s="2" t="s">
        <v>34</v>
      </c>
      <c r="H26" s="2" t="s">
        <v>200</v>
      </c>
      <c r="I26" s="2">
        <v>8</v>
      </c>
      <c r="J26" s="2">
        <v>200.43</v>
      </c>
      <c r="K26" s="2"/>
      <c r="L26" s="2" t="s">
        <v>79</v>
      </c>
      <c r="M26" s="2" t="s">
        <v>201</v>
      </c>
      <c r="N26" s="2" t="s">
        <v>26</v>
      </c>
      <c r="O26" s="2" t="s">
        <v>112</v>
      </c>
    </row>
    <row r="27" spans="1:15" x14ac:dyDescent="0.25">
      <c r="A27" s="2" t="s">
        <v>202</v>
      </c>
      <c r="B27" s="2" t="s">
        <v>203</v>
      </c>
      <c r="C27" s="2" t="s">
        <v>204</v>
      </c>
      <c r="D27" s="2" t="s">
        <v>44</v>
      </c>
      <c r="E27" s="2" t="s">
        <v>45</v>
      </c>
      <c r="F27" s="2" t="s">
        <v>66</v>
      </c>
      <c r="G27" s="2" t="s">
        <v>154</v>
      </c>
      <c r="H27" s="2" t="s">
        <v>68</v>
      </c>
      <c r="I27" s="2">
        <v>12</v>
      </c>
      <c r="J27" s="2">
        <v>411.55</v>
      </c>
      <c r="K27" s="2"/>
      <c r="L27" s="2" t="s">
        <v>79</v>
      </c>
      <c r="M27" s="2" t="s">
        <v>38</v>
      </c>
      <c r="N27" s="2" t="s">
        <v>50</v>
      </c>
      <c r="O27" s="2" t="s">
        <v>51</v>
      </c>
    </row>
    <row r="28" spans="1:15" x14ac:dyDescent="0.25">
      <c r="A28" s="2" t="s">
        <v>205</v>
      </c>
      <c r="B28" s="2" t="s">
        <v>206</v>
      </c>
      <c r="C28" s="2" t="s">
        <v>207</v>
      </c>
      <c r="D28" s="2" t="s">
        <v>162</v>
      </c>
      <c r="E28" s="2" t="s">
        <v>19</v>
      </c>
      <c r="F28" s="2" t="s">
        <v>136</v>
      </c>
      <c r="G28" s="2" t="s">
        <v>78</v>
      </c>
      <c r="H28" s="2" t="s">
        <v>195</v>
      </c>
      <c r="I28" s="2">
        <v>12</v>
      </c>
      <c r="J28" s="2">
        <v>284.95</v>
      </c>
      <c r="K28" s="2"/>
      <c r="L28" s="2" t="s">
        <v>69</v>
      </c>
      <c r="M28" s="2" t="s">
        <v>208</v>
      </c>
      <c r="N28" s="2" t="s">
        <v>39</v>
      </c>
      <c r="O28" s="2" t="s">
        <v>40</v>
      </c>
    </row>
    <row r="29" spans="1:15" x14ac:dyDescent="0.25">
      <c r="A29" s="2" t="s">
        <v>209</v>
      </c>
      <c r="B29" s="2" t="s">
        <v>210</v>
      </c>
      <c r="C29" s="2" t="s">
        <v>211</v>
      </c>
      <c r="D29" s="2" t="s">
        <v>212</v>
      </c>
      <c r="E29" s="2" t="s">
        <v>65</v>
      </c>
      <c r="F29" s="2" t="s">
        <v>118</v>
      </c>
      <c r="G29" s="2" t="s">
        <v>213</v>
      </c>
      <c r="H29" s="2" t="s">
        <v>108</v>
      </c>
      <c r="I29" s="2">
        <v>10</v>
      </c>
      <c r="J29" s="2">
        <v>140.9</v>
      </c>
      <c r="K29" s="2">
        <v>0</v>
      </c>
      <c r="L29" s="2" t="s">
        <v>132</v>
      </c>
      <c r="M29" s="2" t="s">
        <v>158</v>
      </c>
      <c r="N29" s="2" t="s">
        <v>50</v>
      </c>
      <c r="O29" s="2" t="s">
        <v>112</v>
      </c>
    </row>
    <row r="30" spans="1:15" x14ac:dyDescent="0.25">
      <c r="A30" s="2" t="s">
        <v>214</v>
      </c>
      <c r="B30" s="2" t="s">
        <v>215</v>
      </c>
      <c r="C30" s="2" t="s">
        <v>216</v>
      </c>
      <c r="D30" s="2" t="s">
        <v>31</v>
      </c>
      <c r="E30" s="2" t="s">
        <v>32</v>
      </c>
      <c r="F30" s="2" t="s">
        <v>118</v>
      </c>
      <c r="G30" s="2" t="s">
        <v>213</v>
      </c>
      <c r="H30" s="2" t="s">
        <v>58</v>
      </c>
      <c r="I30" s="2">
        <v>1</v>
      </c>
      <c r="J30" s="2">
        <v>155.66</v>
      </c>
      <c r="K30" s="2"/>
      <c r="L30" s="2" t="s">
        <v>102</v>
      </c>
      <c r="M30" s="2" t="s">
        <v>208</v>
      </c>
      <c r="N30" s="2" t="s">
        <v>50</v>
      </c>
      <c r="O30" s="2" t="s">
        <v>93</v>
      </c>
    </row>
    <row r="31" spans="1:15" x14ac:dyDescent="0.25">
      <c r="A31" s="2" t="s">
        <v>217</v>
      </c>
      <c r="B31" s="2" t="s">
        <v>218</v>
      </c>
      <c r="C31" s="2" t="s">
        <v>219</v>
      </c>
      <c r="D31" s="2" t="s">
        <v>55</v>
      </c>
      <c r="E31" s="2" t="s">
        <v>32</v>
      </c>
      <c r="F31" s="2" t="s">
        <v>99</v>
      </c>
      <c r="G31" s="2" t="s">
        <v>220</v>
      </c>
      <c r="H31" s="2" t="s">
        <v>108</v>
      </c>
      <c r="I31" s="2" t="s">
        <v>169</v>
      </c>
      <c r="J31" s="2">
        <v>387.86</v>
      </c>
      <c r="K31" s="2"/>
      <c r="L31" s="2" t="s">
        <v>132</v>
      </c>
      <c r="M31" s="2" t="s">
        <v>208</v>
      </c>
      <c r="N31" s="2" t="s">
        <v>39</v>
      </c>
      <c r="O31" s="2" t="s">
        <v>126</v>
      </c>
    </row>
    <row r="32" spans="1:15" x14ac:dyDescent="0.25">
      <c r="A32" s="2" t="s">
        <v>221</v>
      </c>
      <c r="B32" s="2" t="s">
        <v>222</v>
      </c>
      <c r="C32" s="2" t="s">
        <v>223</v>
      </c>
      <c r="D32" s="2" t="s">
        <v>224</v>
      </c>
      <c r="E32" s="2" t="s">
        <v>45</v>
      </c>
      <c r="F32" s="2" t="s">
        <v>46</v>
      </c>
      <c r="G32" s="2" t="s">
        <v>34</v>
      </c>
      <c r="H32" s="2" t="s">
        <v>68</v>
      </c>
      <c r="I32" s="2" t="s">
        <v>225</v>
      </c>
      <c r="J32" s="2">
        <v>474.53</v>
      </c>
      <c r="K32" s="2"/>
      <c r="L32" s="2" t="s">
        <v>24</v>
      </c>
      <c r="M32" s="2" t="s">
        <v>144</v>
      </c>
      <c r="N32" s="2" t="s">
        <v>26</v>
      </c>
      <c r="O32" s="2" t="s">
        <v>126</v>
      </c>
    </row>
    <row r="33" spans="1:15" x14ac:dyDescent="0.25">
      <c r="A33" s="2" t="s">
        <v>226</v>
      </c>
      <c r="B33" s="2" t="s">
        <v>227</v>
      </c>
      <c r="C33" s="2" t="s">
        <v>228</v>
      </c>
      <c r="D33" s="2" t="s">
        <v>162</v>
      </c>
      <c r="E33" s="2" t="s">
        <v>117</v>
      </c>
      <c r="F33" s="2" t="s">
        <v>33</v>
      </c>
      <c r="G33" s="2" t="s">
        <v>47</v>
      </c>
      <c r="H33" s="2" t="s">
        <v>195</v>
      </c>
      <c r="I33" s="2"/>
      <c r="J33" s="2">
        <v>449.47</v>
      </c>
      <c r="K33" s="2">
        <v>0</v>
      </c>
      <c r="L33" s="2" t="s">
        <v>24</v>
      </c>
      <c r="M33" s="2" t="s">
        <v>38</v>
      </c>
      <c r="N33" s="2"/>
      <c r="O33" s="2" t="s">
        <v>93</v>
      </c>
    </row>
    <row r="34" spans="1:15" x14ac:dyDescent="0.25">
      <c r="A34" s="2" t="s">
        <v>229</v>
      </c>
      <c r="B34" s="2" t="s">
        <v>230</v>
      </c>
      <c r="C34" s="2" t="s">
        <v>231</v>
      </c>
      <c r="D34" s="2" t="s">
        <v>152</v>
      </c>
      <c r="E34" s="2" t="s">
        <v>19</v>
      </c>
      <c r="F34" s="2" t="s">
        <v>130</v>
      </c>
      <c r="G34" s="2" t="s">
        <v>131</v>
      </c>
      <c r="H34" s="2" t="s">
        <v>200</v>
      </c>
      <c r="I34" s="2">
        <v>10</v>
      </c>
      <c r="J34" s="2">
        <v>498.33</v>
      </c>
      <c r="K34" s="2">
        <v>0</v>
      </c>
      <c r="L34" s="2" t="s">
        <v>180</v>
      </c>
      <c r="M34" s="2" t="s">
        <v>158</v>
      </c>
      <c r="N34" s="2" t="s">
        <v>71</v>
      </c>
      <c r="O34" s="2" t="s">
        <v>40</v>
      </c>
    </row>
    <row r="35" spans="1:15" x14ac:dyDescent="0.25">
      <c r="A35" s="2" t="s">
        <v>232</v>
      </c>
      <c r="B35" s="2" t="s">
        <v>233</v>
      </c>
      <c r="C35" s="2" t="s">
        <v>234</v>
      </c>
      <c r="D35" s="2" t="s">
        <v>162</v>
      </c>
      <c r="E35" s="2" t="s">
        <v>19</v>
      </c>
      <c r="F35" s="2" t="s">
        <v>235</v>
      </c>
      <c r="G35" s="2" t="s">
        <v>236</v>
      </c>
      <c r="H35" s="2" t="s">
        <v>178</v>
      </c>
      <c r="I35" s="2">
        <v>5</v>
      </c>
      <c r="J35" s="2">
        <v>97.83</v>
      </c>
      <c r="K35" s="2">
        <v>0.15</v>
      </c>
      <c r="L35" s="2" t="s">
        <v>237</v>
      </c>
      <c r="M35" s="2" t="s">
        <v>25</v>
      </c>
      <c r="N35" s="2"/>
      <c r="O35" s="2" t="s">
        <v>51</v>
      </c>
    </row>
    <row r="36" spans="1:15" x14ac:dyDescent="0.25">
      <c r="A36" s="2" t="s">
        <v>238</v>
      </c>
      <c r="B36" s="2" t="s">
        <v>239</v>
      </c>
      <c r="C36" s="2" t="s">
        <v>240</v>
      </c>
      <c r="D36" s="2" t="s">
        <v>97</v>
      </c>
      <c r="E36" s="2" t="s">
        <v>65</v>
      </c>
      <c r="F36" s="2" t="s">
        <v>130</v>
      </c>
      <c r="G36" s="2" t="s">
        <v>119</v>
      </c>
      <c r="H36" s="2" t="s">
        <v>68</v>
      </c>
      <c r="I36" s="2" t="s">
        <v>241</v>
      </c>
      <c r="J36" s="2">
        <v>227.71</v>
      </c>
      <c r="K36" s="2">
        <v>0</v>
      </c>
      <c r="L36" s="2" t="s">
        <v>79</v>
      </c>
      <c r="M36" s="2" t="s">
        <v>208</v>
      </c>
      <c r="N36" s="2" t="s">
        <v>26</v>
      </c>
      <c r="O36" s="2"/>
    </row>
    <row r="37" spans="1:15" x14ac:dyDescent="0.25">
      <c r="A37" s="2" t="s">
        <v>242</v>
      </c>
      <c r="B37" s="2" t="s">
        <v>243</v>
      </c>
      <c r="C37" s="2" t="s">
        <v>244</v>
      </c>
      <c r="D37" s="2" t="s">
        <v>116</v>
      </c>
      <c r="E37" s="2" t="s">
        <v>117</v>
      </c>
      <c r="F37" s="2" t="s">
        <v>66</v>
      </c>
      <c r="G37" s="2" t="s">
        <v>154</v>
      </c>
      <c r="H37" s="2" t="s">
        <v>108</v>
      </c>
      <c r="I37" s="2">
        <v>9</v>
      </c>
      <c r="J37" s="2">
        <v>387.13</v>
      </c>
      <c r="K37" s="2" t="s">
        <v>85</v>
      </c>
      <c r="L37" s="2" t="s">
        <v>79</v>
      </c>
      <c r="M37" s="2" t="s">
        <v>38</v>
      </c>
      <c r="N37" s="2" t="s">
        <v>111</v>
      </c>
      <c r="O37" s="2" t="s">
        <v>93</v>
      </c>
    </row>
    <row r="38" spans="1:15" x14ac:dyDescent="0.25">
      <c r="A38" s="2" t="s">
        <v>245</v>
      </c>
      <c r="B38" s="2" t="s">
        <v>246</v>
      </c>
      <c r="C38" s="2" t="s">
        <v>247</v>
      </c>
      <c r="D38" s="2" t="s">
        <v>64</v>
      </c>
      <c r="E38" s="2" t="s">
        <v>65</v>
      </c>
      <c r="F38" s="2" t="s">
        <v>235</v>
      </c>
      <c r="G38" s="2" t="s">
        <v>78</v>
      </c>
      <c r="H38" s="2" t="s">
        <v>35</v>
      </c>
      <c r="I38" s="2">
        <v>6</v>
      </c>
      <c r="J38" s="2">
        <v>175.79</v>
      </c>
      <c r="K38" s="2">
        <v>0</v>
      </c>
      <c r="L38" s="2" t="s">
        <v>102</v>
      </c>
      <c r="M38" s="2" t="s">
        <v>208</v>
      </c>
      <c r="N38" s="2" t="s">
        <v>50</v>
      </c>
      <c r="O38" s="2" t="s">
        <v>27</v>
      </c>
    </row>
    <row r="39" spans="1:15" x14ac:dyDescent="0.25">
      <c r="A39" s="2" t="s">
        <v>248</v>
      </c>
      <c r="B39" s="2" t="s">
        <v>249</v>
      </c>
      <c r="C39" s="2" t="s">
        <v>250</v>
      </c>
      <c r="D39" s="2" t="s">
        <v>18</v>
      </c>
      <c r="E39" s="2" t="s">
        <v>117</v>
      </c>
      <c r="F39" s="2" t="s">
        <v>118</v>
      </c>
      <c r="G39" s="2" t="s">
        <v>213</v>
      </c>
      <c r="H39" s="2" t="s">
        <v>108</v>
      </c>
      <c r="I39" s="2">
        <v>6</v>
      </c>
      <c r="J39" s="2">
        <v>490.05</v>
      </c>
      <c r="K39" s="2">
        <v>0</v>
      </c>
      <c r="L39" s="2" t="s">
        <v>79</v>
      </c>
      <c r="M39" s="2" t="s">
        <v>38</v>
      </c>
      <c r="N39" s="2" t="s">
        <v>71</v>
      </c>
      <c r="O39" s="2" t="s">
        <v>40</v>
      </c>
    </row>
    <row r="40" spans="1:15" x14ac:dyDescent="0.25">
      <c r="A40" s="2" t="s">
        <v>251</v>
      </c>
      <c r="B40" s="2" t="s">
        <v>252</v>
      </c>
      <c r="C40" s="2" t="s">
        <v>253</v>
      </c>
      <c r="D40" s="2" t="s">
        <v>152</v>
      </c>
      <c r="E40" s="2" t="s">
        <v>19</v>
      </c>
      <c r="F40" s="2" t="s">
        <v>163</v>
      </c>
      <c r="G40" s="2" t="s">
        <v>164</v>
      </c>
      <c r="H40" s="2" t="s">
        <v>22</v>
      </c>
      <c r="I40" s="2">
        <v>9</v>
      </c>
      <c r="J40" s="2">
        <v>27.48</v>
      </c>
      <c r="K40" s="2" t="s">
        <v>254</v>
      </c>
      <c r="L40" s="2" t="s">
        <v>24</v>
      </c>
      <c r="M40" s="2" t="s">
        <v>92</v>
      </c>
      <c r="N40" s="2" t="s">
        <v>111</v>
      </c>
      <c r="O40" s="2" t="s">
        <v>171</v>
      </c>
    </row>
    <row r="41" spans="1:15" x14ac:dyDescent="0.25">
      <c r="A41" s="2" t="s">
        <v>255</v>
      </c>
      <c r="B41" s="2" t="s">
        <v>256</v>
      </c>
      <c r="C41" s="2" t="s">
        <v>257</v>
      </c>
      <c r="D41" s="2" t="s">
        <v>258</v>
      </c>
      <c r="E41" s="2" t="s">
        <v>125</v>
      </c>
      <c r="F41" s="2" t="s">
        <v>20</v>
      </c>
      <c r="G41" s="2" t="s">
        <v>131</v>
      </c>
      <c r="H41" s="2" t="s">
        <v>178</v>
      </c>
      <c r="I41" s="2"/>
      <c r="J41" s="2">
        <v>195.24</v>
      </c>
      <c r="K41" s="2" t="s">
        <v>259</v>
      </c>
      <c r="L41" s="2" t="s">
        <v>260</v>
      </c>
      <c r="M41" s="2" t="s">
        <v>70</v>
      </c>
      <c r="N41" s="2" t="s">
        <v>26</v>
      </c>
      <c r="O41" s="2" t="s">
        <v>87</v>
      </c>
    </row>
    <row r="42" spans="1:15" x14ac:dyDescent="0.25">
      <c r="A42" s="2" t="s">
        <v>261</v>
      </c>
      <c r="B42" s="2" t="s">
        <v>262</v>
      </c>
      <c r="C42" s="2" t="s">
        <v>263</v>
      </c>
      <c r="D42" s="2" t="s">
        <v>64</v>
      </c>
      <c r="E42" s="2" t="s">
        <v>65</v>
      </c>
      <c r="F42" s="2" t="s">
        <v>20</v>
      </c>
      <c r="G42" s="2" t="s">
        <v>264</v>
      </c>
      <c r="H42" s="2" t="s">
        <v>22</v>
      </c>
      <c r="I42" s="2">
        <v>12</v>
      </c>
      <c r="J42" s="2">
        <v>48.62</v>
      </c>
      <c r="K42" s="2"/>
      <c r="L42" s="2" t="s">
        <v>79</v>
      </c>
      <c r="M42" s="2" t="s">
        <v>165</v>
      </c>
      <c r="N42" s="2" t="s">
        <v>26</v>
      </c>
      <c r="O42" s="2" t="s">
        <v>171</v>
      </c>
    </row>
    <row r="43" spans="1:15" x14ac:dyDescent="0.25">
      <c r="A43" s="2" t="s">
        <v>265</v>
      </c>
      <c r="B43" s="2" t="s">
        <v>114</v>
      </c>
      <c r="C43" s="2" t="s">
        <v>266</v>
      </c>
      <c r="D43" s="2" t="s">
        <v>162</v>
      </c>
      <c r="E43" s="2"/>
      <c r="F43" s="2" t="s">
        <v>267</v>
      </c>
      <c r="G43" s="2" t="s">
        <v>268</v>
      </c>
      <c r="H43" s="2" t="s">
        <v>35</v>
      </c>
      <c r="I43" s="2">
        <v>6</v>
      </c>
      <c r="J43" s="2">
        <v>415.21</v>
      </c>
      <c r="K43" s="2">
        <v>0.2</v>
      </c>
      <c r="L43" s="2" t="s">
        <v>132</v>
      </c>
      <c r="M43" s="2" t="s">
        <v>92</v>
      </c>
      <c r="N43" s="2" t="s">
        <v>26</v>
      </c>
      <c r="O43" s="2" t="s">
        <v>87</v>
      </c>
    </row>
    <row r="44" spans="1:15" x14ac:dyDescent="0.25">
      <c r="A44" s="2" t="s">
        <v>269</v>
      </c>
      <c r="B44" s="2" t="s">
        <v>270</v>
      </c>
      <c r="C44" s="2" t="s">
        <v>271</v>
      </c>
      <c r="D44" s="2" t="s">
        <v>116</v>
      </c>
      <c r="E44" s="2" t="s">
        <v>19</v>
      </c>
      <c r="F44" s="2" t="s">
        <v>136</v>
      </c>
      <c r="G44" s="2" t="s">
        <v>236</v>
      </c>
      <c r="H44" s="2" t="s">
        <v>178</v>
      </c>
      <c r="I44" s="2"/>
      <c r="J44" s="2">
        <v>222.6</v>
      </c>
      <c r="K44" s="2"/>
      <c r="L44" s="2" t="s">
        <v>79</v>
      </c>
      <c r="M44" s="2" t="s">
        <v>208</v>
      </c>
      <c r="N44" s="2" t="s">
        <v>71</v>
      </c>
      <c r="O44" s="2" t="s">
        <v>51</v>
      </c>
    </row>
    <row r="45" spans="1:15" x14ac:dyDescent="0.25">
      <c r="A45" s="2" t="s">
        <v>272</v>
      </c>
      <c r="B45" s="2" t="s">
        <v>273</v>
      </c>
      <c r="C45" s="2" t="s">
        <v>274</v>
      </c>
      <c r="D45" s="2" t="s">
        <v>31</v>
      </c>
      <c r="E45" s="2" t="s">
        <v>76</v>
      </c>
      <c r="F45" s="2" t="s">
        <v>189</v>
      </c>
      <c r="G45" s="2" t="s">
        <v>154</v>
      </c>
      <c r="H45" s="2" t="s">
        <v>68</v>
      </c>
      <c r="I45" s="2">
        <v>4</v>
      </c>
      <c r="J45" s="2">
        <v>403.52</v>
      </c>
      <c r="K45" s="2">
        <v>0.1</v>
      </c>
      <c r="L45" s="2" t="s">
        <v>69</v>
      </c>
      <c r="M45" s="2" t="s">
        <v>165</v>
      </c>
      <c r="N45" s="2" t="s">
        <v>71</v>
      </c>
      <c r="O45" s="2" t="s">
        <v>40</v>
      </c>
    </row>
    <row r="46" spans="1:15" x14ac:dyDescent="0.25">
      <c r="A46" s="2" t="s">
        <v>275</v>
      </c>
      <c r="B46" s="2" t="s">
        <v>276</v>
      </c>
      <c r="C46" s="2" t="s">
        <v>277</v>
      </c>
      <c r="D46" s="2" t="s">
        <v>258</v>
      </c>
      <c r="E46" s="2" t="s">
        <v>125</v>
      </c>
      <c r="F46" s="2" t="s">
        <v>77</v>
      </c>
      <c r="G46" s="2" t="s">
        <v>137</v>
      </c>
      <c r="H46" s="2" t="s">
        <v>48</v>
      </c>
      <c r="I46" s="2">
        <v>2</v>
      </c>
      <c r="J46" s="2">
        <v>338.05</v>
      </c>
      <c r="K46" s="2" t="s">
        <v>85</v>
      </c>
      <c r="L46" s="2" t="s">
        <v>180</v>
      </c>
      <c r="M46" s="2" t="s">
        <v>158</v>
      </c>
      <c r="N46" s="2" t="s">
        <v>111</v>
      </c>
      <c r="O46" s="2" t="s">
        <v>93</v>
      </c>
    </row>
    <row r="47" spans="1:15" x14ac:dyDescent="0.25">
      <c r="A47" s="2" t="s">
        <v>278</v>
      </c>
      <c r="B47" s="2" t="s">
        <v>279</v>
      </c>
      <c r="C47" s="2" t="s">
        <v>280</v>
      </c>
      <c r="D47" s="2" t="s">
        <v>97</v>
      </c>
      <c r="E47" s="2" t="s">
        <v>98</v>
      </c>
      <c r="F47" s="2" t="s">
        <v>66</v>
      </c>
      <c r="G47" s="2" t="s">
        <v>57</v>
      </c>
      <c r="H47" s="2" t="s">
        <v>35</v>
      </c>
      <c r="I47" s="2">
        <v>8</v>
      </c>
      <c r="J47" s="2">
        <v>453.85</v>
      </c>
      <c r="K47" s="2" t="s">
        <v>259</v>
      </c>
      <c r="L47" s="2" t="s">
        <v>281</v>
      </c>
      <c r="M47" s="2" t="s">
        <v>158</v>
      </c>
      <c r="N47" s="2" t="s">
        <v>71</v>
      </c>
      <c r="O47" s="2" t="s">
        <v>93</v>
      </c>
    </row>
    <row r="48" spans="1:15" x14ac:dyDescent="0.25">
      <c r="A48" s="2" t="s">
        <v>282</v>
      </c>
      <c r="B48" s="2" t="s">
        <v>283</v>
      </c>
      <c r="C48" s="2" t="s">
        <v>284</v>
      </c>
      <c r="D48" s="2" t="s">
        <v>285</v>
      </c>
      <c r="E48" s="2" t="s">
        <v>76</v>
      </c>
      <c r="F48" s="2" t="s">
        <v>83</v>
      </c>
      <c r="G48" s="2" t="s">
        <v>84</v>
      </c>
      <c r="H48" s="2" t="s">
        <v>35</v>
      </c>
      <c r="I48" s="2">
        <v>8</v>
      </c>
      <c r="J48" s="2">
        <v>112.55</v>
      </c>
      <c r="K48" s="2"/>
      <c r="L48" s="2" t="s">
        <v>102</v>
      </c>
      <c r="M48" s="2" t="s">
        <v>92</v>
      </c>
      <c r="N48" s="2" t="s">
        <v>111</v>
      </c>
      <c r="O48" s="2"/>
    </row>
    <row r="49" spans="1:15" x14ac:dyDescent="0.25">
      <c r="A49" s="2" t="s">
        <v>286</v>
      </c>
      <c r="B49" s="2" t="s">
        <v>287</v>
      </c>
      <c r="C49" s="2" t="s">
        <v>288</v>
      </c>
      <c r="D49" s="2" t="s">
        <v>152</v>
      </c>
      <c r="E49" s="2" t="s">
        <v>19</v>
      </c>
      <c r="F49" s="2" t="s">
        <v>91</v>
      </c>
      <c r="G49" s="2" t="s">
        <v>164</v>
      </c>
      <c r="H49" s="2" t="s">
        <v>200</v>
      </c>
      <c r="I49" s="2">
        <v>6</v>
      </c>
      <c r="J49" s="2">
        <v>479.32</v>
      </c>
      <c r="K49" s="2"/>
      <c r="L49" s="2" t="s">
        <v>180</v>
      </c>
      <c r="M49" s="2" t="s">
        <v>208</v>
      </c>
      <c r="N49" s="2" t="s">
        <v>71</v>
      </c>
      <c r="O49" s="2" t="s">
        <v>112</v>
      </c>
    </row>
    <row r="50" spans="1:15" x14ac:dyDescent="0.25">
      <c r="A50" s="2" t="s">
        <v>289</v>
      </c>
      <c r="B50" s="2" t="s">
        <v>290</v>
      </c>
      <c r="C50" s="2" t="s">
        <v>291</v>
      </c>
      <c r="D50" s="2" t="s">
        <v>212</v>
      </c>
      <c r="E50" s="2" t="s">
        <v>98</v>
      </c>
      <c r="F50" s="2" t="s">
        <v>56</v>
      </c>
      <c r="G50" s="2" t="s">
        <v>57</v>
      </c>
      <c r="H50" s="2" t="s">
        <v>22</v>
      </c>
      <c r="I50" s="2">
        <v>2</v>
      </c>
      <c r="J50" s="2">
        <v>462.34</v>
      </c>
      <c r="K50" s="2" t="s">
        <v>138</v>
      </c>
      <c r="L50" s="2" t="s">
        <v>69</v>
      </c>
      <c r="M50" s="2" t="s">
        <v>60</v>
      </c>
      <c r="N50" s="2" t="s">
        <v>26</v>
      </c>
      <c r="O50" s="2" t="s">
        <v>171</v>
      </c>
    </row>
    <row r="51" spans="1:15" x14ac:dyDescent="0.25">
      <c r="A51" s="2" t="s">
        <v>292</v>
      </c>
      <c r="B51" s="2" t="s">
        <v>293</v>
      </c>
      <c r="C51" s="2" t="s">
        <v>294</v>
      </c>
      <c r="D51" s="2" t="s">
        <v>44</v>
      </c>
      <c r="E51" s="2" t="s">
        <v>45</v>
      </c>
      <c r="F51" s="2" t="s">
        <v>77</v>
      </c>
      <c r="G51" s="2" t="s">
        <v>236</v>
      </c>
      <c r="H51" s="2" t="s">
        <v>68</v>
      </c>
      <c r="I51" s="2">
        <v>5</v>
      </c>
      <c r="J51" s="2" t="s">
        <v>295</v>
      </c>
      <c r="K51" s="2"/>
      <c r="L51" s="2" t="s">
        <v>281</v>
      </c>
      <c r="M51" s="2" t="s">
        <v>70</v>
      </c>
      <c r="N51" s="2" t="s">
        <v>39</v>
      </c>
      <c r="O51" s="2"/>
    </row>
    <row r="52" spans="1:15" x14ac:dyDescent="0.25">
      <c r="A52" s="2" t="s">
        <v>296</v>
      </c>
      <c r="B52" s="2" t="s">
        <v>297</v>
      </c>
      <c r="C52" s="2" t="s">
        <v>216</v>
      </c>
      <c r="D52" s="2" t="s">
        <v>124</v>
      </c>
      <c r="E52" s="2" t="s">
        <v>45</v>
      </c>
      <c r="F52" s="2" t="s">
        <v>298</v>
      </c>
      <c r="G52" s="2" t="s">
        <v>213</v>
      </c>
      <c r="H52" s="2" t="s">
        <v>58</v>
      </c>
      <c r="I52" s="2">
        <v>10</v>
      </c>
      <c r="J52" s="2" t="s">
        <v>299</v>
      </c>
      <c r="K52" s="2">
        <v>0.1</v>
      </c>
      <c r="L52" s="2" t="s">
        <v>180</v>
      </c>
      <c r="M52" s="2" t="s">
        <v>170</v>
      </c>
      <c r="N52" s="2"/>
      <c r="O52" s="2" t="s">
        <v>27</v>
      </c>
    </row>
    <row r="53" spans="1:15" x14ac:dyDescent="0.25">
      <c r="A53" s="2" t="s">
        <v>300</v>
      </c>
      <c r="B53" s="2" t="s">
        <v>301</v>
      </c>
      <c r="C53" s="2" t="s">
        <v>302</v>
      </c>
      <c r="D53" s="2" t="s">
        <v>194</v>
      </c>
      <c r="E53" s="2" t="s">
        <v>65</v>
      </c>
      <c r="F53" s="2" t="s">
        <v>99</v>
      </c>
      <c r="G53" s="2" t="s">
        <v>220</v>
      </c>
      <c r="H53" s="2" t="s">
        <v>200</v>
      </c>
      <c r="I53" s="2">
        <v>8</v>
      </c>
      <c r="J53" s="2">
        <v>151.53</v>
      </c>
      <c r="K53" s="2"/>
      <c r="L53" s="2" t="s">
        <v>281</v>
      </c>
      <c r="M53" s="2" t="s">
        <v>86</v>
      </c>
      <c r="N53" s="2" t="s">
        <v>71</v>
      </c>
      <c r="O53" s="2" t="s">
        <v>51</v>
      </c>
    </row>
    <row r="54" spans="1:15" x14ac:dyDescent="0.25">
      <c r="A54" s="2" t="s">
        <v>303</v>
      </c>
      <c r="B54" s="2" t="s">
        <v>304</v>
      </c>
      <c r="C54" s="2" t="s">
        <v>305</v>
      </c>
      <c r="D54" s="2" t="s">
        <v>31</v>
      </c>
      <c r="E54" s="2" t="s">
        <v>199</v>
      </c>
      <c r="F54" s="2" t="s">
        <v>298</v>
      </c>
      <c r="G54" s="2" t="s">
        <v>131</v>
      </c>
      <c r="H54" s="2" t="s">
        <v>195</v>
      </c>
      <c r="I54" s="2">
        <v>3</v>
      </c>
      <c r="J54" s="2">
        <v>174.16</v>
      </c>
      <c r="K54" s="2"/>
      <c r="L54" s="2" t="s">
        <v>281</v>
      </c>
      <c r="M54" s="2" t="s">
        <v>208</v>
      </c>
      <c r="N54" s="2" t="s">
        <v>39</v>
      </c>
      <c r="O54" s="2" t="s">
        <v>93</v>
      </c>
    </row>
    <row r="55" spans="1:15" x14ac:dyDescent="0.25">
      <c r="A55" s="2" t="s">
        <v>306</v>
      </c>
      <c r="B55" s="2" t="s">
        <v>307</v>
      </c>
      <c r="C55" s="2" t="s">
        <v>308</v>
      </c>
      <c r="D55" s="2" t="s">
        <v>224</v>
      </c>
      <c r="E55" s="2" t="s">
        <v>125</v>
      </c>
      <c r="F55" s="2" t="s">
        <v>106</v>
      </c>
      <c r="G55" s="2" t="s">
        <v>34</v>
      </c>
      <c r="H55" s="2" t="s">
        <v>68</v>
      </c>
      <c r="I55" s="2">
        <v>2</v>
      </c>
      <c r="J55" s="2">
        <v>335.77</v>
      </c>
      <c r="K55" s="2">
        <v>0.05</v>
      </c>
      <c r="L55" s="2" t="s">
        <v>180</v>
      </c>
      <c r="M55" s="2" t="s">
        <v>70</v>
      </c>
      <c r="N55" s="2" t="s">
        <v>111</v>
      </c>
      <c r="O55" s="2" t="s">
        <v>93</v>
      </c>
    </row>
    <row r="56" spans="1:15" x14ac:dyDescent="0.25">
      <c r="A56" s="2" t="s">
        <v>309</v>
      </c>
      <c r="B56" s="2" t="s">
        <v>310</v>
      </c>
      <c r="C56" s="2" t="s">
        <v>311</v>
      </c>
      <c r="D56" s="2" t="s">
        <v>162</v>
      </c>
      <c r="E56" s="2" t="s">
        <v>19</v>
      </c>
      <c r="F56" s="2" t="s">
        <v>136</v>
      </c>
      <c r="G56" s="2" t="s">
        <v>236</v>
      </c>
      <c r="H56" s="2" t="s">
        <v>48</v>
      </c>
      <c r="I56" s="2">
        <v>1</v>
      </c>
      <c r="J56" s="2">
        <v>160.69</v>
      </c>
      <c r="K56" s="2">
        <v>0.15</v>
      </c>
      <c r="L56" s="2" t="s">
        <v>102</v>
      </c>
      <c r="M56" s="2" t="s">
        <v>86</v>
      </c>
      <c r="N56" s="2"/>
      <c r="O56" s="2" t="s">
        <v>51</v>
      </c>
    </row>
    <row r="57" spans="1:15" x14ac:dyDescent="0.25">
      <c r="A57" s="2" t="s">
        <v>312</v>
      </c>
      <c r="B57" s="2" t="s">
        <v>313</v>
      </c>
      <c r="C57" s="2" t="s">
        <v>314</v>
      </c>
      <c r="D57" s="2" t="s">
        <v>116</v>
      </c>
      <c r="E57" s="2" t="s">
        <v>19</v>
      </c>
      <c r="F57" s="2" t="s">
        <v>33</v>
      </c>
      <c r="G57" s="2" t="s">
        <v>34</v>
      </c>
      <c r="H57" s="2" t="s">
        <v>68</v>
      </c>
      <c r="I57" s="2">
        <v>7</v>
      </c>
      <c r="J57" s="2">
        <v>182.76</v>
      </c>
      <c r="K57" s="2">
        <v>0.2</v>
      </c>
      <c r="L57" s="2" t="s">
        <v>102</v>
      </c>
      <c r="M57" s="2" t="s">
        <v>170</v>
      </c>
      <c r="N57" s="2" t="s">
        <v>50</v>
      </c>
      <c r="O57" s="2" t="s">
        <v>126</v>
      </c>
    </row>
    <row r="58" spans="1:15" x14ac:dyDescent="0.25">
      <c r="A58" s="2" t="s">
        <v>315</v>
      </c>
      <c r="B58" s="2" t="s">
        <v>316</v>
      </c>
      <c r="C58" s="2" t="s">
        <v>317</v>
      </c>
      <c r="D58" s="2" t="s">
        <v>194</v>
      </c>
      <c r="E58" s="2" t="s">
        <v>65</v>
      </c>
      <c r="F58" s="2" t="s">
        <v>267</v>
      </c>
      <c r="G58" s="2" t="s">
        <v>318</v>
      </c>
      <c r="H58" s="2" t="s">
        <v>195</v>
      </c>
      <c r="I58" s="2"/>
      <c r="J58" s="2" t="s">
        <v>319</v>
      </c>
      <c r="K58" s="2">
        <v>0.1</v>
      </c>
      <c r="L58" s="2" t="s">
        <v>59</v>
      </c>
      <c r="M58" s="2" t="s">
        <v>158</v>
      </c>
      <c r="N58" s="2" t="s">
        <v>26</v>
      </c>
      <c r="O58" s="2" t="s">
        <v>112</v>
      </c>
    </row>
    <row r="59" spans="1:15" x14ac:dyDescent="0.25">
      <c r="A59" s="2" t="s">
        <v>320</v>
      </c>
      <c r="B59" s="2" t="s">
        <v>321</v>
      </c>
      <c r="C59" s="2" t="s">
        <v>322</v>
      </c>
      <c r="D59" s="2" t="s">
        <v>55</v>
      </c>
      <c r="E59" s="2" t="s">
        <v>32</v>
      </c>
      <c r="F59" s="2" t="s">
        <v>33</v>
      </c>
      <c r="G59" s="2" t="s">
        <v>323</v>
      </c>
      <c r="H59" s="2" t="s">
        <v>35</v>
      </c>
      <c r="I59" s="2">
        <v>7</v>
      </c>
      <c r="J59" s="2">
        <v>205.2</v>
      </c>
      <c r="K59" s="2">
        <v>0</v>
      </c>
      <c r="L59" s="2" t="s">
        <v>102</v>
      </c>
      <c r="M59" s="2" t="s">
        <v>86</v>
      </c>
      <c r="N59" s="2"/>
      <c r="O59" s="2" t="s">
        <v>126</v>
      </c>
    </row>
    <row r="60" spans="1:15" x14ac:dyDescent="0.25">
      <c r="A60" s="2" t="s">
        <v>324</v>
      </c>
      <c r="B60" s="2" t="s">
        <v>325</v>
      </c>
      <c r="C60" s="2" t="s">
        <v>326</v>
      </c>
      <c r="D60" s="2" t="s">
        <v>175</v>
      </c>
      <c r="E60" s="2" t="s">
        <v>32</v>
      </c>
      <c r="F60" s="2" t="s">
        <v>56</v>
      </c>
      <c r="G60" s="2" t="s">
        <v>67</v>
      </c>
      <c r="H60" s="2" t="s">
        <v>22</v>
      </c>
      <c r="I60" s="2">
        <v>8</v>
      </c>
      <c r="J60" s="2">
        <v>24.75</v>
      </c>
      <c r="K60" s="2"/>
      <c r="L60" s="2" t="s">
        <v>102</v>
      </c>
      <c r="M60" s="2" t="s">
        <v>158</v>
      </c>
      <c r="N60" s="2" t="s">
        <v>71</v>
      </c>
      <c r="O60" s="2" t="s">
        <v>93</v>
      </c>
    </row>
    <row r="61" spans="1:15" x14ac:dyDescent="0.25">
      <c r="A61" s="2" t="s">
        <v>327</v>
      </c>
      <c r="B61" s="2" t="s">
        <v>328</v>
      </c>
      <c r="C61" s="2" t="s">
        <v>329</v>
      </c>
      <c r="D61" s="2" t="s">
        <v>152</v>
      </c>
      <c r="E61" s="2" t="s">
        <v>19</v>
      </c>
      <c r="F61" s="2" t="s">
        <v>153</v>
      </c>
      <c r="G61" s="2" t="s">
        <v>330</v>
      </c>
      <c r="H61" s="2" t="s">
        <v>58</v>
      </c>
      <c r="I61" s="2">
        <v>1</v>
      </c>
      <c r="J61" s="2">
        <v>395.27</v>
      </c>
      <c r="K61" s="2"/>
      <c r="L61" s="2" t="s">
        <v>260</v>
      </c>
      <c r="M61" s="2" t="s">
        <v>86</v>
      </c>
      <c r="N61" s="2" t="s">
        <v>111</v>
      </c>
      <c r="O61" s="2" t="s">
        <v>27</v>
      </c>
    </row>
    <row r="62" spans="1:15" x14ac:dyDescent="0.25">
      <c r="A62" s="2" t="s">
        <v>331</v>
      </c>
      <c r="B62" s="2" t="s">
        <v>332</v>
      </c>
      <c r="C62" s="2" t="s">
        <v>333</v>
      </c>
      <c r="D62" s="2" t="s">
        <v>334</v>
      </c>
      <c r="E62" s="2" t="s">
        <v>125</v>
      </c>
      <c r="F62" s="2" t="s">
        <v>33</v>
      </c>
      <c r="G62" s="2" t="s">
        <v>323</v>
      </c>
      <c r="H62" s="2" t="s">
        <v>68</v>
      </c>
      <c r="I62" s="2">
        <v>4</v>
      </c>
      <c r="J62" s="2">
        <v>403.5</v>
      </c>
      <c r="K62" s="2"/>
      <c r="L62" s="2" t="s">
        <v>79</v>
      </c>
      <c r="M62" s="2" t="s">
        <v>70</v>
      </c>
      <c r="N62" s="2" t="s">
        <v>71</v>
      </c>
      <c r="O62" s="2" t="s">
        <v>51</v>
      </c>
    </row>
    <row r="63" spans="1:15" x14ac:dyDescent="0.25">
      <c r="A63" s="2" t="s">
        <v>335</v>
      </c>
      <c r="B63" s="2" t="s">
        <v>336</v>
      </c>
      <c r="C63" s="2" t="s">
        <v>337</v>
      </c>
      <c r="D63" s="2" t="s">
        <v>44</v>
      </c>
      <c r="E63" s="2" t="s">
        <v>45</v>
      </c>
      <c r="F63" s="2" t="s">
        <v>118</v>
      </c>
      <c r="G63" s="2" t="s">
        <v>213</v>
      </c>
      <c r="H63" s="2" t="s">
        <v>48</v>
      </c>
      <c r="I63" s="2">
        <v>6</v>
      </c>
      <c r="J63" s="2">
        <v>107.78</v>
      </c>
      <c r="K63" s="2"/>
      <c r="L63" s="2" t="s">
        <v>180</v>
      </c>
      <c r="M63" s="2" t="s">
        <v>60</v>
      </c>
      <c r="N63" s="2" t="s">
        <v>111</v>
      </c>
      <c r="O63" s="2" t="s">
        <v>126</v>
      </c>
    </row>
    <row r="64" spans="1:15" x14ac:dyDescent="0.25">
      <c r="A64" s="2" t="s">
        <v>338</v>
      </c>
      <c r="B64" s="2" t="s">
        <v>279</v>
      </c>
      <c r="C64" s="2" t="s">
        <v>339</v>
      </c>
      <c r="D64" s="2" t="s">
        <v>116</v>
      </c>
      <c r="E64" s="2" t="s">
        <v>117</v>
      </c>
      <c r="F64" s="2" t="s">
        <v>91</v>
      </c>
      <c r="G64" s="2" t="s">
        <v>164</v>
      </c>
      <c r="H64" s="2" t="s">
        <v>200</v>
      </c>
      <c r="I64" s="2">
        <v>6</v>
      </c>
      <c r="J64" s="2">
        <v>41.4</v>
      </c>
      <c r="K64" s="2">
        <v>0.1</v>
      </c>
      <c r="L64" s="2" t="s">
        <v>79</v>
      </c>
      <c r="M64" s="2" t="s">
        <v>158</v>
      </c>
      <c r="N64" s="2" t="s">
        <v>26</v>
      </c>
      <c r="O64" s="2" t="s">
        <v>27</v>
      </c>
    </row>
    <row r="65" spans="1:15" x14ac:dyDescent="0.25">
      <c r="A65" s="2" t="s">
        <v>340</v>
      </c>
      <c r="B65" s="2" t="s">
        <v>341</v>
      </c>
      <c r="C65" s="2" t="s">
        <v>342</v>
      </c>
      <c r="D65" s="2" t="s">
        <v>31</v>
      </c>
      <c r="E65" s="2" t="s">
        <v>199</v>
      </c>
      <c r="F65" s="2" t="s">
        <v>118</v>
      </c>
      <c r="G65" s="2" t="s">
        <v>264</v>
      </c>
      <c r="H65" s="2" t="s">
        <v>48</v>
      </c>
      <c r="I65" s="2" t="s">
        <v>343</v>
      </c>
      <c r="J65" s="2">
        <v>355.3</v>
      </c>
      <c r="K65" s="2">
        <v>0.2</v>
      </c>
      <c r="L65" s="2" t="s">
        <v>180</v>
      </c>
      <c r="M65" s="2" t="s">
        <v>144</v>
      </c>
      <c r="N65" s="2" t="s">
        <v>26</v>
      </c>
      <c r="O65" s="2" t="s">
        <v>93</v>
      </c>
    </row>
    <row r="66" spans="1:15" x14ac:dyDescent="0.25">
      <c r="A66" s="2" t="s">
        <v>344</v>
      </c>
      <c r="B66" s="2" t="s">
        <v>345</v>
      </c>
      <c r="C66" s="2" t="s">
        <v>346</v>
      </c>
      <c r="D66" s="2" t="s">
        <v>212</v>
      </c>
      <c r="E66" s="2" t="s">
        <v>65</v>
      </c>
      <c r="F66" s="2" t="s">
        <v>83</v>
      </c>
      <c r="G66" s="2" t="s">
        <v>220</v>
      </c>
      <c r="H66" s="2" t="s">
        <v>68</v>
      </c>
      <c r="I66" s="2">
        <v>5</v>
      </c>
      <c r="J66" s="2">
        <v>147.88999999999999</v>
      </c>
      <c r="K66" s="2" t="s">
        <v>347</v>
      </c>
      <c r="L66" s="2" t="s">
        <v>102</v>
      </c>
      <c r="M66" s="2" t="s">
        <v>201</v>
      </c>
      <c r="N66" s="2" t="s">
        <v>39</v>
      </c>
      <c r="O66" s="2" t="s">
        <v>171</v>
      </c>
    </row>
    <row r="67" spans="1:15" x14ac:dyDescent="0.25">
      <c r="A67" s="2" t="s">
        <v>348</v>
      </c>
      <c r="B67" s="2" t="s">
        <v>349</v>
      </c>
      <c r="C67" s="2" t="s">
        <v>350</v>
      </c>
      <c r="D67" s="2" t="s">
        <v>31</v>
      </c>
      <c r="E67" s="2" t="s">
        <v>76</v>
      </c>
      <c r="F67" s="2" t="s">
        <v>77</v>
      </c>
      <c r="G67" s="2" t="s">
        <v>137</v>
      </c>
      <c r="H67" s="2" t="s">
        <v>195</v>
      </c>
      <c r="I67" s="2"/>
      <c r="J67" s="2">
        <v>205.17</v>
      </c>
      <c r="K67" s="2">
        <v>0.05</v>
      </c>
      <c r="L67" s="2" t="s">
        <v>180</v>
      </c>
      <c r="M67" s="2" t="s">
        <v>38</v>
      </c>
      <c r="N67" s="2" t="s">
        <v>39</v>
      </c>
      <c r="O67" s="2" t="s">
        <v>126</v>
      </c>
    </row>
    <row r="68" spans="1:15" x14ac:dyDescent="0.25">
      <c r="A68" s="2" t="s">
        <v>351</v>
      </c>
      <c r="B68" s="2" t="s">
        <v>352</v>
      </c>
      <c r="C68" s="2" t="s">
        <v>353</v>
      </c>
      <c r="D68" s="2" t="s">
        <v>334</v>
      </c>
      <c r="E68" s="2" t="s">
        <v>45</v>
      </c>
      <c r="F68" s="2" t="s">
        <v>153</v>
      </c>
      <c r="G68" s="2" t="s">
        <v>57</v>
      </c>
      <c r="H68" s="2" t="s">
        <v>68</v>
      </c>
      <c r="I68" s="2">
        <v>7</v>
      </c>
      <c r="J68" s="2">
        <v>131.62</v>
      </c>
      <c r="K68" s="2"/>
      <c r="L68" s="2" t="s">
        <v>143</v>
      </c>
      <c r="M68" s="2" t="s">
        <v>158</v>
      </c>
      <c r="N68" s="2" t="s">
        <v>39</v>
      </c>
      <c r="O68" s="2" t="s">
        <v>126</v>
      </c>
    </row>
    <row r="69" spans="1:15" x14ac:dyDescent="0.25">
      <c r="A69" s="2" t="s">
        <v>354</v>
      </c>
      <c r="B69" s="2" t="s">
        <v>355</v>
      </c>
      <c r="C69" s="2" t="s">
        <v>356</v>
      </c>
      <c r="D69" s="2" t="s">
        <v>188</v>
      </c>
      <c r="E69" s="2" t="s">
        <v>199</v>
      </c>
      <c r="F69" s="2" t="s">
        <v>189</v>
      </c>
      <c r="G69" s="2" t="s">
        <v>57</v>
      </c>
      <c r="H69" s="2" t="s">
        <v>200</v>
      </c>
      <c r="I69" s="2">
        <v>6</v>
      </c>
      <c r="J69" s="2">
        <v>261.85000000000002</v>
      </c>
      <c r="K69" s="2"/>
      <c r="L69" s="2" t="s">
        <v>24</v>
      </c>
      <c r="M69" s="2" t="s">
        <v>158</v>
      </c>
      <c r="N69" s="2" t="s">
        <v>26</v>
      </c>
      <c r="O69" s="2" t="s">
        <v>171</v>
      </c>
    </row>
    <row r="70" spans="1:15" x14ac:dyDescent="0.25">
      <c r="A70" s="2" t="s">
        <v>357</v>
      </c>
      <c r="B70" s="2" t="s">
        <v>358</v>
      </c>
      <c r="C70" s="2" t="s">
        <v>359</v>
      </c>
      <c r="D70" s="2" t="s">
        <v>97</v>
      </c>
      <c r="E70" s="2" t="s">
        <v>65</v>
      </c>
      <c r="F70" s="2" t="s">
        <v>130</v>
      </c>
      <c r="G70" s="2" t="s">
        <v>131</v>
      </c>
      <c r="H70" s="2" t="s">
        <v>178</v>
      </c>
      <c r="I70" s="2" t="s">
        <v>360</v>
      </c>
      <c r="J70" s="2">
        <v>494.24</v>
      </c>
      <c r="K70" s="2">
        <v>0.1</v>
      </c>
      <c r="L70" s="2" t="s">
        <v>132</v>
      </c>
      <c r="M70" s="2" t="s">
        <v>70</v>
      </c>
      <c r="N70" s="2"/>
      <c r="O70" s="2" t="s">
        <v>112</v>
      </c>
    </row>
    <row r="71" spans="1:15" x14ac:dyDescent="0.25">
      <c r="A71" s="2" t="s">
        <v>361</v>
      </c>
      <c r="B71" s="2" t="s">
        <v>362</v>
      </c>
      <c r="C71" s="2" t="s">
        <v>363</v>
      </c>
      <c r="D71" s="2" t="s">
        <v>212</v>
      </c>
      <c r="E71" s="2" t="s">
        <v>65</v>
      </c>
      <c r="F71" s="2" t="s">
        <v>235</v>
      </c>
      <c r="G71" s="2" t="s">
        <v>137</v>
      </c>
      <c r="H71" s="2" t="s">
        <v>178</v>
      </c>
      <c r="I71" s="2" t="s">
        <v>364</v>
      </c>
      <c r="J71" s="2">
        <v>63.34</v>
      </c>
      <c r="K71" s="2"/>
      <c r="L71" s="2" t="s">
        <v>37</v>
      </c>
      <c r="M71" s="2" t="s">
        <v>208</v>
      </c>
      <c r="N71" s="2" t="s">
        <v>26</v>
      </c>
      <c r="O71" s="2" t="s">
        <v>112</v>
      </c>
    </row>
    <row r="72" spans="1:15" x14ac:dyDescent="0.25">
      <c r="A72" s="2" t="s">
        <v>365</v>
      </c>
      <c r="B72" s="2" t="s">
        <v>366</v>
      </c>
      <c r="C72" s="2" t="s">
        <v>367</v>
      </c>
      <c r="D72" s="2" t="s">
        <v>64</v>
      </c>
      <c r="E72" s="2" t="s">
        <v>98</v>
      </c>
      <c r="F72" s="2" t="s">
        <v>106</v>
      </c>
      <c r="G72" s="2" t="s">
        <v>368</v>
      </c>
      <c r="H72" s="2" t="s">
        <v>22</v>
      </c>
      <c r="I72" s="2">
        <v>4</v>
      </c>
      <c r="J72" s="2">
        <v>206.55</v>
      </c>
      <c r="K72" s="2">
        <v>0.1</v>
      </c>
      <c r="L72" s="2" t="s">
        <v>143</v>
      </c>
      <c r="M72" s="2" t="s">
        <v>201</v>
      </c>
      <c r="N72" s="2" t="s">
        <v>111</v>
      </c>
      <c r="O72" s="2" t="s">
        <v>93</v>
      </c>
    </row>
    <row r="73" spans="1:15" x14ac:dyDescent="0.25">
      <c r="A73" s="2" t="s">
        <v>369</v>
      </c>
      <c r="B73" s="2" t="s">
        <v>370</v>
      </c>
      <c r="C73" s="2" t="s">
        <v>371</v>
      </c>
      <c r="D73" s="2" t="s">
        <v>334</v>
      </c>
      <c r="E73" s="2" t="s">
        <v>125</v>
      </c>
      <c r="F73" s="2" t="s">
        <v>136</v>
      </c>
      <c r="G73" s="2" t="s">
        <v>318</v>
      </c>
      <c r="H73" s="2" t="s">
        <v>48</v>
      </c>
      <c r="I73" s="2">
        <v>12</v>
      </c>
      <c r="J73" s="2">
        <v>308.79000000000002</v>
      </c>
      <c r="K73" s="2" t="s">
        <v>138</v>
      </c>
      <c r="L73" s="2" t="s">
        <v>69</v>
      </c>
      <c r="M73" s="2" t="s">
        <v>92</v>
      </c>
      <c r="N73" s="2"/>
      <c r="O73" s="2" t="s">
        <v>112</v>
      </c>
    </row>
    <row r="74" spans="1:15" x14ac:dyDescent="0.25">
      <c r="A74" s="2" t="s">
        <v>372</v>
      </c>
      <c r="B74" s="2" t="s">
        <v>373</v>
      </c>
      <c r="C74" s="2" t="s">
        <v>374</v>
      </c>
      <c r="D74" s="2" t="s">
        <v>44</v>
      </c>
      <c r="E74" s="2" t="s">
        <v>125</v>
      </c>
      <c r="F74" s="2" t="s">
        <v>106</v>
      </c>
      <c r="G74" s="2" t="s">
        <v>107</v>
      </c>
      <c r="H74" s="2" t="s">
        <v>200</v>
      </c>
      <c r="I74" s="2">
        <v>10</v>
      </c>
      <c r="J74" s="2">
        <v>281.63</v>
      </c>
      <c r="K74" s="2">
        <v>0.1</v>
      </c>
      <c r="L74" s="2" t="s">
        <v>260</v>
      </c>
      <c r="M74" s="2" t="s">
        <v>86</v>
      </c>
      <c r="N74" s="2" t="s">
        <v>111</v>
      </c>
      <c r="O74" s="2" t="s">
        <v>87</v>
      </c>
    </row>
    <row r="75" spans="1:15" x14ac:dyDescent="0.25">
      <c r="A75" s="2" t="s">
        <v>375</v>
      </c>
      <c r="B75" s="2" t="s">
        <v>376</v>
      </c>
      <c r="C75" s="2" t="s">
        <v>377</v>
      </c>
      <c r="D75" s="2" t="s">
        <v>31</v>
      </c>
      <c r="E75" s="2" t="s">
        <v>199</v>
      </c>
      <c r="F75" s="2" t="s">
        <v>91</v>
      </c>
      <c r="G75" s="2" t="s">
        <v>220</v>
      </c>
      <c r="H75" s="2" t="s">
        <v>48</v>
      </c>
      <c r="I75" s="2">
        <v>10</v>
      </c>
      <c r="J75" s="2">
        <v>481.83</v>
      </c>
      <c r="K75" s="2" t="s">
        <v>138</v>
      </c>
      <c r="L75" s="2" t="s">
        <v>59</v>
      </c>
      <c r="M75" s="2" t="s">
        <v>165</v>
      </c>
      <c r="N75" s="2" t="s">
        <v>26</v>
      </c>
      <c r="O75" s="2" t="s">
        <v>112</v>
      </c>
    </row>
    <row r="76" spans="1:15" x14ac:dyDescent="0.25">
      <c r="A76" s="2" t="s">
        <v>378</v>
      </c>
      <c r="B76" s="2" t="s">
        <v>379</v>
      </c>
      <c r="C76" s="2" t="s">
        <v>380</v>
      </c>
      <c r="D76" s="2" t="s">
        <v>152</v>
      </c>
      <c r="E76" s="2" t="s">
        <v>19</v>
      </c>
      <c r="F76" s="2" t="s">
        <v>33</v>
      </c>
      <c r="G76" s="2" t="s">
        <v>34</v>
      </c>
      <c r="H76" s="2" t="s">
        <v>58</v>
      </c>
      <c r="I76" s="2"/>
      <c r="J76" s="2"/>
      <c r="K76" s="2"/>
      <c r="L76" s="2" t="s">
        <v>260</v>
      </c>
      <c r="M76" s="2" t="s">
        <v>144</v>
      </c>
      <c r="N76" s="2" t="s">
        <v>50</v>
      </c>
      <c r="O76" s="2" t="s">
        <v>51</v>
      </c>
    </row>
    <row r="77" spans="1:15" x14ac:dyDescent="0.25">
      <c r="A77" s="2" t="s">
        <v>381</v>
      </c>
      <c r="B77" s="2" t="s">
        <v>95</v>
      </c>
      <c r="C77" s="2" t="s">
        <v>382</v>
      </c>
      <c r="D77" s="2" t="s">
        <v>18</v>
      </c>
      <c r="E77" s="2" t="s">
        <v>19</v>
      </c>
      <c r="F77" s="2" t="s">
        <v>46</v>
      </c>
      <c r="G77" s="2" t="s">
        <v>47</v>
      </c>
      <c r="H77" s="2" t="s">
        <v>22</v>
      </c>
      <c r="I77" s="2">
        <v>8</v>
      </c>
      <c r="J77" s="2">
        <v>258.02999999999997</v>
      </c>
      <c r="K77" s="2">
        <v>0.05</v>
      </c>
      <c r="L77" s="2" t="s">
        <v>132</v>
      </c>
      <c r="M77" s="2" t="s">
        <v>60</v>
      </c>
      <c r="N77" s="2" t="s">
        <v>71</v>
      </c>
      <c r="O77" s="2"/>
    </row>
    <row r="78" spans="1:15" x14ac:dyDescent="0.25">
      <c r="A78" s="2" t="s">
        <v>383</v>
      </c>
      <c r="B78" s="2" t="s">
        <v>384</v>
      </c>
      <c r="C78" s="2" t="s">
        <v>385</v>
      </c>
      <c r="D78" s="2" t="s">
        <v>188</v>
      </c>
      <c r="E78" s="2" t="s">
        <v>199</v>
      </c>
      <c r="F78" s="2" t="s">
        <v>184</v>
      </c>
      <c r="G78" s="2" t="s">
        <v>47</v>
      </c>
      <c r="H78" s="2" t="s">
        <v>58</v>
      </c>
      <c r="I78" s="2">
        <v>2</v>
      </c>
      <c r="J78" s="2">
        <v>163.71</v>
      </c>
      <c r="K78" s="2"/>
      <c r="L78" s="2" t="s">
        <v>102</v>
      </c>
      <c r="M78" s="2" t="s">
        <v>25</v>
      </c>
      <c r="N78" s="2" t="s">
        <v>26</v>
      </c>
      <c r="O78" s="2" t="s">
        <v>51</v>
      </c>
    </row>
    <row r="79" spans="1:15" x14ac:dyDescent="0.25">
      <c r="A79" s="2" t="s">
        <v>386</v>
      </c>
      <c r="B79" s="2" t="s">
        <v>387</v>
      </c>
      <c r="C79" s="2" t="s">
        <v>388</v>
      </c>
      <c r="D79" s="2" t="s">
        <v>258</v>
      </c>
      <c r="E79" s="2" t="s">
        <v>45</v>
      </c>
      <c r="F79" s="2" t="s">
        <v>136</v>
      </c>
      <c r="G79" s="2" t="s">
        <v>318</v>
      </c>
      <c r="H79" s="2" t="s">
        <v>58</v>
      </c>
      <c r="I79" s="2">
        <v>6</v>
      </c>
      <c r="J79" s="2">
        <v>311.61</v>
      </c>
      <c r="K79" s="2">
        <v>0.15</v>
      </c>
      <c r="L79" s="2" t="s">
        <v>281</v>
      </c>
      <c r="M79" s="2" t="s">
        <v>25</v>
      </c>
      <c r="N79" s="2" t="s">
        <v>50</v>
      </c>
      <c r="O79" s="2" t="s">
        <v>87</v>
      </c>
    </row>
    <row r="80" spans="1:15" x14ac:dyDescent="0.25">
      <c r="A80" s="2" t="s">
        <v>389</v>
      </c>
      <c r="B80" s="2" t="s">
        <v>390</v>
      </c>
      <c r="C80" s="2" t="s">
        <v>391</v>
      </c>
      <c r="D80" s="2" t="s">
        <v>18</v>
      </c>
      <c r="E80" s="2" t="s">
        <v>19</v>
      </c>
      <c r="F80" s="2" t="s">
        <v>56</v>
      </c>
      <c r="G80" s="2" t="s">
        <v>330</v>
      </c>
      <c r="H80" s="2" t="s">
        <v>108</v>
      </c>
      <c r="I80" s="2">
        <v>9</v>
      </c>
      <c r="J80" s="2">
        <v>287.47000000000003</v>
      </c>
      <c r="K80" s="2">
        <v>0.2</v>
      </c>
      <c r="L80" s="2" t="s">
        <v>260</v>
      </c>
      <c r="M80" s="2" t="s">
        <v>165</v>
      </c>
      <c r="N80" s="2" t="s">
        <v>39</v>
      </c>
      <c r="O80" s="2" t="s">
        <v>126</v>
      </c>
    </row>
    <row r="81" spans="1:15" x14ac:dyDescent="0.25">
      <c r="A81" s="2" t="s">
        <v>392</v>
      </c>
      <c r="B81" s="2" t="s">
        <v>393</v>
      </c>
      <c r="C81" s="2" t="s">
        <v>394</v>
      </c>
      <c r="D81" s="2" t="s">
        <v>44</v>
      </c>
      <c r="E81" s="2" t="s">
        <v>125</v>
      </c>
      <c r="F81" s="2" t="s">
        <v>184</v>
      </c>
      <c r="G81" s="2" t="s">
        <v>47</v>
      </c>
      <c r="H81" s="2" t="s">
        <v>68</v>
      </c>
      <c r="I81" s="2">
        <v>4</v>
      </c>
      <c r="J81" s="2">
        <v>197.79</v>
      </c>
      <c r="K81" s="2">
        <v>0</v>
      </c>
      <c r="L81" s="2" t="s">
        <v>237</v>
      </c>
      <c r="M81" s="2" t="s">
        <v>110</v>
      </c>
      <c r="N81" s="2" t="s">
        <v>50</v>
      </c>
      <c r="O81" s="2"/>
    </row>
    <row r="82" spans="1:15" x14ac:dyDescent="0.25">
      <c r="A82" s="2" t="s">
        <v>395</v>
      </c>
      <c r="B82" s="2" t="s">
        <v>396</v>
      </c>
      <c r="C82" s="2" t="s">
        <v>397</v>
      </c>
      <c r="D82" s="2" t="s">
        <v>258</v>
      </c>
      <c r="E82" s="2" t="s">
        <v>125</v>
      </c>
      <c r="F82" s="2" t="s">
        <v>33</v>
      </c>
      <c r="G82" s="2" t="s">
        <v>47</v>
      </c>
      <c r="H82" s="2" t="s">
        <v>48</v>
      </c>
      <c r="I82" s="2"/>
      <c r="J82" s="2">
        <v>175.49</v>
      </c>
      <c r="K82" s="2">
        <v>0.2</v>
      </c>
      <c r="L82" s="2" t="s">
        <v>139</v>
      </c>
      <c r="M82" s="2" t="s">
        <v>70</v>
      </c>
      <c r="N82" s="2" t="s">
        <v>50</v>
      </c>
      <c r="O82" s="2" t="s">
        <v>171</v>
      </c>
    </row>
    <row r="83" spans="1:15" x14ac:dyDescent="0.25">
      <c r="A83" s="2" t="s">
        <v>398</v>
      </c>
      <c r="B83" s="2" t="s">
        <v>399</v>
      </c>
      <c r="C83" s="2" t="s">
        <v>400</v>
      </c>
      <c r="D83" s="2" t="s">
        <v>188</v>
      </c>
      <c r="E83" s="2" t="s">
        <v>32</v>
      </c>
      <c r="F83" s="2" t="s">
        <v>267</v>
      </c>
      <c r="G83" s="2" t="s">
        <v>236</v>
      </c>
      <c r="H83" s="2" t="s">
        <v>178</v>
      </c>
      <c r="I83" s="2">
        <v>3</v>
      </c>
      <c r="J83" s="2">
        <v>322.95999999999998</v>
      </c>
      <c r="K83" s="2" t="s">
        <v>85</v>
      </c>
      <c r="L83" s="2" t="s">
        <v>281</v>
      </c>
      <c r="M83" s="2" t="s">
        <v>144</v>
      </c>
      <c r="N83" s="2" t="s">
        <v>26</v>
      </c>
      <c r="O83" s="2" t="s">
        <v>112</v>
      </c>
    </row>
    <row r="84" spans="1:15" x14ac:dyDescent="0.25">
      <c r="A84" s="2" t="s">
        <v>401</v>
      </c>
      <c r="B84" s="2" t="s">
        <v>402</v>
      </c>
      <c r="C84" s="2" t="s">
        <v>403</v>
      </c>
      <c r="D84" s="2" t="s">
        <v>212</v>
      </c>
      <c r="E84" s="2"/>
      <c r="F84" s="2" t="s">
        <v>33</v>
      </c>
      <c r="G84" s="2" t="s">
        <v>323</v>
      </c>
      <c r="H84" s="2" t="s">
        <v>68</v>
      </c>
      <c r="I84" s="2">
        <v>6</v>
      </c>
      <c r="J84" s="2"/>
      <c r="K84" s="2"/>
      <c r="L84" s="2" t="s">
        <v>37</v>
      </c>
      <c r="M84" s="2" t="s">
        <v>25</v>
      </c>
      <c r="N84" s="2" t="s">
        <v>111</v>
      </c>
      <c r="O84" s="2" t="s">
        <v>171</v>
      </c>
    </row>
    <row r="85" spans="1:15" x14ac:dyDescent="0.25">
      <c r="A85" s="2" t="s">
        <v>404</v>
      </c>
      <c r="B85" s="2" t="s">
        <v>405</v>
      </c>
      <c r="C85" s="2" t="s">
        <v>406</v>
      </c>
      <c r="D85" s="2" t="s">
        <v>285</v>
      </c>
      <c r="E85" s="2" t="s">
        <v>199</v>
      </c>
      <c r="F85" s="2" t="s">
        <v>91</v>
      </c>
      <c r="G85" s="2" t="s">
        <v>177</v>
      </c>
      <c r="H85" s="2" t="s">
        <v>195</v>
      </c>
      <c r="I85" s="2">
        <v>4</v>
      </c>
      <c r="J85" s="2">
        <v>179.4</v>
      </c>
      <c r="K85" s="2" t="s">
        <v>138</v>
      </c>
      <c r="L85" s="2" t="s">
        <v>132</v>
      </c>
      <c r="M85" s="2" t="s">
        <v>60</v>
      </c>
      <c r="N85" s="2"/>
      <c r="O85" s="2" t="s">
        <v>171</v>
      </c>
    </row>
    <row r="86" spans="1:15" x14ac:dyDescent="0.25">
      <c r="A86" s="2" t="s">
        <v>407</v>
      </c>
      <c r="B86" s="2" t="s">
        <v>408</v>
      </c>
      <c r="C86" s="2" t="s">
        <v>409</v>
      </c>
      <c r="D86" s="2" t="s">
        <v>152</v>
      </c>
      <c r="E86" s="2" t="s">
        <v>19</v>
      </c>
      <c r="F86" s="2" t="s">
        <v>235</v>
      </c>
      <c r="G86" s="2" t="s">
        <v>236</v>
      </c>
      <c r="H86" s="2" t="s">
        <v>35</v>
      </c>
      <c r="I86" s="2"/>
      <c r="J86" s="2" t="s">
        <v>410</v>
      </c>
      <c r="K86" s="2"/>
      <c r="L86" s="2" t="s">
        <v>237</v>
      </c>
      <c r="M86" s="2" t="s">
        <v>92</v>
      </c>
      <c r="N86" s="2" t="s">
        <v>71</v>
      </c>
      <c r="O86" s="2" t="s">
        <v>171</v>
      </c>
    </row>
    <row r="87" spans="1:15" x14ac:dyDescent="0.25">
      <c r="A87" s="2" t="s">
        <v>411</v>
      </c>
      <c r="B87" s="2" t="s">
        <v>412</v>
      </c>
      <c r="C87" s="2" t="s">
        <v>413</v>
      </c>
      <c r="D87" s="2" t="s">
        <v>124</v>
      </c>
      <c r="E87" s="2" t="s">
        <v>125</v>
      </c>
      <c r="F87" s="2" t="s">
        <v>20</v>
      </c>
      <c r="G87" s="2" t="s">
        <v>131</v>
      </c>
      <c r="H87" s="2" t="s">
        <v>48</v>
      </c>
      <c r="I87" s="2">
        <v>8</v>
      </c>
      <c r="J87" s="2" t="s">
        <v>414</v>
      </c>
      <c r="K87" s="2" t="s">
        <v>85</v>
      </c>
      <c r="L87" s="2" t="s">
        <v>143</v>
      </c>
      <c r="M87" s="2" t="s">
        <v>86</v>
      </c>
      <c r="N87" s="2" t="s">
        <v>71</v>
      </c>
      <c r="O87" s="2" t="s">
        <v>112</v>
      </c>
    </row>
    <row r="88" spans="1:15" x14ac:dyDescent="0.25">
      <c r="A88" s="2" t="s">
        <v>415</v>
      </c>
      <c r="B88" s="2" t="s">
        <v>416</v>
      </c>
      <c r="C88" s="2" t="s">
        <v>417</v>
      </c>
      <c r="D88" s="2" t="s">
        <v>18</v>
      </c>
      <c r="E88" s="2" t="s">
        <v>117</v>
      </c>
      <c r="F88" s="2" t="s">
        <v>163</v>
      </c>
      <c r="G88" s="2" t="s">
        <v>177</v>
      </c>
      <c r="H88" s="2" t="s">
        <v>22</v>
      </c>
      <c r="I88" s="2">
        <v>10</v>
      </c>
      <c r="J88" s="2">
        <v>350.13</v>
      </c>
      <c r="K88" s="2">
        <v>0</v>
      </c>
      <c r="L88" s="2" t="s">
        <v>132</v>
      </c>
      <c r="M88" s="2" t="s">
        <v>158</v>
      </c>
      <c r="N88" s="2" t="s">
        <v>39</v>
      </c>
      <c r="O88" s="2" t="s">
        <v>51</v>
      </c>
    </row>
    <row r="89" spans="1:15" x14ac:dyDescent="0.25">
      <c r="A89" s="2" t="s">
        <v>418</v>
      </c>
      <c r="B89" s="2" t="s">
        <v>419</v>
      </c>
      <c r="C89" s="2" t="s">
        <v>420</v>
      </c>
      <c r="D89" s="2" t="s">
        <v>224</v>
      </c>
      <c r="E89" s="2" t="s">
        <v>45</v>
      </c>
      <c r="F89" s="2" t="s">
        <v>33</v>
      </c>
      <c r="G89" s="2" t="s">
        <v>323</v>
      </c>
      <c r="H89" s="2" t="s">
        <v>35</v>
      </c>
      <c r="I89" s="2" t="s">
        <v>169</v>
      </c>
      <c r="J89" s="2">
        <v>276.33</v>
      </c>
      <c r="K89" s="2" t="s">
        <v>347</v>
      </c>
      <c r="L89" s="2" t="s">
        <v>139</v>
      </c>
      <c r="M89" s="2" t="s">
        <v>25</v>
      </c>
      <c r="N89" s="2" t="s">
        <v>39</v>
      </c>
      <c r="O89" s="2" t="s">
        <v>27</v>
      </c>
    </row>
    <row r="90" spans="1:15" x14ac:dyDescent="0.25">
      <c r="A90" s="2" t="s">
        <v>421</v>
      </c>
      <c r="B90" s="2" t="s">
        <v>422</v>
      </c>
      <c r="C90" s="2" t="s">
        <v>423</v>
      </c>
      <c r="D90" s="2" t="s">
        <v>116</v>
      </c>
      <c r="E90" s="2" t="s">
        <v>117</v>
      </c>
      <c r="F90" s="2" t="s">
        <v>136</v>
      </c>
      <c r="G90" s="2" t="s">
        <v>236</v>
      </c>
      <c r="H90" s="2" t="s">
        <v>58</v>
      </c>
      <c r="I90" s="2">
        <v>3</v>
      </c>
      <c r="J90" s="2">
        <v>464.64</v>
      </c>
      <c r="K90" s="2" t="s">
        <v>347</v>
      </c>
      <c r="L90" s="2" t="s">
        <v>180</v>
      </c>
      <c r="M90" s="2" t="s">
        <v>60</v>
      </c>
      <c r="N90" s="2" t="s">
        <v>111</v>
      </c>
      <c r="O90" s="2"/>
    </row>
    <row r="91" spans="1:15" x14ac:dyDescent="0.25">
      <c r="A91" s="2" t="s">
        <v>424</v>
      </c>
      <c r="B91" s="2" t="s">
        <v>425</v>
      </c>
      <c r="C91" s="2" t="s">
        <v>426</v>
      </c>
      <c r="D91" s="2" t="s">
        <v>212</v>
      </c>
      <c r="E91" s="2" t="s">
        <v>98</v>
      </c>
      <c r="F91" s="2" t="s">
        <v>118</v>
      </c>
      <c r="G91" s="2" t="s">
        <v>21</v>
      </c>
      <c r="H91" s="2" t="s">
        <v>195</v>
      </c>
      <c r="I91" s="2" t="s">
        <v>360</v>
      </c>
      <c r="J91" s="2">
        <v>146.44</v>
      </c>
      <c r="K91" s="2"/>
      <c r="L91" s="2" t="s">
        <v>102</v>
      </c>
      <c r="M91" s="2" t="s">
        <v>60</v>
      </c>
      <c r="N91" s="2" t="s">
        <v>111</v>
      </c>
      <c r="O91" s="2" t="s">
        <v>51</v>
      </c>
    </row>
    <row r="92" spans="1:15" x14ac:dyDescent="0.25">
      <c r="A92" s="2" t="s">
        <v>427</v>
      </c>
      <c r="B92" s="2" t="s">
        <v>428</v>
      </c>
      <c r="C92" s="2" t="s">
        <v>429</v>
      </c>
      <c r="D92" s="2" t="s">
        <v>224</v>
      </c>
      <c r="E92" s="2" t="s">
        <v>125</v>
      </c>
      <c r="F92" s="2" t="s">
        <v>153</v>
      </c>
      <c r="G92" s="2" t="s">
        <v>67</v>
      </c>
      <c r="H92" s="2" t="s">
        <v>58</v>
      </c>
      <c r="I92" s="2">
        <v>8</v>
      </c>
      <c r="J92" s="2">
        <v>494.01</v>
      </c>
      <c r="K92" s="2">
        <v>0.15</v>
      </c>
      <c r="L92" s="2" t="s">
        <v>79</v>
      </c>
      <c r="M92" s="2" t="s">
        <v>70</v>
      </c>
      <c r="N92" s="2" t="s">
        <v>26</v>
      </c>
      <c r="O92" s="2" t="s">
        <v>87</v>
      </c>
    </row>
    <row r="93" spans="1:15" x14ac:dyDescent="0.25">
      <c r="A93" s="2" t="s">
        <v>430</v>
      </c>
      <c r="B93" s="2" t="s">
        <v>431</v>
      </c>
      <c r="C93" s="2" t="s">
        <v>432</v>
      </c>
      <c r="D93" s="2" t="s">
        <v>285</v>
      </c>
      <c r="E93" s="2" t="s">
        <v>199</v>
      </c>
      <c r="F93" s="2" t="s">
        <v>298</v>
      </c>
      <c r="G93" s="2" t="s">
        <v>21</v>
      </c>
      <c r="H93" s="2" t="s">
        <v>195</v>
      </c>
      <c r="I93" s="2">
        <v>12</v>
      </c>
      <c r="J93" s="2">
        <v>461.16</v>
      </c>
      <c r="K93" s="2"/>
      <c r="L93" s="2" t="s">
        <v>281</v>
      </c>
      <c r="M93" s="2" t="s">
        <v>110</v>
      </c>
      <c r="N93" s="2"/>
      <c r="O93" s="2" t="s">
        <v>112</v>
      </c>
    </row>
    <row r="94" spans="1:15" x14ac:dyDescent="0.25">
      <c r="A94" s="2" t="s">
        <v>433</v>
      </c>
      <c r="B94" s="2" t="s">
        <v>434</v>
      </c>
      <c r="C94" s="2" t="s">
        <v>435</v>
      </c>
      <c r="D94" s="2" t="s">
        <v>188</v>
      </c>
      <c r="E94" s="2" t="s">
        <v>76</v>
      </c>
      <c r="F94" s="2" t="s">
        <v>77</v>
      </c>
      <c r="G94" s="2" t="s">
        <v>268</v>
      </c>
      <c r="H94" s="2" t="s">
        <v>58</v>
      </c>
      <c r="I94" s="2">
        <v>8</v>
      </c>
      <c r="J94" s="2">
        <v>495.96</v>
      </c>
      <c r="K94" s="2">
        <v>0.05</v>
      </c>
      <c r="L94" s="2" t="s">
        <v>132</v>
      </c>
      <c r="M94" s="2" t="s">
        <v>92</v>
      </c>
      <c r="N94" s="2" t="s">
        <v>111</v>
      </c>
      <c r="O94" s="2"/>
    </row>
    <row r="95" spans="1:15" x14ac:dyDescent="0.25">
      <c r="A95" s="2" t="s">
        <v>436</v>
      </c>
      <c r="B95" s="2" t="s">
        <v>233</v>
      </c>
      <c r="C95" s="2" t="s">
        <v>437</v>
      </c>
      <c r="D95" s="2" t="s">
        <v>194</v>
      </c>
      <c r="E95" s="2" t="s">
        <v>98</v>
      </c>
      <c r="F95" s="2" t="s">
        <v>153</v>
      </c>
      <c r="G95" s="2" t="s">
        <v>330</v>
      </c>
      <c r="H95" s="2" t="s">
        <v>35</v>
      </c>
      <c r="I95" s="2">
        <v>6</v>
      </c>
      <c r="J95" s="2">
        <v>236.18</v>
      </c>
      <c r="K95" s="2" t="s">
        <v>254</v>
      </c>
      <c r="L95" s="2" t="s">
        <v>143</v>
      </c>
      <c r="M95" s="2" t="s">
        <v>165</v>
      </c>
      <c r="N95" s="2"/>
      <c r="O95" s="2" t="s">
        <v>40</v>
      </c>
    </row>
    <row r="96" spans="1:15" x14ac:dyDescent="0.25">
      <c r="A96" s="2" t="s">
        <v>438</v>
      </c>
      <c r="B96" s="2" t="s">
        <v>439</v>
      </c>
      <c r="C96" s="2" t="s">
        <v>440</v>
      </c>
      <c r="D96" s="2" t="s">
        <v>152</v>
      </c>
      <c r="E96" s="2" t="s">
        <v>19</v>
      </c>
      <c r="F96" s="2" t="s">
        <v>118</v>
      </c>
      <c r="G96" s="2" t="s">
        <v>21</v>
      </c>
      <c r="H96" s="2" t="s">
        <v>200</v>
      </c>
      <c r="I96" s="2">
        <v>3</v>
      </c>
      <c r="J96" s="2">
        <v>438.85</v>
      </c>
      <c r="K96" s="2">
        <v>0.1</v>
      </c>
      <c r="L96" s="2" t="s">
        <v>281</v>
      </c>
      <c r="M96" s="2" t="s">
        <v>92</v>
      </c>
      <c r="N96" s="2" t="s">
        <v>50</v>
      </c>
      <c r="O96" s="2" t="s">
        <v>27</v>
      </c>
    </row>
    <row r="97" spans="1:15" x14ac:dyDescent="0.25">
      <c r="A97" s="2" t="s">
        <v>441</v>
      </c>
      <c r="B97" s="2" t="s">
        <v>442</v>
      </c>
      <c r="C97" s="2" t="s">
        <v>443</v>
      </c>
      <c r="D97" s="2" t="s">
        <v>224</v>
      </c>
      <c r="E97" s="2" t="s">
        <v>125</v>
      </c>
      <c r="F97" s="2" t="s">
        <v>176</v>
      </c>
      <c r="G97" s="2" t="s">
        <v>177</v>
      </c>
      <c r="H97" s="2" t="s">
        <v>35</v>
      </c>
      <c r="I97" s="2">
        <v>11</v>
      </c>
      <c r="J97" s="2"/>
      <c r="K97" s="2"/>
      <c r="L97" s="2" t="s">
        <v>79</v>
      </c>
      <c r="M97" s="2" t="s">
        <v>144</v>
      </c>
      <c r="N97" s="2" t="s">
        <v>50</v>
      </c>
      <c r="O97" s="2" t="s">
        <v>93</v>
      </c>
    </row>
    <row r="98" spans="1:15" x14ac:dyDescent="0.25">
      <c r="A98" s="2" t="s">
        <v>444</v>
      </c>
      <c r="B98" s="2" t="s">
        <v>445</v>
      </c>
      <c r="C98" s="2" t="s">
        <v>446</v>
      </c>
      <c r="D98" s="2" t="s">
        <v>97</v>
      </c>
      <c r="E98" s="2" t="s">
        <v>65</v>
      </c>
      <c r="F98" s="2" t="s">
        <v>130</v>
      </c>
      <c r="G98" s="2" t="s">
        <v>119</v>
      </c>
      <c r="H98" s="2" t="s">
        <v>195</v>
      </c>
      <c r="I98" s="2" t="s">
        <v>360</v>
      </c>
      <c r="J98" s="2">
        <v>383.31</v>
      </c>
      <c r="K98" s="2">
        <v>0.2</v>
      </c>
      <c r="L98" s="2" t="s">
        <v>281</v>
      </c>
      <c r="M98" s="2" t="s">
        <v>86</v>
      </c>
      <c r="N98" s="2" t="s">
        <v>26</v>
      </c>
      <c r="O98" s="2" t="s">
        <v>93</v>
      </c>
    </row>
    <row r="99" spans="1:15" x14ac:dyDescent="0.25">
      <c r="A99" s="2" t="s">
        <v>447</v>
      </c>
      <c r="B99" s="2" t="s">
        <v>448</v>
      </c>
      <c r="C99" s="2" t="s">
        <v>449</v>
      </c>
      <c r="D99" s="2" t="s">
        <v>258</v>
      </c>
      <c r="E99" s="2" t="s">
        <v>125</v>
      </c>
      <c r="F99" s="2" t="s">
        <v>189</v>
      </c>
      <c r="G99" s="2" t="s">
        <v>330</v>
      </c>
      <c r="H99" s="2" t="s">
        <v>200</v>
      </c>
      <c r="I99" s="2">
        <v>7</v>
      </c>
      <c r="J99" s="2">
        <v>432.85</v>
      </c>
      <c r="K99" s="2"/>
      <c r="L99" s="2" t="s">
        <v>132</v>
      </c>
      <c r="M99" s="2" t="s">
        <v>201</v>
      </c>
      <c r="N99" s="2" t="s">
        <v>50</v>
      </c>
      <c r="O99" s="2"/>
    </row>
    <row r="100" spans="1:15" x14ac:dyDescent="0.25">
      <c r="A100" s="2" t="s">
        <v>450</v>
      </c>
      <c r="B100" s="2" t="s">
        <v>451</v>
      </c>
      <c r="C100" s="2" t="s">
        <v>452</v>
      </c>
      <c r="D100" s="2" t="s">
        <v>18</v>
      </c>
      <c r="E100" s="2" t="s">
        <v>19</v>
      </c>
      <c r="F100" s="2" t="s">
        <v>20</v>
      </c>
      <c r="G100" s="2" t="s">
        <v>264</v>
      </c>
      <c r="H100" s="2" t="s">
        <v>200</v>
      </c>
      <c r="I100" s="2">
        <v>8</v>
      </c>
      <c r="J100" s="2"/>
      <c r="K100" s="2"/>
      <c r="L100" s="2" t="s">
        <v>79</v>
      </c>
      <c r="M100" s="2" t="s">
        <v>25</v>
      </c>
      <c r="N100" s="2" t="s">
        <v>39</v>
      </c>
      <c r="O100" s="2" t="s">
        <v>126</v>
      </c>
    </row>
    <row r="101" spans="1:15" x14ac:dyDescent="0.25">
      <c r="A101" s="2" t="s">
        <v>453</v>
      </c>
      <c r="B101" s="2" t="s">
        <v>454</v>
      </c>
      <c r="C101" s="2" t="s">
        <v>391</v>
      </c>
      <c r="D101" s="2" t="s">
        <v>194</v>
      </c>
      <c r="E101" s="2" t="s">
        <v>98</v>
      </c>
      <c r="F101" s="2" t="s">
        <v>235</v>
      </c>
      <c r="G101" s="2" t="s">
        <v>268</v>
      </c>
      <c r="H101" s="2" t="s">
        <v>22</v>
      </c>
      <c r="I101" s="2" t="s">
        <v>190</v>
      </c>
      <c r="J101" s="2">
        <v>327.81</v>
      </c>
      <c r="K101" s="2"/>
      <c r="L101" s="2" t="s">
        <v>180</v>
      </c>
      <c r="M101" s="2" t="s">
        <v>144</v>
      </c>
      <c r="N101" s="2" t="s">
        <v>111</v>
      </c>
      <c r="O101" s="2" t="s">
        <v>87</v>
      </c>
    </row>
    <row r="102" spans="1:15" x14ac:dyDescent="0.25">
      <c r="A102" s="2" t="s">
        <v>455</v>
      </c>
      <c r="B102" s="2" t="s">
        <v>456</v>
      </c>
      <c r="C102" s="2" t="s">
        <v>457</v>
      </c>
      <c r="D102" s="2" t="s">
        <v>55</v>
      </c>
      <c r="E102" s="2" t="s">
        <v>76</v>
      </c>
      <c r="F102" s="2" t="s">
        <v>83</v>
      </c>
      <c r="G102" s="2" t="s">
        <v>177</v>
      </c>
      <c r="H102" s="2" t="s">
        <v>195</v>
      </c>
      <c r="I102" s="2">
        <v>9</v>
      </c>
      <c r="J102" s="2">
        <v>210.67</v>
      </c>
      <c r="K102" s="2">
        <v>0.15</v>
      </c>
      <c r="L102" s="2" t="s">
        <v>102</v>
      </c>
      <c r="M102" s="2" t="s">
        <v>208</v>
      </c>
      <c r="N102" s="2" t="s">
        <v>50</v>
      </c>
      <c r="O102" s="2" t="s">
        <v>93</v>
      </c>
    </row>
    <row r="103" spans="1:15" x14ac:dyDescent="0.25">
      <c r="A103" s="2" t="s">
        <v>458</v>
      </c>
      <c r="B103" s="2" t="s">
        <v>459</v>
      </c>
      <c r="C103" s="2" t="s">
        <v>460</v>
      </c>
      <c r="D103" s="2" t="s">
        <v>31</v>
      </c>
      <c r="E103" s="2" t="s">
        <v>32</v>
      </c>
      <c r="F103" s="2" t="s">
        <v>77</v>
      </c>
      <c r="G103" s="2" t="s">
        <v>318</v>
      </c>
      <c r="H103" s="2" t="s">
        <v>195</v>
      </c>
      <c r="I103" s="2">
        <v>1</v>
      </c>
      <c r="J103" s="2">
        <v>177.55</v>
      </c>
      <c r="K103" s="2">
        <v>0</v>
      </c>
      <c r="L103" s="2" t="s">
        <v>237</v>
      </c>
      <c r="M103" s="2" t="s">
        <v>144</v>
      </c>
      <c r="N103" s="2" t="s">
        <v>111</v>
      </c>
      <c r="O103" s="2"/>
    </row>
    <row r="104" spans="1:15" x14ac:dyDescent="0.25">
      <c r="A104" s="2" t="s">
        <v>461</v>
      </c>
      <c r="B104" s="2" t="s">
        <v>462</v>
      </c>
      <c r="C104" s="2" t="s">
        <v>463</v>
      </c>
      <c r="D104" s="2" t="s">
        <v>44</v>
      </c>
      <c r="E104" s="2" t="s">
        <v>125</v>
      </c>
      <c r="F104" s="2" t="s">
        <v>99</v>
      </c>
      <c r="G104" s="2" t="s">
        <v>84</v>
      </c>
      <c r="H104" s="2" t="s">
        <v>35</v>
      </c>
      <c r="I104" s="2">
        <v>8</v>
      </c>
      <c r="J104" s="2">
        <v>484.71</v>
      </c>
      <c r="K104" s="2">
        <v>0.15</v>
      </c>
      <c r="L104" s="2" t="s">
        <v>139</v>
      </c>
      <c r="M104" s="2" t="s">
        <v>201</v>
      </c>
      <c r="N104" s="2" t="s">
        <v>50</v>
      </c>
      <c r="O104" s="2" t="s">
        <v>40</v>
      </c>
    </row>
    <row r="105" spans="1:15" x14ac:dyDescent="0.25">
      <c r="A105" s="2" t="s">
        <v>464</v>
      </c>
      <c r="B105" s="2" t="s">
        <v>465</v>
      </c>
      <c r="C105" s="2" t="s">
        <v>466</v>
      </c>
      <c r="D105" s="2" t="s">
        <v>64</v>
      </c>
      <c r="E105" s="2"/>
      <c r="F105" s="2" t="s">
        <v>267</v>
      </c>
      <c r="G105" s="2" t="s">
        <v>318</v>
      </c>
      <c r="H105" s="2" t="s">
        <v>200</v>
      </c>
      <c r="I105" s="2">
        <v>10</v>
      </c>
      <c r="J105" s="2">
        <v>30.02</v>
      </c>
      <c r="K105" s="2">
        <v>0.15</v>
      </c>
      <c r="L105" s="2" t="s">
        <v>260</v>
      </c>
      <c r="M105" s="2" t="s">
        <v>201</v>
      </c>
      <c r="N105" s="2" t="s">
        <v>39</v>
      </c>
      <c r="O105" s="2" t="s">
        <v>112</v>
      </c>
    </row>
    <row r="106" spans="1:15" x14ac:dyDescent="0.25">
      <c r="A106" s="2" t="s">
        <v>149</v>
      </c>
      <c r="B106" s="2" t="s">
        <v>150</v>
      </c>
      <c r="C106" s="2" t="s">
        <v>467</v>
      </c>
      <c r="D106" s="2" t="s">
        <v>152</v>
      </c>
      <c r="E106" s="2" t="s">
        <v>19</v>
      </c>
      <c r="F106" s="2" t="s">
        <v>153</v>
      </c>
      <c r="G106" s="2" t="s">
        <v>154</v>
      </c>
      <c r="H106" s="2" t="s">
        <v>108</v>
      </c>
      <c r="I106" s="2"/>
      <c r="J106" s="2">
        <v>464.9</v>
      </c>
      <c r="K106" s="2">
        <v>0.1</v>
      </c>
      <c r="L106" s="2" t="s">
        <v>24</v>
      </c>
      <c r="M106" s="2" t="s">
        <v>86</v>
      </c>
      <c r="N106" s="2" t="s">
        <v>111</v>
      </c>
      <c r="O106" s="2" t="s">
        <v>27</v>
      </c>
    </row>
    <row r="107" spans="1:15" x14ac:dyDescent="0.25">
      <c r="A107" s="2" t="s">
        <v>468</v>
      </c>
      <c r="B107" s="2" t="s">
        <v>469</v>
      </c>
      <c r="C107" s="2" t="s">
        <v>470</v>
      </c>
      <c r="D107" s="2" t="s">
        <v>212</v>
      </c>
      <c r="E107" s="2"/>
      <c r="F107" s="2" t="s">
        <v>189</v>
      </c>
      <c r="G107" s="2" t="s">
        <v>57</v>
      </c>
      <c r="H107" s="2" t="s">
        <v>178</v>
      </c>
      <c r="I107" s="2" t="s">
        <v>241</v>
      </c>
      <c r="J107" s="2" t="s">
        <v>471</v>
      </c>
      <c r="K107" s="2"/>
      <c r="L107" s="2" t="s">
        <v>59</v>
      </c>
      <c r="M107" s="2" t="s">
        <v>60</v>
      </c>
      <c r="N107" s="2" t="s">
        <v>71</v>
      </c>
      <c r="O107" s="2" t="s">
        <v>93</v>
      </c>
    </row>
    <row r="108" spans="1:15" x14ac:dyDescent="0.25">
      <c r="A108" s="2" t="s">
        <v>472</v>
      </c>
      <c r="B108" s="2" t="s">
        <v>473</v>
      </c>
      <c r="C108" s="2" t="s">
        <v>474</v>
      </c>
      <c r="D108" s="2" t="s">
        <v>212</v>
      </c>
      <c r="E108" s="2" t="s">
        <v>65</v>
      </c>
      <c r="F108" s="2" t="s">
        <v>91</v>
      </c>
      <c r="G108" s="2" t="s">
        <v>84</v>
      </c>
      <c r="H108" s="2" t="s">
        <v>48</v>
      </c>
      <c r="I108" s="2">
        <v>7</v>
      </c>
      <c r="J108" s="2">
        <v>244.05</v>
      </c>
      <c r="K108" s="2">
        <v>0.05</v>
      </c>
      <c r="L108" s="2" t="s">
        <v>37</v>
      </c>
      <c r="M108" s="2" t="s">
        <v>110</v>
      </c>
      <c r="N108" s="2" t="s">
        <v>111</v>
      </c>
      <c r="O108" s="2" t="s">
        <v>51</v>
      </c>
    </row>
    <row r="109" spans="1:15" x14ac:dyDescent="0.25">
      <c r="A109" s="2" t="s">
        <v>475</v>
      </c>
      <c r="B109" s="2" t="s">
        <v>476</v>
      </c>
      <c r="C109" s="2" t="s">
        <v>477</v>
      </c>
      <c r="D109" s="2" t="s">
        <v>285</v>
      </c>
      <c r="E109" s="2" t="s">
        <v>32</v>
      </c>
      <c r="F109" s="2" t="s">
        <v>298</v>
      </c>
      <c r="G109" s="2" t="s">
        <v>264</v>
      </c>
      <c r="H109" s="2" t="s">
        <v>178</v>
      </c>
      <c r="I109" s="2">
        <v>1</v>
      </c>
      <c r="J109" s="2" t="s">
        <v>478</v>
      </c>
      <c r="K109" s="2">
        <v>0.05</v>
      </c>
      <c r="L109" s="2" t="s">
        <v>139</v>
      </c>
      <c r="M109" s="2" t="s">
        <v>201</v>
      </c>
      <c r="N109" s="2" t="s">
        <v>50</v>
      </c>
      <c r="O109" s="2" t="s">
        <v>87</v>
      </c>
    </row>
    <row r="110" spans="1:15" x14ac:dyDescent="0.25">
      <c r="A110" s="2" t="s">
        <v>479</v>
      </c>
      <c r="B110" s="2" t="s">
        <v>81</v>
      </c>
      <c r="C110" s="2" t="s">
        <v>480</v>
      </c>
      <c r="D110" s="2" t="s">
        <v>55</v>
      </c>
      <c r="E110" s="2" t="s">
        <v>76</v>
      </c>
      <c r="F110" s="2" t="s">
        <v>153</v>
      </c>
      <c r="G110" s="2" t="s">
        <v>57</v>
      </c>
      <c r="H110" s="2" t="s">
        <v>35</v>
      </c>
      <c r="I110" s="2">
        <v>4</v>
      </c>
      <c r="J110" s="2">
        <v>137.16</v>
      </c>
      <c r="K110" s="2" t="s">
        <v>259</v>
      </c>
      <c r="L110" s="2" t="s">
        <v>143</v>
      </c>
      <c r="M110" s="2" t="s">
        <v>92</v>
      </c>
      <c r="N110" s="2"/>
      <c r="O110" s="2" t="s">
        <v>126</v>
      </c>
    </row>
    <row r="111" spans="1:15" x14ac:dyDescent="0.25">
      <c r="A111" s="2" t="s">
        <v>481</v>
      </c>
      <c r="B111" s="2" t="s">
        <v>482</v>
      </c>
      <c r="C111" s="2" t="s">
        <v>483</v>
      </c>
      <c r="D111" s="2" t="s">
        <v>188</v>
      </c>
      <c r="E111" s="2" t="s">
        <v>32</v>
      </c>
      <c r="F111" s="2" t="s">
        <v>91</v>
      </c>
      <c r="G111" s="2" t="s">
        <v>164</v>
      </c>
      <c r="H111" s="2" t="s">
        <v>200</v>
      </c>
      <c r="I111" s="2">
        <v>11</v>
      </c>
      <c r="J111" s="2">
        <v>261.95</v>
      </c>
      <c r="K111" s="2" t="s">
        <v>347</v>
      </c>
      <c r="L111" s="2" t="s">
        <v>132</v>
      </c>
      <c r="M111" s="2" t="s">
        <v>70</v>
      </c>
      <c r="N111" s="2" t="s">
        <v>111</v>
      </c>
      <c r="O111" s="2" t="s">
        <v>51</v>
      </c>
    </row>
    <row r="112" spans="1:15" x14ac:dyDescent="0.25">
      <c r="A112" s="2" t="s">
        <v>484</v>
      </c>
      <c r="B112" s="2" t="s">
        <v>485</v>
      </c>
      <c r="C112" s="2" t="s">
        <v>486</v>
      </c>
      <c r="D112" s="2" t="s">
        <v>258</v>
      </c>
      <c r="E112" s="2" t="s">
        <v>45</v>
      </c>
      <c r="F112" s="2" t="s">
        <v>184</v>
      </c>
      <c r="G112" s="2" t="s">
        <v>323</v>
      </c>
      <c r="H112" s="2" t="s">
        <v>68</v>
      </c>
      <c r="I112" s="2">
        <v>12</v>
      </c>
      <c r="J112" s="2">
        <v>224.47</v>
      </c>
      <c r="K112" s="2">
        <v>0</v>
      </c>
      <c r="L112" s="2" t="s">
        <v>132</v>
      </c>
      <c r="M112" s="2" t="s">
        <v>170</v>
      </c>
      <c r="N112" s="2" t="s">
        <v>26</v>
      </c>
      <c r="O112" s="2" t="s">
        <v>126</v>
      </c>
    </row>
    <row r="113" spans="1:15" x14ac:dyDescent="0.25">
      <c r="A113" s="2" t="s">
        <v>487</v>
      </c>
      <c r="B113" s="2" t="s">
        <v>488</v>
      </c>
      <c r="C113" s="2" t="s">
        <v>489</v>
      </c>
      <c r="D113" s="2" t="s">
        <v>194</v>
      </c>
      <c r="E113" s="2" t="s">
        <v>98</v>
      </c>
      <c r="F113" s="2" t="s">
        <v>184</v>
      </c>
      <c r="G113" s="2" t="s">
        <v>323</v>
      </c>
      <c r="H113" s="2" t="s">
        <v>68</v>
      </c>
      <c r="I113" s="2">
        <v>1</v>
      </c>
      <c r="J113" s="2" t="s">
        <v>490</v>
      </c>
      <c r="K113" s="2">
        <v>0.1</v>
      </c>
      <c r="L113" s="2" t="s">
        <v>281</v>
      </c>
      <c r="M113" s="2" t="s">
        <v>201</v>
      </c>
      <c r="N113" s="2" t="s">
        <v>71</v>
      </c>
      <c r="O113" s="2" t="s">
        <v>87</v>
      </c>
    </row>
    <row r="114" spans="1:15" x14ac:dyDescent="0.25">
      <c r="A114" s="2" t="s">
        <v>491</v>
      </c>
      <c r="B114" s="2" t="s">
        <v>492</v>
      </c>
      <c r="C114" s="2" t="s">
        <v>493</v>
      </c>
      <c r="D114" s="2" t="s">
        <v>194</v>
      </c>
      <c r="E114" s="2" t="s">
        <v>65</v>
      </c>
      <c r="F114" s="2" t="s">
        <v>20</v>
      </c>
      <c r="G114" s="2" t="s">
        <v>119</v>
      </c>
      <c r="H114" s="2" t="s">
        <v>108</v>
      </c>
      <c r="I114" s="2">
        <v>6</v>
      </c>
      <c r="J114" s="2">
        <v>192.67</v>
      </c>
      <c r="K114" s="2">
        <v>0.1</v>
      </c>
      <c r="L114" s="2" t="s">
        <v>180</v>
      </c>
      <c r="M114" s="2" t="s">
        <v>38</v>
      </c>
      <c r="N114" s="2" t="s">
        <v>39</v>
      </c>
      <c r="O114" s="2"/>
    </row>
    <row r="115" spans="1:15" x14ac:dyDescent="0.25">
      <c r="A115" s="2" t="s">
        <v>494</v>
      </c>
      <c r="B115" s="2" t="s">
        <v>495</v>
      </c>
      <c r="C115" s="2" t="s">
        <v>496</v>
      </c>
      <c r="D115" s="2" t="s">
        <v>31</v>
      </c>
      <c r="E115" s="2" t="s">
        <v>76</v>
      </c>
      <c r="F115" s="2" t="s">
        <v>136</v>
      </c>
      <c r="G115" s="2" t="s">
        <v>268</v>
      </c>
      <c r="H115" s="2" t="s">
        <v>48</v>
      </c>
      <c r="I115" s="2">
        <v>7</v>
      </c>
      <c r="J115" s="2" t="s">
        <v>497</v>
      </c>
      <c r="K115" s="2"/>
      <c r="L115" s="2" t="s">
        <v>260</v>
      </c>
      <c r="M115" s="2" t="s">
        <v>170</v>
      </c>
      <c r="N115" s="2" t="s">
        <v>26</v>
      </c>
      <c r="O115" s="2" t="s">
        <v>87</v>
      </c>
    </row>
    <row r="116" spans="1:15" x14ac:dyDescent="0.25">
      <c r="A116" s="2" t="s">
        <v>498</v>
      </c>
      <c r="B116" s="2" t="s">
        <v>186</v>
      </c>
      <c r="C116" s="2" t="s">
        <v>499</v>
      </c>
      <c r="D116" s="2" t="s">
        <v>44</v>
      </c>
      <c r="E116" s="2" t="s">
        <v>45</v>
      </c>
      <c r="F116" s="2" t="s">
        <v>235</v>
      </c>
      <c r="G116" s="2" t="s">
        <v>236</v>
      </c>
      <c r="H116" s="2" t="s">
        <v>108</v>
      </c>
      <c r="I116" s="2" t="s">
        <v>343</v>
      </c>
      <c r="J116" s="2">
        <v>7.57</v>
      </c>
      <c r="K116" s="2">
        <v>0.1</v>
      </c>
      <c r="L116" s="2" t="s">
        <v>180</v>
      </c>
      <c r="M116" s="2" t="s">
        <v>208</v>
      </c>
      <c r="N116" s="2" t="s">
        <v>39</v>
      </c>
      <c r="O116" s="2" t="s">
        <v>87</v>
      </c>
    </row>
    <row r="117" spans="1:15" x14ac:dyDescent="0.25">
      <c r="A117" s="2" t="s">
        <v>500</v>
      </c>
      <c r="B117" s="2" t="s">
        <v>501</v>
      </c>
      <c r="C117" s="2" t="s">
        <v>502</v>
      </c>
      <c r="D117" s="2" t="s">
        <v>224</v>
      </c>
      <c r="E117" s="2"/>
      <c r="F117" s="2" t="s">
        <v>184</v>
      </c>
      <c r="G117" s="2" t="s">
        <v>323</v>
      </c>
      <c r="H117" s="2" t="s">
        <v>108</v>
      </c>
      <c r="I117" s="2">
        <v>7</v>
      </c>
      <c r="J117" s="2">
        <v>258.14999999999998</v>
      </c>
      <c r="K117" s="2" t="s">
        <v>85</v>
      </c>
      <c r="L117" s="2" t="s">
        <v>143</v>
      </c>
      <c r="M117" s="2" t="s">
        <v>70</v>
      </c>
      <c r="N117" s="2" t="s">
        <v>50</v>
      </c>
      <c r="O117" s="2" t="s">
        <v>93</v>
      </c>
    </row>
    <row r="118" spans="1:15" x14ac:dyDescent="0.25">
      <c r="A118" s="2" t="s">
        <v>503</v>
      </c>
      <c r="B118" s="2" t="s">
        <v>504</v>
      </c>
      <c r="C118" s="2" t="s">
        <v>505</v>
      </c>
      <c r="D118" s="2" t="s">
        <v>55</v>
      </c>
      <c r="E118" s="2"/>
      <c r="F118" s="2" t="s">
        <v>136</v>
      </c>
      <c r="G118" s="2" t="s">
        <v>236</v>
      </c>
      <c r="H118" s="2" t="s">
        <v>195</v>
      </c>
      <c r="I118" s="2">
        <v>7</v>
      </c>
      <c r="J118" s="2">
        <v>366.6</v>
      </c>
      <c r="K118" s="2" t="s">
        <v>347</v>
      </c>
      <c r="L118" s="2" t="s">
        <v>281</v>
      </c>
      <c r="M118" s="2" t="s">
        <v>25</v>
      </c>
      <c r="N118" s="2" t="s">
        <v>71</v>
      </c>
      <c r="O118" s="2" t="s">
        <v>93</v>
      </c>
    </row>
    <row r="119" spans="1:15" x14ac:dyDescent="0.25">
      <c r="A119" s="2" t="s">
        <v>506</v>
      </c>
      <c r="B119" s="2" t="s">
        <v>507</v>
      </c>
      <c r="C119" s="2" t="s">
        <v>508</v>
      </c>
      <c r="D119" s="2" t="s">
        <v>285</v>
      </c>
      <c r="E119" s="2" t="s">
        <v>76</v>
      </c>
      <c r="F119" s="2" t="s">
        <v>184</v>
      </c>
      <c r="G119" s="2" t="s">
        <v>47</v>
      </c>
      <c r="H119" s="2" t="s">
        <v>200</v>
      </c>
      <c r="I119" s="2">
        <v>2</v>
      </c>
      <c r="J119" s="2">
        <v>416.13</v>
      </c>
      <c r="K119" s="2" t="s">
        <v>85</v>
      </c>
      <c r="L119" s="2" t="s">
        <v>132</v>
      </c>
      <c r="M119" s="2" t="s">
        <v>110</v>
      </c>
      <c r="N119" s="2" t="s">
        <v>39</v>
      </c>
      <c r="O119" s="2"/>
    </row>
    <row r="120" spans="1:15" x14ac:dyDescent="0.25">
      <c r="A120" s="2" t="s">
        <v>509</v>
      </c>
      <c r="B120" s="2" t="s">
        <v>510</v>
      </c>
      <c r="C120" s="2" t="s">
        <v>511</v>
      </c>
      <c r="D120" s="2" t="s">
        <v>97</v>
      </c>
      <c r="E120" s="2" t="s">
        <v>98</v>
      </c>
      <c r="F120" s="2" t="s">
        <v>189</v>
      </c>
      <c r="G120" s="2" t="s">
        <v>154</v>
      </c>
      <c r="H120" s="2" t="s">
        <v>178</v>
      </c>
      <c r="I120" s="2">
        <v>2</v>
      </c>
      <c r="J120" s="2">
        <v>54.99</v>
      </c>
      <c r="K120" s="2">
        <v>0.1</v>
      </c>
      <c r="L120" s="2" t="s">
        <v>69</v>
      </c>
      <c r="M120" s="2" t="s">
        <v>92</v>
      </c>
      <c r="N120" s="2" t="s">
        <v>50</v>
      </c>
      <c r="O120" s="2" t="s">
        <v>87</v>
      </c>
    </row>
    <row r="121" spans="1:15" x14ac:dyDescent="0.25">
      <c r="A121" s="2" t="s">
        <v>424</v>
      </c>
      <c r="B121" s="2" t="s">
        <v>425</v>
      </c>
      <c r="C121" s="2" t="s">
        <v>426</v>
      </c>
      <c r="D121" s="2" t="s">
        <v>212</v>
      </c>
      <c r="E121" s="2" t="s">
        <v>98</v>
      </c>
      <c r="F121" s="2" t="s">
        <v>118</v>
      </c>
      <c r="G121" s="2" t="s">
        <v>21</v>
      </c>
      <c r="H121" s="2" t="s">
        <v>195</v>
      </c>
      <c r="I121" s="2" t="s">
        <v>360</v>
      </c>
      <c r="J121" s="2">
        <v>146.44</v>
      </c>
      <c r="K121" s="2"/>
      <c r="L121" s="2" t="s">
        <v>102</v>
      </c>
      <c r="M121" s="2" t="s">
        <v>60</v>
      </c>
      <c r="N121" s="2" t="s">
        <v>111</v>
      </c>
      <c r="O121" s="2" t="s">
        <v>51</v>
      </c>
    </row>
    <row r="122" spans="1:15" x14ac:dyDescent="0.25">
      <c r="A122" s="2" t="s">
        <v>512</v>
      </c>
      <c r="B122" s="2" t="s">
        <v>513</v>
      </c>
      <c r="C122" s="2" t="s">
        <v>216</v>
      </c>
      <c r="D122" s="2" t="s">
        <v>175</v>
      </c>
      <c r="E122" s="2" t="s">
        <v>76</v>
      </c>
      <c r="F122" s="2" t="s">
        <v>136</v>
      </c>
      <c r="G122" s="2" t="s">
        <v>78</v>
      </c>
      <c r="H122" s="2" t="s">
        <v>200</v>
      </c>
      <c r="I122" s="2" t="s">
        <v>36</v>
      </c>
      <c r="J122" s="2">
        <v>330.15</v>
      </c>
      <c r="K122" s="2">
        <v>0</v>
      </c>
      <c r="L122" s="2" t="s">
        <v>237</v>
      </c>
      <c r="M122" s="2" t="s">
        <v>25</v>
      </c>
      <c r="N122" s="2" t="s">
        <v>26</v>
      </c>
      <c r="O122" s="2" t="s">
        <v>112</v>
      </c>
    </row>
    <row r="123" spans="1:15" x14ac:dyDescent="0.25">
      <c r="A123" s="2" t="s">
        <v>514</v>
      </c>
      <c r="B123" s="2" t="s">
        <v>515</v>
      </c>
      <c r="C123" s="2" t="s">
        <v>516</v>
      </c>
      <c r="D123" s="2" t="s">
        <v>285</v>
      </c>
      <c r="E123" s="2" t="s">
        <v>32</v>
      </c>
      <c r="F123" s="2" t="s">
        <v>91</v>
      </c>
      <c r="G123" s="2" t="s">
        <v>220</v>
      </c>
      <c r="H123" s="2" t="s">
        <v>48</v>
      </c>
      <c r="I123" s="2">
        <v>10</v>
      </c>
      <c r="J123" s="2">
        <v>224.17</v>
      </c>
      <c r="K123" s="2">
        <v>0.05</v>
      </c>
      <c r="L123" s="2" t="s">
        <v>237</v>
      </c>
      <c r="M123" s="2" t="s">
        <v>170</v>
      </c>
      <c r="N123" s="2" t="s">
        <v>50</v>
      </c>
      <c r="O123" s="2" t="s">
        <v>126</v>
      </c>
    </row>
    <row r="124" spans="1:15" x14ac:dyDescent="0.25">
      <c r="A124" s="2" t="s">
        <v>517</v>
      </c>
      <c r="B124" s="2" t="s">
        <v>518</v>
      </c>
      <c r="C124" s="2" t="s">
        <v>519</v>
      </c>
      <c r="D124" s="2" t="s">
        <v>97</v>
      </c>
      <c r="E124" s="2" t="s">
        <v>65</v>
      </c>
      <c r="F124" s="2" t="s">
        <v>153</v>
      </c>
      <c r="G124" s="2" t="s">
        <v>57</v>
      </c>
      <c r="H124" s="2" t="s">
        <v>48</v>
      </c>
      <c r="I124" s="2">
        <v>3</v>
      </c>
      <c r="J124" s="2">
        <v>25.71</v>
      </c>
      <c r="K124" s="2">
        <v>0</v>
      </c>
      <c r="L124" s="2" t="s">
        <v>139</v>
      </c>
      <c r="M124" s="2" t="s">
        <v>25</v>
      </c>
      <c r="N124" s="2"/>
      <c r="O124" s="2"/>
    </row>
    <row r="125" spans="1:15" x14ac:dyDescent="0.25">
      <c r="A125" s="2" t="s">
        <v>520</v>
      </c>
      <c r="B125" s="2" t="s">
        <v>521</v>
      </c>
      <c r="C125" s="2" t="s">
        <v>522</v>
      </c>
      <c r="D125" s="2" t="s">
        <v>334</v>
      </c>
      <c r="E125" s="2" t="s">
        <v>45</v>
      </c>
      <c r="F125" s="2" t="s">
        <v>77</v>
      </c>
      <c r="G125" s="2" t="s">
        <v>236</v>
      </c>
      <c r="H125" s="2" t="s">
        <v>200</v>
      </c>
      <c r="I125" s="2" t="s">
        <v>364</v>
      </c>
      <c r="J125" s="2">
        <v>299.55</v>
      </c>
      <c r="K125" s="2">
        <v>0</v>
      </c>
      <c r="L125" s="2" t="s">
        <v>180</v>
      </c>
      <c r="M125" s="2" t="s">
        <v>165</v>
      </c>
      <c r="N125" s="2" t="s">
        <v>26</v>
      </c>
      <c r="O125" s="2"/>
    </row>
    <row r="126" spans="1:15" x14ac:dyDescent="0.25">
      <c r="A126" s="2" t="s">
        <v>523</v>
      </c>
      <c r="B126" s="2" t="s">
        <v>524</v>
      </c>
      <c r="C126" s="2" t="s">
        <v>525</v>
      </c>
      <c r="D126" s="2" t="s">
        <v>212</v>
      </c>
      <c r="E126" s="2" t="s">
        <v>98</v>
      </c>
      <c r="F126" s="2" t="s">
        <v>136</v>
      </c>
      <c r="G126" s="2" t="s">
        <v>78</v>
      </c>
      <c r="H126" s="2" t="s">
        <v>68</v>
      </c>
      <c r="I126" s="2">
        <v>10</v>
      </c>
      <c r="J126" s="2">
        <v>54.12</v>
      </c>
      <c r="K126" s="2" t="s">
        <v>85</v>
      </c>
      <c r="L126" s="2" t="s">
        <v>132</v>
      </c>
      <c r="M126" s="2" t="s">
        <v>60</v>
      </c>
      <c r="N126" s="2" t="s">
        <v>111</v>
      </c>
      <c r="O126" s="2" t="s">
        <v>93</v>
      </c>
    </row>
    <row r="127" spans="1:15" x14ac:dyDescent="0.25">
      <c r="A127" s="2" t="s">
        <v>526</v>
      </c>
      <c r="B127" s="2" t="s">
        <v>527</v>
      </c>
      <c r="C127" s="2" t="s">
        <v>528</v>
      </c>
      <c r="D127" s="2" t="s">
        <v>18</v>
      </c>
      <c r="E127" s="2" t="s">
        <v>19</v>
      </c>
      <c r="F127" s="2" t="s">
        <v>20</v>
      </c>
      <c r="G127" s="2" t="s">
        <v>131</v>
      </c>
      <c r="H127" s="2" t="s">
        <v>35</v>
      </c>
      <c r="I127" s="2">
        <v>3</v>
      </c>
      <c r="J127" s="2">
        <v>153.5</v>
      </c>
      <c r="K127" s="2">
        <v>0</v>
      </c>
      <c r="L127" s="2" t="s">
        <v>143</v>
      </c>
      <c r="M127" s="2" t="s">
        <v>38</v>
      </c>
      <c r="N127" s="2" t="s">
        <v>26</v>
      </c>
      <c r="O127" s="2" t="s">
        <v>27</v>
      </c>
    </row>
    <row r="128" spans="1:15" x14ac:dyDescent="0.25">
      <c r="A128" s="2" t="s">
        <v>529</v>
      </c>
      <c r="B128" s="2" t="s">
        <v>530</v>
      </c>
      <c r="C128" s="2" t="s">
        <v>531</v>
      </c>
      <c r="D128" s="2" t="s">
        <v>152</v>
      </c>
      <c r="E128" s="2" t="s">
        <v>19</v>
      </c>
      <c r="F128" s="2" t="s">
        <v>136</v>
      </c>
      <c r="G128" s="2" t="s">
        <v>236</v>
      </c>
      <c r="H128" s="2" t="s">
        <v>178</v>
      </c>
      <c r="I128" s="2" t="s">
        <v>225</v>
      </c>
      <c r="J128" s="2">
        <v>114.89</v>
      </c>
      <c r="K128" s="2" t="s">
        <v>259</v>
      </c>
      <c r="L128" s="2" t="s">
        <v>24</v>
      </c>
      <c r="M128" s="2" t="s">
        <v>38</v>
      </c>
      <c r="N128" s="2" t="s">
        <v>71</v>
      </c>
      <c r="O128" s="2" t="s">
        <v>93</v>
      </c>
    </row>
    <row r="129" spans="1:15" x14ac:dyDescent="0.25">
      <c r="A129" s="2" t="s">
        <v>532</v>
      </c>
      <c r="B129" s="2" t="s">
        <v>533</v>
      </c>
      <c r="C129" s="2" t="s">
        <v>534</v>
      </c>
      <c r="D129" s="2" t="s">
        <v>334</v>
      </c>
      <c r="E129" s="2" t="s">
        <v>125</v>
      </c>
      <c r="F129" s="2" t="s">
        <v>189</v>
      </c>
      <c r="G129" s="2" t="s">
        <v>148</v>
      </c>
      <c r="H129" s="2" t="s">
        <v>178</v>
      </c>
      <c r="I129" s="2">
        <v>10</v>
      </c>
      <c r="J129" s="2">
        <v>311.76</v>
      </c>
      <c r="K129" s="2">
        <v>0.05</v>
      </c>
      <c r="L129" s="2" t="s">
        <v>24</v>
      </c>
      <c r="M129" s="2" t="s">
        <v>38</v>
      </c>
      <c r="N129" s="2"/>
      <c r="O129" s="2" t="s">
        <v>171</v>
      </c>
    </row>
    <row r="130" spans="1:15" x14ac:dyDescent="0.25">
      <c r="A130" s="2" t="s">
        <v>535</v>
      </c>
      <c r="B130" s="2" t="s">
        <v>536</v>
      </c>
      <c r="C130" s="2" t="s">
        <v>528</v>
      </c>
      <c r="D130" s="2" t="s">
        <v>212</v>
      </c>
      <c r="E130" s="2" t="s">
        <v>98</v>
      </c>
      <c r="F130" s="2" t="s">
        <v>99</v>
      </c>
      <c r="G130" s="2" t="s">
        <v>164</v>
      </c>
      <c r="H130" s="2" t="s">
        <v>195</v>
      </c>
      <c r="I130" s="2">
        <v>11</v>
      </c>
      <c r="J130" s="2" t="s">
        <v>537</v>
      </c>
      <c r="K130" s="2"/>
      <c r="L130" s="2" t="s">
        <v>37</v>
      </c>
      <c r="M130" s="2" t="s">
        <v>70</v>
      </c>
      <c r="N130" s="2" t="s">
        <v>71</v>
      </c>
      <c r="O130" s="2" t="s">
        <v>93</v>
      </c>
    </row>
    <row r="131" spans="1:15" x14ac:dyDescent="0.25">
      <c r="A131" s="2" t="s">
        <v>538</v>
      </c>
      <c r="B131" s="2" t="s">
        <v>539</v>
      </c>
      <c r="C131" s="2" t="s">
        <v>540</v>
      </c>
      <c r="D131" s="2" t="s">
        <v>285</v>
      </c>
      <c r="E131" s="2" t="s">
        <v>32</v>
      </c>
      <c r="F131" s="2" t="s">
        <v>33</v>
      </c>
      <c r="G131" s="2" t="s">
        <v>107</v>
      </c>
      <c r="H131" s="2" t="s">
        <v>48</v>
      </c>
      <c r="I131" s="2">
        <v>2</v>
      </c>
      <c r="J131" s="2" t="s">
        <v>541</v>
      </c>
      <c r="K131" s="2">
        <v>0.15</v>
      </c>
      <c r="L131" s="2" t="s">
        <v>180</v>
      </c>
      <c r="M131" s="2" t="s">
        <v>110</v>
      </c>
      <c r="N131" s="2" t="s">
        <v>111</v>
      </c>
      <c r="O131" s="2" t="s">
        <v>126</v>
      </c>
    </row>
    <row r="132" spans="1:15" x14ac:dyDescent="0.25">
      <c r="A132" s="2" t="s">
        <v>542</v>
      </c>
      <c r="B132" s="2" t="s">
        <v>543</v>
      </c>
      <c r="C132" s="2" t="s">
        <v>544</v>
      </c>
      <c r="D132" s="2" t="s">
        <v>55</v>
      </c>
      <c r="E132" s="2" t="s">
        <v>32</v>
      </c>
      <c r="F132" s="2" t="s">
        <v>46</v>
      </c>
      <c r="G132" s="2" t="s">
        <v>47</v>
      </c>
      <c r="H132" s="2" t="s">
        <v>178</v>
      </c>
      <c r="I132" s="2">
        <v>8</v>
      </c>
      <c r="J132" s="2">
        <v>351.37</v>
      </c>
      <c r="K132" s="2">
        <v>0.15</v>
      </c>
      <c r="L132" s="2" t="s">
        <v>59</v>
      </c>
      <c r="M132" s="2" t="s">
        <v>60</v>
      </c>
      <c r="N132" s="2" t="s">
        <v>26</v>
      </c>
      <c r="O132" s="2"/>
    </row>
    <row r="133" spans="1:15" x14ac:dyDescent="0.25">
      <c r="A133" s="2" t="s">
        <v>545</v>
      </c>
      <c r="B133" s="2" t="s">
        <v>546</v>
      </c>
      <c r="C133" s="2" t="s">
        <v>547</v>
      </c>
      <c r="D133" s="2" t="s">
        <v>152</v>
      </c>
      <c r="E133" s="2" t="s">
        <v>19</v>
      </c>
      <c r="F133" s="2" t="s">
        <v>46</v>
      </c>
      <c r="G133" s="2" t="s">
        <v>34</v>
      </c>
      <c r="H133" s="2" t="s">
        <v>35</v>
      </c>
      <c r="I133" s="2">
        <v>10</v>
      </c>
      <c r="J133" s="2">
        <v>113.56</v>
      </c>
      <c r="K133" s="2">
        <v>0</v>
      </c>
      <c r="L133" s="2" t="s">
        <v>237</v>
      </c>
      <c r="M133" s="2" t="s">
        <v>86</v>
      </c>
      <c r="N133" s="2" t="s">
        <v>39</v>
      </c>
      <c r="O133" s="2" t="s">
        <v>51</v>
      </c>
    </row>
    <row r="134" spans="1:15" x14ac:dyDescent="0.25">
      <c r="A134" s="2" t="s">
        <v>548</v>
      </c>
      <c r="B134" s="2" t="s">
        <v>549</v>
      </c>
      <c r="C134" s="2" t="s">
        <v>550</v>
      </c>
      <c r="D134" s="2" t="s">
        <v>188</v>
      </c>
      <c r="E134" s="2" t="s">
        <v>199</v>
      </c>
      <c r="F134" s="2" t="s">
        <v>184</v>
      </c>
      <c r="G134" s="2" t="s">
        <v>34</v>
      </c>
      <c r="H134" s="2" t="s">
        <v>178</v>
      </c>
      <c r="I134" s="2">
        <v>5</v>
      </c>
      <c r="J134" s="2" t="s">
        <v>551</v>
      </c>
      <c r="K134" s="2" t="s">
        <v>347</v>
      </c>
      <c r="L134" s="2" t="s">
        <v>24</v>
      </c>
      <c r="M134" s="2" t="s">
        <v>60</v>
      </c>
      <c r="N134" s="2" t="s">
        <v>111</v>
      </c>
      <c r="O134" s="2" t="s">
        <v>112</v>
      </c>
    </row>
    <row r="135" spans="1:15" x14ac:dyDescent="0.25">
      <c r="A135" s="2" t="s">
        <v>552</v>
      </c>
      <c r="B135" s="2" t="s">
        <v>553</v>
      </c>
      <c r="C135" s="2" t="s">
        <v>554</v>
      </c>
      <c r="D135" s="2" t="s">
        <v>152</v>
      </c>
      <c r="E135" s="2" t="s">
        <v>117</v>
      </c>
      <c r="F135" s="2" t="s">
        <v>267</v>
      </c>
      <c r="G135" s="2" t="s">
        <v>137</v>
      </c>
      <c r="H135" s="2" t="s">
        <v>195</v>
      </c>
      <c r="I135" s="2">
        <v>8</v>
      </c>
      <c r="J135" s="2">
        <v>92.01</v>
      </c>
      <c r="K135" s="2">
        <v>0.05</v>
      </c>
      <c r="L135" s="2" t="s">
        <v>102</v>
      </c>
      <c r="M135" s="2" t="s">
        <v>25</v>
      </c>
      <c r="N135" s="2" t="s">
        <v>71</v>
      </c>
      <c r="O135" s="2" t="s">
        <v>27</v>
      </c>
    </row>
    <row r="136" spans="1:15" x14ac:dyDescent="0.25">
      <c r="A136" s="2" t="s">
        <v>555</v>
      </c>
      <c r="B136" s="2" t="s">
        <v>556</v>
      </c>
      <c r="C136" s="2" t="s">
        <v>557</v>
      </c>
      <c r="D136" s="2" t="s">
        <v>152</v>
      </c>
      <c r="E136" s="2" t="s">
        <v>19</v>
      </c>
      <c r="F136" s="2" t="s">
        <v>235</v>
      </c>
      <c r="G136" s="2" t="s">
        <v>137</v>
      </c>
      <c r="H136" s="2" t="s">
        <v>48</v>
      </c>
      <c r="I136" s="2">
        <v>3</v>
      </c>
      <c r="J136" s="2">
        <v>450.3</v>
      </c>
      <c r="K136" s="2"/>
      <c r="L136" s="2" t="s">
        <v>24</v>
      </c>
      <c r="M136" s="2" t="s">
        <v>70</v>
      </c>
      <c r="N136" s="2" t="s">
        <v>71</v>
      </c>
      <c r="O136" s="2"/>
    </row>
    <row r="137" spans="1:15" x14ac:dyDescent="0.25">
      <c r="A137" s="2" t="s">
        <v>558</v>
      </c>
      <c r="B137" s="2" t="s">
        <v>559</v>
      </c>
      <c r="C137" s="2" t="s">
        <v>560</v>
      </c>
      <c r="D137" s="2" t="s">
        <v>97</v>
      </c>
      <c r="E137" s="2" t="s">
        <v>65</v>
      </c>
      <c r="F137" s="2" t="s">
        <v>189</v>
      </c>
      <c r="G137" s="2" t="s">
        <v>57</v>
      </c>
      <c r="H137" s="2" t="s">
        <v>195</v>
      </c>
      <c r="I137" s="2">
        <v>6</v>
      </c>
      <c r="J137" s="2">
        <v>199.51</v>
      </c>
      <c r="K137" s="2"/>
      <c r="L137" s="2" t="s">
        <v>59</v>
      </c>
      <c r="M137" s="2" t="s">
        <v>92</v>
      </c>
      <c r="N137" s="2" t="s">
        <v>111</v>
      </c>
      <c r="O137" s="2" t="s">
        <v>112</v>
      </c>
    </row>
    <row r="138" spans="1:15" x14ac:dyDescent="0.25">
      <c r="A138" s="2" t="s">
        <v>561</v>
      </c>
      <c r="B138" s="2" t="s">
        <v>562</v>
      </c>
      <c r="C138" s="2" t="s">
        <v>382</v>
      </c>
      <c r="D138" s="2" t="s">
        <v>31</v>
      </c>
      <c r="E138" s="2" t="s">
        <v>76</v>
      </c>
      <c r="F138" s="2" t="s">
        <v>176</v>
      </c>
      <c r="G138" s="2" t="s">
        <v>177</v>
      </c>
      <c r="H138" s="2" t="s">
        <v>108</v>
      </c>
      <c r="I138" s="2">
        <v>10</v>
      </c>
      <c r="J138" s="2">
        <v>487.05</v>
      </c>
      <c r="K138" s="2">
        <v>0.05</v>
      </c>
      <c r="L138" s="2" t="s">
        <v>24</v>
      </c>
      <c r="M138" s="2" t="s">
        <v>70</v>
      </c>
      <c r="N138" s="2" t="s">
        <v>26</v>
      </c>
      <c r="O138" s="2" t="s">
        <v>126</v>
      </c>
    </row>
    <row r="139" spans="1:15" x14ac:dyDescent="0.25">
      <c r="A139" s="2" t="s">
        <v>563</v>
      </c>
      <c r="B139" s="2" t="s">
        <v>564</v>
      </c>
      <c r="C139" s="2" t="s">
        <v>565</v>
      </c>
      <c r="D139" s="2" t="s">
        <v>285</v>
      </c>
      <c r="E139" s="2" t="s">
        <v>199</v>
      </c>
      <c r="F139" s="2" t="s">
        <v>33</v>
      </c>
      <c r="G139" s="2" t="s">
        <v>107</v>
      </c>
      <c r="H139" s="2" t="s">
        <v>48</v>
      </c>
      <c r="I139" s="2">
        <v>5</v>
      </c>
      <c r="J139" s="2">
        <v>499.37</v>
      </c>
      <c r="K139" s="2">
        <v>0.1</v>
      </c>
      <c r="L139" s="2" t="s">
        <v>69</v>
      </c>
      <c r="M139" s="2" t="s">
        <v>25</v>
      </c>
      <c r="N139" s="2" t="s">
        <v>26</v>
      </c>
      <c r="O139" s="2" t="s">
        <v>87</v>
      </c>
    </row>
    <row r="140" spans="1:15" x14ac:dyDescent="0.25">
      <c r="A140" s="2" t="s">
        <v>566</v>
      </c>
      <c r="B140" s="2" t="s">
        <v>567</v>
      </c>
      <c r="C140" s="2" t="s">
        <v>568</v>
      </c>
      <c r="D140" s="2" t="s">
        <v>188</v>
      </c>
      <c r="E140" s="2" t="s">
        <v>76</v>
      </c>
      <c r="F140" s="2" t="s">
        <v>91</v>
      </c>
      <c r="G140" s="2" t="s">
        <v>100</v>
      </c>
      <c r="H140" s="2" t="s">
        <v>200</v>
      </c>
      <c r="I140" s="2">
        <v>3</v>
      </c>
      <c r="J140" s="2">
        <v>61.62</v>
      </c>
      <c r="K140" s="2">
        <v>0.1</v>
      </c>
      <c r="L140" s="2" t="s">
        <v>237</v>
      </c>
      <c r="M140" s="2" t="s">
        <v>170</v>
      </c>
      <c r="N140" s="2" t="s">
        <v>111</v>
      </c>
      <c r="O140" s="2" t="s">
        <v>27</v>
      </c>
    </row>
    <row r="141" spans="1:15" x14ac:dyDescent="0.25">
      <c r="A141" s="2" t="s">
        <v>569</v>
      </c>
      <c r="B141" s="2" t="s">
        <v>570</v>
      </c>
      <c r="C141" s="2" t="s">
        <v>571</v>
      </c>
      <c r="D141" s="2" t="s">
        <v>75</v>
      </c>
      <c r="E141" s="2" t="s">
        <v>199</v>
      </c>
      <c r="F141" s="2" t="s">
        <v>189</v>
      </c>
      <c r="G141" s="2" t="s">
        <v>57</v>
      </c>
      <c r="H141" s="2" t="s">
        <v>35</v>
      </c>
      <c r="I141" s="2">
        <v>6</v>
      </c>
      <c r="J141" s="2">
        <v>9.81</v>
      </c>
      <c r="K141" s="2"/>
      <c r="L141" s="2" t="s">
        <v>180</v>
      </c>
      <c r="M141" s="2" t="s">
        <v>165</v>
      </c>
      <c r="N141" s="2"/>
      <c r="O141" s="2" t="s">
        <v>93</v>
      </c>
    </row>
    <row r="142" spans="1:15" x14ac:dyDescent="0.25">
      <c r="A142" s="2" t="s">
        <v>572</v>
      </c>
      <c r="B142" s="2" t="s">
        <v>321</v>
      </c>
      <c r="C142" s="2" t="s">
        <v>573</v>
      </c>
      <c r="D142" s="2" t="s">
        <v>212</v>
      </c>
      <c r="E142" s="2" t="s">
        <v>65</v>
      </c>
      <c r="F142" s="2" t="s">
        <v>235</v>
      </c>
      <c r="G142" s="2" t="s">
        <v>318</v>
      </c>
      <c r="H142" s="2" t="s">
        <v>68</v>
      </c>
      <c r="I142" s="2">
        <v>5</v>
      </c>
      <c r="J142" s="2">
        <v>54.99</v>
      </c>
      <c r="K142" s="2" t="s">
        <v>138</v>
      </c>
      <c r="L142" s="2" t="s">
        <v>69</v>
      </c>
      <c r="M142" s="2" t="s">
        <v>60</v>
      </c>
      <c r="N142" s="2" t="s">
        <v>26</v>
      </c>
      <c r="O142" s="2" t="s">
        <v>171</v>
      </c>
    </row>
    <row r="143" spans="1:15" x14ac:dyDescent="0.25">
      <c r="A143" s="2" t="s">
        <v>574</v>
      </c>
      <c r="B143" s="2" t="s">
        <v>575</v>
      </c>
      <c r="C143" s="2" t="s">
        <v>576</v>
      </c>
      <c r="D143" s="2" t="s">
        <v>55</v>
      </c>
      <c r="E143" s="2" t="s">
        <v>199</v>
      </c>
      <c r="F143" s="2" t="s">
        <v>20</v>
      </c>
      <c r="G143" s="2" t="s">
        <v>213</v>
      </c>
      <c r="H143" s="2" t="s">
        <v>35</v>
      </c>
      <c r="I143" s="2">
        <v>2</v>
      </c>
      <c r="J143" s="2" t="s">
        <v>577</v>
      </c>
      <c r="K143" s="2"/>
      <c r="L143" s="2" t="s">
        <v>260</v>
      </c>
      <c r="M143" s="2" t="s">
        <v>86</v>
      </c>
      <c r="N143" s="2" t="s">
        <v>39</v>
      </c>
      <c r="O143" s="2" t="s">
        <v>171</v>
      </c>
    </row>
    <row r="144" spans="1:15" x14ac:dyDescent="0.25">
      <c r="A144" s="2" t="s">
        <v>578</v>
      </c>
      <c r="B144" s="2" t="s">
        <v>465</v>
      </c>
      <c r="C144" s="2" t="s">
        <v>147</v>
      </c>
      <c r="D144" s="2" t="s">
        <v>334</v>
      </c>
      <c r="E144" s="2" t="s">
        <v>45</v>
      </c>
      <c r="F144" s="2" t="s">
        <v>66</v>
      </c>
      <c r="G144" s="2" t="s">
        <v>330</v>
      </c>
      <c r="H144" s="2" t="s">
        <v>58</v>
      </c>
      <c r="I144" s="2">
        <v>12</v>
      </c>
      <c r="J144" s="2">
        <v>392.28</v>
      </c>
      <c r="K144" s="2" t="s">
        <v>138</v>
      </c>
      <c r="L144" s="2" t="s">
        <v>260</v>
      </c>
      <c r="M144" s="2" t="s">
        <v>208</v>
      </c>
      <c r="N144" s="2"/>
      <c r="O144" s="2" t="s">
        <v>126</v>
      </c>
    </row>
    <row r="145" spans="1:15" x14ac:dyDescent="0.25">
      <c r="A145" s="2" t="s">
        <v>579</v>
      </c>
      <c r="B145" s="2" t="s">
        <v>580</v>
      </c>
      <c r="C145" s="2" t="s">
        <v>581</v>
      </c>
      <c r="D145" s="2" t="s">
        <v>75</v>
      </c>
      <c r="E145" s="2" t="s">
        <v>32</v>
      </c>
      <c r="F145" s="2" t="s">
        <v>298</v>
      </c>
      <c r="G145" s="2" t="s">
        <v>264</v>
      </c>
      <c r="H145" s="2" t="s">
        <v>108</v>
      </c>
      <c r="I145" s="2">
        <v>9</v>
      </c>
      <c r="J145" s="2"/>
      <c r="K145" s="2">
        <v>0.05</v>
      </c>
      <c r="L145" s="2" t="s">
        <v>139</v>
      </c>
      <c r="M145" s="2" t="s">
        <v>201</v>
      </c>
      <c r="N145" s="2" t="s">
        <v>39</v>
      </c>
      <c r="O145" s="2" t="s">
        <v>93</v>
      </c>
    </row>
    <row r="146" spans="1:15" x14ac:dyDescent="0.25">
      <c r="A146" s="2" t="s">
        <v>582</v>
      </c>
      <c r="B146" s="2" t="s">
        <v>583</v>
      </c>
      <c r="C146" s="2" t="s">
        <v>584</v>
      </c>
      <c r="D146" s="2" t="s">
        <v>44</v>
      </c>
      <c r="E146" s="2" t="s">
        <v>45</v>
      </c>
      <c r="F146" s="2" t="s">
        <v>106</v>
      </c>
      <c r="G146" s="2" t="s">
        <v>34</v>
      </c>
      <c r="H146" s="2" t="s">
        <v>22</v>
      </c>
      <c r="I146" s="2">
        <v>11</v>
      </c>
      <c r="J146" s="2" t="s">
        <v>585</v>
      </c>
      <c r="K146" s="2"/>
      <c r="L146" s="2" t="s">
        <v>37</v>
      </c>
      <c r="M146" s="2" t="s">
        <v>110</v>
      </c>
      <c r="N146" s="2" t="s">
        <v>50</v>
      </c>
      <c r="O146" s="2" t="s">
        <v>112</v>
      </c>
    </row>
    <row r="147" spans="1:15" x14ac:dyDescent="0.25">
      <c r="A147" s="2" t="s">
        <v>586</v>
      </c>
      <c r="B147" s="2" t="s">
        <v>587</v>
      </c>
      <c r="C147" s="2" t="s">
        <v>588</v>
      </c>
      <c r="D147" s="2" t="s">
        <v>97</v>
      </c>
      <c r="E147" s="2" t="s">
        <v>98</v>
      </c>
      <c r="F147" s="2" t="s">
        <v>91</v>
      </c>
      <c r="G147" s="2" t="s">
        <v>100</v>
      </c>
      <c r="H147" s="2" t="s">
        <v>68</v>
      </c>
      <c r="I147" s="2">
        <v>4</v>
      </c>
      <c r="J147" s="2">
        <v>495.54</v>
      </c>
      <c r="K147" s="2" t="s">
        <v>85</v>
      </c>
      <c r="L147" s="2" t="s">
        <v>139</v>
      </c>
      <c r="M147" s="2" t="s">
        <v>92</v>
      </c>
      <c r="N147" s="2" t="s">
        <v>50</v>
      </c>
      <c r="O147" s="2" t="s">
        <v>126</v>
      </c>
    </row>
    <row r="148" spans="1:15" x14ac:dyDescent="0.25">
      <c r="A148" s="2" t="s">
        <v>589</v>
      </c>
      <c r="B148" s="2" t="s">
        <v>590</v>
      </c>
      <c r="C148" s="2" t="s">
        <v>591</v>
      </c>
      <c r="D148" s="2" t="s">
        <v>44</v>
      </c>
      <c r="E148" s="2" t="s">
        <v>125</v>
      </c>
      <c r="F148" s="2" t="s">
        <v>56</v>
      </c>
      <c r="G148" s="2" t="s">
        <v>330</v>
      </c>
      <c r="H148" s="2" t="s">
        <v>68</v>
      </c>
      <c r="I148" s="2">
        <v>8</v>
      </c>
      <c r="J148" s="2" t="s">
        <v>592</v>
      </c>
      <c r="K148" s="2">
        <v>0.15</v>
      </c>
      <c r="L148" s="2" t="s">
        <v>237</v>
      </c>
      <c r="M148" s="2" t="s">
        <v>144</v>
      </c>
      <c r="N148" s="2" t="s">
        <v>39</v>
      </c>
      <c r="O148" s="2" t="s">
        <v>51</v>
      </c>
    </row>
    <row r="149" spans="1:15" x14ac:dyDescent="0.25">
      <c r="A149" s="2" t="s">
        <v>593</v>
      </c>
      <c r="B149" s="2" t="s">
        <v>594</v>
      </c>
      <c r="C149" s="2" t="s">
        <v>595</v>
      </c>
      <c r="D149" s="2" t="s">
        <v>258</v>
      </c>
      <c r="E149" s="2" t="s">
        <v>45</v>
      </c>
      <c r="F149" s="2" t="s">
        <v>77</v>
      </c>
      <c r="G149" s="2" t="s">
        <v>236</v>
      </c>
      <c r="H149" s="2" t="s">
        <v>108</v>
      </c>
      <c r="I149" s="2">
        <v>11</v>
      </c>
      <c r="J149" s="2" t="s">
        <v>596</v>
      </c>
      <c r="K149" s="2">
        <v>0.05</v>
      </c>
      <c r="L149" s="2" t="s">
        <v>79</v>
      </c>
      <c r="M149" s="2" t="s">
        <v>201</v>
      </c>
      <c r="N149" s="2" t="s">
        <v>39</v>
      </c>
      <c r="O149" s="2" t="s">
        <v>126</v>
      </c>
    </row>
    <row r="150" spans="1:15" x14ac:dyDescent="0.25">
      <c r="A150" s="2" t="s">
        <v>597</v>
      </c>
      <c r="B150" s="2" t="s">
        <v>598</v>
      </c>
      <c r="C150" s="2" t="s">
        <v>599</v>
      </c>
      <c r="D150" s="2" t="s">
        <v>162</v>
      </c>
      <c r="E150" s="2" t="s">
        <v>19</v>
      </c>
      <c r="F150" s="2" t="s">
        <v>46</v>
      </c>
      <c r="G150" s="2" t="s">
        <v>323</v>
      </c>
      <c r="H150" s="2" t="s">
        <v>48</v>
      </c>
      <c r="I150" s="2">
        <v>7</v>
      </c>
      <c r="J150" s="2">
        <v>307.88</v>
      </c>
      <c r="K150" s="2">
        <v>0.05</v>
      </c>
      <c r="L150" s="2" t="s">
        <v>69</v>
      </c>
      <c r="M150" s="2" t="s">
        <v>201</v>
      </c>
      <c r="N150" s="2" t="s">
        <v>26</v>
      </c>
      <c r="O150" s="2"/>
    </row>
    <row r="151" spans="1:15" x14ac:dyDescent="0.25">
      <c r="A151" s="2" t="s">
        <v>600</v>
      </c>
      <c r="B151" s="2" t="s">
        <v>601</v>
      </c>
      <c r="C151" s="2" t="s">
        <v>602</v>
      </c>
      <c r="D151" s="2" t="s">
        <v>194</v>
      </c>
      <c r="E151" s="2" t="s">
        <v>65</v>
      </c>
      <c r="F151" s="2" t="s">
        <v>153</v>
      </c>
      <c r="G151" s="2" t="s">
        <v>154</v>
      </c>
      <c r="H151" s="2" t="s">
        <v>108</v>
      </c>
      <c r="I151" s="2">
        <v>9</v>
      </c>
      <c r="J151" s="2">
        <v>271.69</v>
      </c>
      <c r="K151" s="2">
        <v>0.1</v>
      </c>
      <c r="L151" s="2" t="s">
        <v>79</v>
      </c>
      <c r="M151" s="2" t="s">
        <v>92</v>
      </c>
      <c r="N151" s="2" t="s">
        <v>26</v>
      </c>
      <c r="O151" s="2" t="s">
        <v>112</v>
      </c>
    </row>
    <row r="152" spans="1:15" x14ac:dyDescent="0.25">
      <c r="A152" s="2" t="s">
        <v>603</v>
      </c>
      <c r="B152" s="2" t="s">
        <v>604</v>
      </c>
      <c r="C152" s="2" t="s">
        <v>605</v>
      </c>
      <c r="D152" s="2" t="s">
        <v>258</v>
      </c>
      <c r="E152" s="2" t="s">
        <v>125</v>
      </c>
      <c r="F152" s="2" t="s">
        <v>56</v>
      </c>
      <c r="G152" s="2" t="s">
        <v>57</v>
      </c>
      <c r="H152" s="2" t="s">
        <v>108</v>
      </c>
      <c r="I152" s="2">
        <v>10</v>
      </c>
      <c r="J152" s="2" t="s">
        <v>606</v>
      </c>
      <c r="K152" s="2">
        <v>0</v>
      </c>
      <c r="L152" s="2" t="s">
        <v>132</v>
      </c>
      <c r="M152" s="2" t="s">
        <v>60</v>
      </c>
      <c r="N152" s="2" t="s">
        <v>71</v>
      </c>
      <c r="O152" s="2" t="s">
        <v>87</v>
      </c>
    </row>
    <row r="153" spans="1:15" x14ac:dyDescent="0.25">
      <c r="A153" s="2" t="s">
        <v>607</v>
      </c>
      <c r="B153" s="2" t="s">
        <v>262</v>
      </c>
      <c r="C153" s="2" t="s">
        <v>608</v>
      </c>
      <c r="D153" s="2" t="s">
        <v>194</v>
      </c>
      <c r="E153" s="2" t="s">
        <v>65</v>
      </c>
      <c r="F153" s="2" t="s">
        <v>66</v>
      </c>
      <c r="G153" s="2" t="s">
        <v>330</v>
      </c>
      <c r="H153" s="2" t="s">
        <v>48</v>
      </c>
      <c r="I153" s="2">
        <v>7</v>
      </c>
      <c r="J153" s="2" t="s">
        <v>609</v>
      </c>
      <c r="K153" s="2"/>
      <c r="L153" s="2" t="s">
        <v>24</v>
      </c>
      <c r="M153" s="2" t="s">
        <v>170</v>
      </c>
      <c r="N153" s="2"/>
      <c r="O153" s="2"/>
    </row>
    <row r="154" spans="1:15" x14ac:dyDescent="0.25">
      <c r="A154" s="2" t="s">
        <v>610</v>
      </c>
      <c r="B154" s="2" t="s">
        <v>611</v>
      </c>
      <c r="C154" s="2" t="s">
        <v>612</v>
      </c>
      <c r="D154" s="2" t="s">
        <v>97</v>
      </c>
      <c r="E154" s="2" t="s">
        <v>98</v>
      </c>
      <c r="F154" s="2" t="s">
        <v>163</v>
      </c>
      <c r="G154" s="2" t="s">
        <v>164</v>
      </c>
      <c r="H154" s="2" t="s">
        <v>195</v>
      </c>
      <c r="I154" s="2">
        <v>11</v>
      </c>
      <c r="J154" s="2">
        <v>204.19</v>
      </c>
      <c r="K154" s="2"/>
      <c r="L154" s="2" t="s">
        <v>69</v>
      </c>
      <c r="M154" s="2" t="s">
        <v>158</v>
      </c>
      <c r="N154" s="2" t="s">
        <v>50</v>
      </c>
      <c r="O154" s="2" t="s">
        <v>171</v>
      </c>
    </row>
    <row r="155" spans="1:15" x14ac:dyDescent="0.25">
      <c r="A155" s="2" t="s">
        <v>613</v>
      </c>
      <c r="B155" s="2" t="s">
        <v>614</v>
      </c>
      <c r="C155" s="2" t="s">
        <v>615</v>
      </c>
      <c r="D155" s="2" t="s">
        <v>124</v>
      </c>
      <c r="E155" s="2" t="s">
        <v>125</v>
      </c>
      <c r="F155" s="2" t="s">
        <v>83</v>
      </c>
      <c r="G155" s="2" t="s">
        <v>100</v>
      </c>
      <c r="H155" s="2" t="s">
        <v>48</v>
      </c>
      <c r="I155" s="2">
        <v>2</v>
      </c>
      <c r="J155" s="2">
        <v>217.11</v>
      </c>
      <c r="K155" s="2"/>
      <c r="L155" s="2" t="s">
        <v>79</v>
      </c>
      <c r="M155" s="2" t="s">
        <v>92</v>
      </c>
      <c r="N155" s="2" t="s">
        <v>39</v>
      </c>
      <c r="O155" s="2" t="s">
        <v>112</v>
      </c>
    </row>
    <row r="156" spans="1:15" x14ac:dyDescent="0.25">
      <c r="A156" s="2" t="s">
        <v>616</v>
      </c>
      <c r="B156" s="2" t="s">
        <v>617</v>
      </c>
      <c r="C156" s="2" t="s">
        <v>618</v>
      </c>
      <c r="D156" s="2" t="s">
        <v>64</v>
      </c>
      <c r="E156" s="2" t="s">
        <v>65</v>
      </c>
      <c r="F156" s="2" t="s">
        <v>153</v>
      </c>
      <c r="G156" s="2" t="s">
        <v>154</v>
      </c>
      <c r="H156" s="2" t="s">
        <v>195</v>
      </c>
      <c r="I156" s="2">
        <v>8</v>
      </c>
      <c r="J156" s="2">
        <v>20.420000000000002</v>
      </c>
      <c r="K156" s="2">
        <v>0.15</v>
      </c>
      <c r="L156" s="2" t="s">
        <v>132</v>
      </c>
      <c r="M156" s="2" t="s">
        <v>60</v>
      </c>
      <c r="N156" s="2" t="s">
        <v>50</v>
      </c>
      <c r="O156" s="2" t="s">
        <v>27</v>
      </c>
    </row>
    <row r="157" spans="1:15" x14ac:dyDescent="0.25">
      <c r="A157" s="2" t="s">
        <v>619</v>
      </c>
      <c r="B157" s="2" t="s">
        <v>620</v>
      </c>
      <c r="C157" s="2" t="s">
        <v>621</v>
      </c>
      <c r="D157" s="2" t="s">
        <v>116</v>
      </c>
      <c r="E157" s="2" t="s">
        <v>19</v>
      </c>
      <c r="F157" s="2" t="s">
        <v>46</v>
      </c>
      <c r="G157" s="2" t="s">
        <v>34</v>
      </c>
      <c r="H157" s="2" t="s">
        <v>195</v>
      </c>
      <c r="I157" s="2" t="s">
        <v>36</v>
      </c>
      <c r="J157" s="2" t="s">
        <v>622</v>
      </c>
      <c r="K157" s="2"/>
      <c r="L157" s="2" t="s">
        <v>102</v>
      </c>
      <c r="M157" s="2" t="s">
        <v>25</v>
      </c>
      <c r="N157" s="2"/>
      <c r="O157" s="2" t="s">
        <v>27</v>
      </c>
    </row>
    <row r="158" spans="1:15" x14ac:dyDescent="0.25">
      <c r="A158" s="2" t="s">
        <v>623</v>
      </c>
      <c r="B158" s="2" t="s">
        <v>624</v>
      </c>
      <c r="C158" s="2" t="s">
        <v>625</v>
      </c>
      <c r="D158" s="2" t="s">
        <v>152</v>
      </c>
      <c r="E158" s="2" t="s">
        <v>117</v>
      </c>
      <c r="F158" s="2" t="s">
        <v>184</v>
      </c>
      <c r="G158" s="2" t="s">
        <v>323</v>
      </c>
      <c r="H158" s="2" t="s">
        <v>48</v>
      </c>
      <c r="I158" s="2" t="s">
        <v>364</v>
      </c>
      <c r="J158" s="2">
        <v>238.15</v>
      </c>
      <c r="K158" s="2"/>
      <c r="L158" s="2" t="s">
        <v>79</v>
      </c>
      <c r="M158" s="2" t="s">
        <v>60</v>
      </c>
      <c r="N158" s="2" t="s">
        <v>39</v>
      </c>
      <c r="O158" s="2" t="s">
        <v>126</v>
      </c>
    </row>
    <row r="159" spans="1:15" x14ac:dyDescent="0.25">
      <c r="A159" s="2" t="s">
        <v>626</v>
      </c>
      <c r="B159" s="2" t="s">
        <v>627</v>
      </c>
      <c r="C159" s="2" t="s">
        <v>628</v>
      </c>
      <c r="D159" s="2" t="s">
        <v>116</v>
      </c>
      <c r="E159" s="2" t="s">
        <v>117</v>
      </c>
      <c r="F159" s="2" t="s">
        <v>56</v>
      </c>
      <c r="G159" s="2" t="s">
        <v>154</v>
      </c>
      <c r="H159" s="2" t="s">
        <v>58</v>
      </c>
      <c r="I159" s="2">
        <v>5</v>
      </c>
      <c r="J159" s="2" t="s">
        <v>629</v>
      </c>
      <c r="K159" s="2">
        <v>0.2</v>
      </c>
      <c r="L159" s="2" t="s">
        <v>237</v>
      </c>
      <c r="M159" s="2" t="s">
        <v>25</v>
      </c>
      <c r="N159" s="2"/>
      <c r="O159" s="2" t="s">
        <v>93</v>
      </c>
    </row>
    <row r="160" spans="1:15" x14ac:dyDescent="0.25">
      <c r="A160" s="2" t="s">
        <v>517</v>
      </c>
      <c r="B160" s="2" t="s">
        <v>518</v>
      </c>
      <c r="C160" s="2" t="s">
        <v>519</v>
      </c>
      <c r="D160" s="2" t="s">
        <v>97</v>
      </c>
      <c r="E160" s="2" t="s">
        <v>65</v>
      </c>
      <c r="F160" s="2" t="s">
        <v>153</v>
      </c>
      <c r="G160" s="2" t="s">
        <v>57</v>
      </c>
      <c r="H160" s="2" t="s">
        <v>48</v>
      </c>
      <c r="I160" s="2">
        <v>3</v>
      </c>
      <c r="J160" s="2">
        <v>25.71</v>
      </c>
      <c r="K160" s="2">
        <v>0</v>
      </c>
      <c r="L160" s="2" t="s">
        <v>139</v>
      </c>
      <c r="M160" s="2" t="s">
        <v>25</v>
      </c>
      <c r="N160" s="2"/>
      <c r="O160" s="2"/>
    </row>
    <row r="161" spans="1:15" x14ac:dyDescent="0.25">
      <c r="A161" s="2" t="s">
        <v>630</v>
      </c>
      <c r="B161" s="2" t="s">
        <v>631</v>
      </c>
      <c r="C161" s="2" t="s">
        <v>632</v>
      </c>
      <c r="D161" s="2" t="s">
        <v>152</v>
      </c>
      <c r="E161" s="2" t="s">
        <v>117</v>
      </c>
      <c r="F161" s="2" t="s">
        <v>298</v>
      </c>
      <c r="G161" s="2" t="s">
        <v>131</v>
      </c>
      <c r="H161" s="2" t="s">
        <v>108</v>
      </c>
      <c r="I161" s="2">
        <v>10</v>
      </c>
      <c r="J161" s="2">
        <v>478.89</v>
      </c>
      <c r="K161" s="2">
        <v>0.2</v>
      </c>
      <c r="L161" s="2" t="s">
        <v>139</v>
      </c>
      <c r="M161" s="2" t="s">
        <v>165</v>
      </c>
      <c r="N161" s="2"/>
      <c r="O161" s="2" t="s">
        <v>93</v>
      </c>
    </row>
    <row r="162" spans="1:15" x14ac:dyDescent="0.25">
      <c r="A162" s="2" t="s">
        <v>633</v>
      </c>
      <c r="B162" s="2" t="s">
        <v>634</v>
      </c>
      <c r="C162" s="2" t="s">
        <v>635</v>
      </c>
      <c r="D162" s="2" t="s">
        <v>175</v>
      </c>
      <c r="E162" s="2" t="s">
        <v>199</v>
      </c>
      <c r="F162" s="2" t="s">
        <v>163</v>
      </c>
      <c r="G162" s="2" t="s">
        <v>177</v>
      </c>
      <c r="H162" s="2" t="s">
        <v>35</v>
      </c>
      <c r="I162" s="2">
        <v>7</v>
      </c>
      <c r="J162" s="2" t="s">
        <v>636</v>
      </c>
      <c r="K162" s="2"/>
      <c r="L162" s="2" t="s">
        <v>37</v>
      </c>
      <c r="M162" s="2" t="s">
        <v>165</v>
      </c>
      <c r="N162" s="2" t="s">
        <v>26</v>
      </c>
      <c r="O162" s="2" t="s">
        <v>171</v>
      </c>
    </row>
    <row r="163" spans="1:15" x14ac:dyDescent="0.25">
      <c r="A163" s="2" t="s">
        <v>637</v>
      </c>
      <c r="B163" s="2" t="s">
        <v>638</v>
      </c>
      <c r="C163" s="2" t="s">
        <v>639</v>
      </c>
      <c r="D163" s="2" t="s">
        <v>152</v>
      </c>
      <c r="E163" s="2" t="s">
        <v>117</v>
      </c>
      <c r="F163" s="2" t="s">
        <v>298</v>
      </c>
      <c r="G163" s="2" t="s">
        <v>213</v>
      </c>
      <c r="H163" s="2" t="s">
        <v>108</v>
      </c>
      <c r="I163" s="2">
        <v>7</v>
      </c>
      <c r="J163" s="2">
        <v>36.619999999999997</v>
      </c>
      <c r="K163" s="2" t="s">
        <v>254</v>
      </c>
      <c r="L163" s="2" t="s">
        <v>59</v>
      </c>
      <c r="M163" s="2" t="s">
        <v>38</v>
      </c>
      <c r="N163" s="2" t="s">
        <v>26</v>
      </c>
      <c r="O163" s="2" t="s">
        <v>87</v>
      </c>
    </row>
    <row r="164" spans="1:15" x14ac:dyDescent="0.25">
      <c r="A164" s="2" t="s">
        <v>640</v>
      </c>
      <c r="B164" s="2" t="s">
        <v>641</v>
      </c>
      <c r="C164" s="2" t="s">
        <v>642</v>
      </c>
      <c r="D164" s="2" t="s">
        <v>212</v>
      </c>
      <c r="E164" s="2" t="s">
        <v>98</v>
      </c>
      <c r="F164" s="2" t="s">
        <v>267</v>
      </c>
      <c r="G164" s="2" t="s">
        <v>137</v>
      </c>
      <c r="H164" s="2" t="s">
        <v>178</v>
      </c>
      <c r="I164" s="2">
        <v>8</v>
      </c>
      <c r="J164" s="2">
        <v>13.8</v>
      </c>
      <c r="K164" s="2"/>
      <c r="L164" s="2" t="s">
        <v>102</v>
      </c>
      <c r="M164" s="2" t="s">
        <v>86</v>
      </c>
      <c r="N164" s="2" t="s">
        <v>39</v>
      </c>
      <c r="O164" s="2" t="s">
        <v>171</v>
      </c>
    </row>
    <row r="165" spans="1:15" x14ac:dyDescent="0.25">
      <c r="A165" s="2" t="s">
        <v>643</v>
      </c>
      <c r="B165" s="2" t="s">
        <v>283</v>
      </c>
      <c r="C165" s="2" t="s">
        <v>644</v>
      </c>
      <c r="D165" s="2" t="s">
        <v>152</v>
      </c>
      <c r="E165" s="2" t="s">
        <v>19</v>
      </c>
      <c r="F165" s="2" t="s">
        <v>130</v>
      </c>
      <c r="G165" s="2" t="s">
        <v>119</v>
      </c>
      <c r="H165" s="2" t="s">
        <v>195</v>
      </c>
      <c r="I165" s="2">
        <v>8</v>
      </c>
      <c r="J165" s="2">
        <v>103.61</v>
      </c>
      <c r="K165" s="2">
        <v>0.05</v>
      </c>
      <c r="L165" s="2" t="s">
        <v>69</v>
      </c>
      <c r="M165" s="2" t="s">
        <v>110</v>
      </c>
      <c r="N165" s="2" t="s">
        <v>71</v>
      </c>
      <c r="O165" s="2" t="s">
        <v>171</v>
      </c>
    </row>
    <row r="166" spans="1:15" x14ac:dyDescent="0.25">
      <c r="A166" s="2" t="s">
        <v>645</v>
      </c>
      <c r="B166" s="2" t="s">
        <v>646</v>
      </c>
      <c r="C166" s="2" t="s">
        <v>647</v>
      </c>
      <c r="D166" s="2" t="s">
        <v>152</v>
      </c>
      <c r="E166" s="2" t="s">
        <v>117</v>
      </c>
      <c r="F166" s="2" t="s">
        <v>130</v>
      </c>
      <c r="G166" s="2" t="s">
        <v>131</v>
      </c>
      <c r="H166" s="2" t="s">
        <v>178</v>
      </c>
      <c r="I166" s="2">
        <v>10</v>
      </c>
      <c r="J166" s="2">
        <v>192.95</v>
      </c>
      <c r="K166" s="2">
        <v>0.05</v>
      </c>
      <c r="L166" s="2" t="s">
        <v>260</v>
      </c>
      <c r="M166" s="2" t="s">
        <v>86</v>
      </c>
      <c r="N166" s="2" t="s">
        <v>71</v>
      </c>
      <c r="O166" s="2"/>
    </row>
    <row r="167" spans="1:15" x14ac:dyDescent="0.25">
      <c r="A167" s="2" t="s">
        <v>648</v>
      </c>
      <c r="B167" s="2" t="s">
        <v>649</v>
      </c>
      <c r="C167" s="2" t="s">
        <v>650</v>
      </c>
      <c r="D167" s="2" t="s">
        <v>258</v>
      </c>
      <c r="E167" s="2" t="s">
        <v>125</v>
      </c>
      <c r="F167" s="2" t="s">
        <v>130</v>
      </c>
      <c r="G167" s="2" t="s">
        <v>119</v>
      </c>
      <c r="H167" s="2" t="s">
        <v>195</v>
      </c>
      <c r="I167" s="2" t="s">
        <v>360</v>
      </c>
      <c r="J167" s="2">
        <v>69.91</v>
      </c>
      <c r="K167" s="2"/>
      <c r="L167" s="2" t="s">
        <v>180</v>
      </c>
      <c r="M167" s="2" t="s">
        <v>70</v>
      </c>
      <c r="N167" s="2" t="s">
        <v>71</v>
      </c>
      <c r="O167" s="2" t="s">
        <v>51</v>
      </c>
    </row>
    <row r="168" spans="1:15" x14ac:dyDescent="0.25">
      <c r="A168" s="2" t="s">
        <v>651</v>
      </c>
      <c r="B168" s="2" t="s">
        <v>652</v>
      </c>
      <c r="C168" s="2" t="s">
        <v>653</v>
      </c>
      <c r="D168" s="2" t="s">
        <v>162</v>
      </c>
      <c r="E168" s="2" t="s">
        <v>19</v>
      </c>
      <c r="F168" s="2" t="s">
        <v>130</v>
      </c>
      <c r="G168" s="2" t="s">
        <v>21</v>
      </c>
      <c r="H168" s="2" t="s">
        <v>200</v>
      </c>
      <c r="I168" s="2" t="s">
        <v>343</v>
      </c>
      <c r="J168" s="2">
        <v>193.06</v>
      </c>
      <c r="K168" s="2"/>
      <c r="L168" s="2" t="s">
        <v>260</v>
      </c>
      <c r="M168" s="2" t="s">
        <v>144</v>
      </c>
      <c r="N168" s="2" t="s">
        <v>39</v>
      </c>
      <c r="O168" s="2" t="s">
        <v>27</v>
      </c>
    </row>
    <row r="169" spans="1:15" x14ac:dyDescent="0.25">
      <c r="A169" s="2" t="s">
        <v>654</v>
      </c>
      <c r="B169" s="2" t="s">
        <v>655</v>
      </c>
      <c r="C169" s="2" t="s">
        <v>656</v>
      </c>
      <c r="D169" s="2" t="s">
        <v>75</v>
      </c>
      <c r="E169" s="2" t="s">
        <v>32</v>
      </c>
      <c r="F169" s="2" t="s">
        <v>77</v>
      </c>
      <c r="G169" s="2" t="s">
        <v>137</v>
      </c>
      <c r="H169" s="2" t="s">
        <v>195</v>
      </c>
      <c r="I169" s="2" t="s">
        <v>343</v>
      </c>
      <c r="J169" s="2" t="s">
        <v>657</v>
      </c>
      <c r="K169" s="2">
        <v>0</v>
      </c>
      <c r="L169" s="2" t="s">
        <v>139</v>
      </c>
      <c r="M169" s="2" t="s">
        <v>201</v>
      </c>
      <c r="N169" s="2" t="s">
        <v>71</v>
      </c>
      <c r="O169" s="2" t="s">
        <v>40</v>
      </c>
    </row>
    <row r="170" spans="1:15" x14ac:dyDescent="0.25">
      <c r="A170" s="2" t="s">
        <v>658</v>
      </c>
      <c r="B170" s="2" t="s">
        <v>659</v>
      </c>
      <c r="C170" s="2" t="s">
        <v>660</v>
      </c>
      <c r="D170" s="2" t="s">
        <v>64</v>
      </c>
      <c r="E170" s="2" t="s">
        <v>65</v>
      </c>
      <c r="F170" s="2" t="s">
        <v>33</v>
      </c>
      <c r="G170" s="2" t="s">
        <v>34</v>
      </c>
      <c r="H170" s="2" t="s">
        <v>58</v>
      </c>
      <c r="I170" s="2" t="s">
        <v>360</v>
      </c>
      <c r="J170" s="2">
        <v>285.35000000000002</v>
      </c>
      <c r="K170" s="2">
        <v>0.05</v>
      </c>
      <c r="L170" s="2" t="s">
        <v>37</v>
      </c>
      <c r="M170" s="2" t="s">
        <v>70</v>
      </c>
      <c r="N170" s="2" t="s">
        <v>50</v>
      </c>
      <c r="O170" s="2" t="s">
        <v>40</v>
      </c>
    </row>
    <row r="171" spans="1:15" x14ac:dyDescent="0.25">
      <c r="A171" s="2" t="s">
        <v>661</v>
      </c>
      <c r="B171" s="2" t="s">
        <v>662</v>
      </c>
      <c r="C171" s="2" t="s">
        <v>663</v>
      </c>
      <c r="D171" s="2" t="s">
        <v>97</v>
      </c>
      <c r="E171" s="2" t="s">
        <v>98</v>
      </c>
      <c r="F171" s="2" t="s">
        <v>298</v>
      </c>
      <c r="G171" s="2" t="s">
        <v>131</v>
      </c>
      <c r="H171" s="2" t="s">
        <v>58</v>
      </c>
      <c r="I171" s="2"/>
      <c r="J171" s="2">
        <v>459.11</v>
      </c>
      <c r="K171" s="2">
        <v>0.15</v>
      </c>
      <c r="L171" s="2" t="s">
        <v>59</v>
      </c>
      <c r="M171" s="2" t="s">
        <v>110</v>
      </c>
      <c r="N171" s="2" t="s">
        <v>39</v>
      </c>
      <c r="O171" s="2" t="s">
        <v>171</v>
      </c>
    </row>
    <row r="172" spans="1:15" x14ac:dyDescent="0.25">
      <c r="A172" s="2" t="s">
        <v>664</v>
      </c>
      <c r="B172" s="2" t="s">
        <v>665</v>
      </c>
      <c r="C172" s="2" t="s">
        <v>666</v>
      </c>
      <c r="D172" s="2" t="s">
        <v>258</v>
      </c>
      <c r="E172" s="2" t="s">
        <v>45</v>
      </c>
      <c r="F172" s="2" t="s">
        <v>118</v>
      </c>
      <c r="G172" s="2" t="s">
        <v>119</v>
      </c>
      <c r="H172" s="2" t="s">
        <v>48</v>
      </c>
      <c r="I172" s="2">
        <v>11</v>
      </c>
      <c r="J172" s="2">
        <v>134.47</v>
      </c>
      <c r="K172" s="2">
        <v>0</v>
      </c>
      <c r="L172" s="2" t="s">
        <v>237</v>
      </c>
      <c r="M172" s="2" t="s">
        <v>70</v>
      </c>
      <c r="N172" s="2" t="s">
        <v>50</v>
      </c>
      <c r="O172" s="2"/>
    </row>
    <row r="173" spans="1:15" x14ac:dyDescent="0.25">
      <c r="A173" s="2" t="s">
        <v>667</v>
      </c>
      <c r="B173" s="2" t="s">
        <v>668</v>
      </c>
      <c r="C173" s="2" t="s">
        <v>669</v>
      </c>
      <c r="D173" s="2" t="s">
        <v>97</v>
      </c>
      <c r="E173" s="2" t="s">
        <v>98</v>
      </c>
      <c r="F173" s="2" t="s">
        <v>106</v>
      </c>
      <c r="G173" s="2" t="s">
        <v>47</v>
      </c>
      <c r="H173" s="2" t="s">
        <v>200</v>
      </c>
      <c r="I173" s="2" t="s">
        <v>190</v>
      </c>
      <c r="J173" s="2">
        <v>341.95</v>
      </c>
      <c r="K173" s="2">
        <v>0.05</v>
      </c>
      <c r="L173" s="2" t="s">
        <v>281</v>
      </c>
      <c r="M173" s="2" t="s">
        <v>25</v>
      </c>
      <c r="N173" s="2" t="s">
        <v>71</v>
      </c>
      <c r="O173" s="2" t="s">
        <v>87</v>
      </c>
    </row>
    <row r="174" spans="1:15" x14ac:dyDescent="0.25">
      <c r="A174" s="2" t="s">
        <v>670</v>
      </c>
      <c r="B174" s="2" t="s">
        <v>671</v>
      </c>
      <c r="C174" s="2" t="s">
        <v>672</v>
      </c>
      <c r="D174" s="2" t="s">
        <v>97</v>
      </c>
      <c r="E174" s="2" t="s">
        <v>98</v>
      </c>
      <c r="F174" s="2" t="s">
        <v>235</v>
      </c>
      <c r="G174" s="2" t="s">
        <v>268</v>
      </c>
      <c r="H174" s="2" t="s">
        <v>48</v>
      </c>
      <c r="I174" s="2" t="s">
        <v>343</v>
      </c>
      <c r="J174" s="2">
        <v>265.39999999999998</v>
      </c>
      <c r="K174" s="2">
        <v>0.2</v>
      </c>
      <c r="L174" s="2" t="s">
        <v>143</v>
      </c>
      <c r="M174" s="2" t="s">
        <v>165</v>
      </c>
      <c r="N174" s="2" t="s">
        <v>50</v>
      </c>
      <c r="O174" s="2"/>
    </row>
    <row r="175" spans="1:15" x14ac:dyDescent="0.25">
      <c r="A175" s="2" t="s">
        <v>673</v>
      </c>
      <c r="B175" s="2" t="s">
        <v>674</v>
      </c>
      <c r="C175" s="2" t="s">
        <v>675</v>
      </c>
      <c r="D175" s="2" t="s">
        <v>64</v>
      </c>
      <c r="E175" s="2" t="s">
        <v>65</v>
      </c>
      <c r="F175" s="2" t="s">
        <v>189</v>
      </c>
      <c r="G175" s="2" t="s">
        <v>154</v>
      </c>
      <c r="H175" s="2" t="s">
        <v>68</v>
      </c>
      <c r="I175" s="2">
        <v>12</v>
      </c>
      <c r="J175" s="2">
        <v>355.64</v>
      </c>
      <c r="K175" s="2"/>
      <c r="L175" s="2" t="s">
        <v>37</v>
      </c>
      <c r="M175" s="2" t="s">
        <v>60</v>
      </c>
      <c r="N175" s="2" t="s">
        <v>50</v>
      </c>
      <c r="O175" s="2" t="s">
        <v>112</v>
      </c>
    </row>
    <row r="176" spans="1:15" x14ac:dyDescent="0.25">
      <c r="A176" s="2" t="s">
        <v>676</v>
      </c>
      <c r="B176" s="2" t="s">
        <v>677</v>
      </c>
      <c r="C176" s="2" t="s">
        <v>678</v>
      </c>
      <c r="D176" s="2" t="s">
        <v>97</v>
      </c>
      <c r="E176" s="2" t="s">
        <v>98</v>
      </c>
      <c r="F176" s="2" t="s">
        <v>99</v>
      </c>
      <c r="G176" s="2" t="s">
        <v>100</v>
      </c>
      <c r="H176" s="2" t="s">
        <v>108</v>
      </c>
      <c r="I176" s="2">
        <v>5</v>
      </c>
      <c r="J176" s="2">
        <v>393.21</v>
      </c>
      <c r="K176" s="2"/>
      <c r="L176" s="2" t="s">
        <v>180</v>
      </c>
      <c r="M176" s="2" t="s">
        <v>38</v>
      </c>
      <c r="N176" s="2"/>
      <c r="O176" s="2"/>
    </row>
    <row r="177" spans="1:15" x14ac:dyDescent="0.25">
      <c r="A177" s="2" t="s">
        <v>679</v>
      </c>
      <c r="B177" s="2" t="s">
        <v>680</v>
      </c>
      <c r="C177" s="2" t="s">
        <v>681</v>
      </c>
      <c r="D177" s="2" t="s">
        <v>188</v>
      </c>
      <c r="E177" s="2" t="s">
        <v>76</v>
      </c>
      <c r="F177" s="2" t="s">
        <v>56</v>
      </c>
      <c r="G177" s="2" t="s">
        <v>57</v>
      </c>
      <c r="H177" s="2" t="s">
        <v>22</v>
      </c>
      <c r="I177" s="2">
        <v>10</v>
      </c>
      <c r="J177" s="2">
        <v>367.87</v>
      </c>
      <c r="K177" s="2"/>
      <c r="L177" s="2" t="s">
        <v>180</v>
      </c>
      <c r="M177" s="2" t="s">
        <v>165</v>
      </c>
      <c r="N177" s="2" t="s">
        <v>50</v>
      </c>
      <c r="O177" s="2" t="s">
        <v>51</v>
      </c>
    </row>
    <row r="178" spans="1:15" x14ac:dyDescent="0.25">
      <c r="A178" s="2" t="s">
        <v>229</v>
      </c>
      <c r="B178" s="2" t="s">
        <v>230</v>
      </c>
      <c r="C178" s="2" t="s">
        <v>682</v>
      </c>
      <c r="D178" s="2" t="s">
        <v>152</v>
      </c>
      <c r="E178" s="2" t="s">
        <v>19</v>
      </c>
      <c r="F178" s="2" t="s">
        <v>130</v>
      </c>
      <c r="G178" s="2" t="s">
        <v>131</v>
      </c>
      <c r="H178" s="2" t="s">
        <v>200</v>
      </c>
      <c r="I178" s="2">
        <v>10</v>
      </c>
      <c r="J178" s="2">
        <v>498.33</v>
      </c>
      <c r="K178" s="2">
        <v>0</v>
      </c>
      <c r="L178" s="2" t="s">
        <v>180</v>
      </c>
      <c r="M178" s="2" t="s">
        <v>158</v>
      </c>
      <c r="N178" s="2" t="s">
        <v>71</v>
      </c>
      <c r="O178" s="2" t="s">
        <v>40</v>
      </c>
    </row>
    <row r="179" spans="1:15" x14ac:dyDescent="0.25">
      <c r="A179" s="2" t="s">
        <v>683</v>
      </c>
      <c r="B179" s="2" t="s">
        <v>62</v>
      </c>
      <c r="C179" s="2" t="s">
        <v>684</v>
      </c>
      <c r="D179" s="2" t="s">
        <v>116</v>
      </c>
      <c r="E179" s="2" t="s">
        <v>19</v>
      </c>
      <c r="F179" s="2" t="s">
        <v>136</v>
      </c>
      <c r="G179" s="2" t="s">
        <v>236</v>
      </c>
      <c r="H179" s="2" t="s">
        <v>195</v>
      </c>
      <c r="I179" s="2">
        <v>8</v>
      </c>
      <c r="J179" s="2">
        <v>183.76</v>
      </c>
      <c r="K179" s="2">
        <v>0.15</v>
      </c>
      <c r="L179" s="2" t="s">
        <v>79</v>
      </c>
      <c r="M179" s="2" t="s">
        <v>110</v>
      </c>
      <c r="N179" s="2" t="s">
        <v>111</v>
      </c>
      <c r="O179" s="2" t="s">
        <v>112</v>
      </c>
    </row>
    <row r="180" spans="1:15" x14ac:dyDescent="0.25">
      <c r="A180" s="2" t="s">
        <v>685</v>
      </c>
      <c r="B180" s="2" t="s">
        <v>686</v>
      </c>
      <c r="C180" s="2" t="s">
        <v>687</v>
      </c>
      <c r="D180" s="2" t="s">
        <v>31</v>
      </c>
      <c r="E180" s="2" t="s">
        <v>199</v>
      </c>
      <c r="F180" s="2" t="s">
        <v>298</v>
      </c>
      <c r="G180" s="2" t="s">
        <v>21</v>
      </c>
      <c r="H180" s="2" t="s">
        <v>195</v>
      </c>
      <c r="I180" s="2">
        <v>8</v>
      </c>
      <c r="J180" s="2">
        <v>77.94</v>
      </c>
      <c r="K180" s="2">
        <v>0.05</v>
      </c>
      <c r="L180" s="2" t="s">
        <v>59</v>
      </c>
      <c r="M180" s="2" t="s">
        <v>170</v>
      </c>
      <c r="N180" s="2" t="s">
        <v>39</v>
      </c>
      <c r="O180" s="2" t="s">
        <v>51</v>
      </c>
    </row>
    <row r="181" spans="1:15" x14ac:dyDescent="0.25">
      <c r="A181" s="2" t="s">
        <v>613</v>
      </c>
      <c r="B181" s="2" t="s">
        <v>614</v>
      </c>
      <c r="C181" s="2" t="s">
        <v>688</v>
      </c>
      <c r="D181" s="2" t="s">
        <v>124</v>
      </c>
      <c r="E181" s="2" t="s">
        <v>125</v>
      </c>
      <c r="F181" s="2" t="s">
        <v>83</v>
      </c>
      <c r="G181" s="2" t="s">
        <v>100</v>
      </c>
      <c r="H181" s="2" t="s">
        <v>48</v>
      </c>
      <c r="I181" s="2">
        <v>2</v>
      </c>
      <c r="J181" s="2">
        <v>217.11</v>
      </c>
      <c r="K181" s="2"/>
      <c r="L181" s="2" t="s">
        <v>79</v>
      </c>
      <c r="M181" s="2" t="s">
        <v>92</v>
      </c>
      <c r="N181" s="2" t="s">
        <v>39</v>
      </c>
      <c r="O181" s="2" t="s">
        <v>112</v>
      </c>
    </row>
    <row r="182" spans="1:15" x14ac:dyDescent="0.25">
      <c r="A182" s="2" t="s">
        <v>689</v>
      </c>
      <c r="B182" s="2" t="s">
        <v>690</v>
      </c>
      <c r="C182" s="2" t="s">
        <v>691</v>
      </c>
      <c r="D182" s="2" t="s">
        <v>224</v>
      </c>
      <c r="E182" s="2" t="s">
        <v>125</v>
      </c>
      <c r="F182" s="2" t="s">
        <v>118</v>
      </c>
      <c r="G182" s="2" t="s">
        <v>264</v>
      </c>
      <c r="H182" s="2" t="s">
        <v>178</v>
      </c>
      <c r="I182" s="2">
        <v>4</v>
      </c>
      <c r="J182" s="2"/>
      <c r="K182" s="2">
        <v>0.2</v>
      </c>
      <c r="L182" s="2" t="s">
        <v>132</v>
      </c>
      <c r="M182" s="2" t="s">
        <v>165</v>
      </c>
      <c r="N182" s="2" t="s">
        <v>111</v>
      </c>
      <c r="O182" s="2" t="s">
        <v>112</v>
      </c>
    </row>
    <row r="183" spans="1:15" x14ac:dyDescent="0.25">
      <c r="A183" s="2" t="s">
        <v>692</v>
      </c>
      <c r="B183" s="2" t="s">
        <v>693</v>
      </c>
      <c r="C183" s="2" t="s">
        <v>694</v>
      </c>
      <c r="D183" s="2" t="s">
        <v>152</v>
      </c>
      <c r="E183" s="2" t="s">
        <v>19</v>
      </c>
      <c r="F183" s="2" t="s">
        <v>20</v>
      </c>
      <c r="G183" s="2" t="s">
        <v>119</v>
      </c>
      <c r="H183" s="2" t="s">
        <v>22</v>
      </c>
      <c r="I183" s="2">
        <v>3</v>
      </c>
      <c r="J183" s="2">
        <v>138.01</v>
      </c>
      <c r="K183" s="2">
        <v>0</v>
      </c>
      <c r="L183" s="2" t="s">
        <v>69</v>
      </c>
      <c r="M183" s="2" t="s">
        <v>201</v>
      </c>
      <c r="N183" s="2"/>
      <c r="O183" s="2" t="s">
        <v>87</v>
      </c>
    </row>
    <row r="184" spans="1:15" x14ac:dyDescent="0.25">
      <c r="A184" s="2" t="s">
        <v>695</v>
      </c>
      <c r="B184" s="2" t="s">
        <v>696</v>
      </c>
      <c r="C184" s="2" t="s">
        <v>697</v>
      </c>
      <c r="D184" s="2" t="s">
        <v>152</v>
      </c>
      <c r="E184" s="2" t="s">
        <v>19</v>
      </c>
      <c r="F184" s="2" t="s">
        <v>91</v>
      </c>
      <c r="G184" s="2" t="s">
        <v>84</v>
      </c>
      <c r="H184" s="2" t="s">
        <v>35</v>
      </c>
      <c r="I184" s="2"/>
      <c r="J184" s="2">
        <v>113.23</v>
      </c>
      <c r="K184" s="2"/>
      <c r="L184" s="2" t="s">
        <v>24</v>
      </c>
      <c r="M184" s="2" t="s">
        <v>70</v>
      </c>
      <c r="N184" s="2"/>
      <c r="O184" s="2" t="s">
        <v>51</v>
      </c>
    </row>
    <row r="185" spans="1:15" x14ac:dyDescent="0.25">
      <c r="A185" s="2" t="s">
        <v>698</v>
      </c>
      <c r="B185" s="2" t="s">
        <v>699</v>
      </c>
      <c r="C185" s="2" t="s">
        <v>700</v>
      </c>
      <c r="D185" s="2" t="s">
        <v>18</v>
      </c>
      <c r="E185" s="2" t="s">
        <v>19</v>
      </c>
      <c r="F185" s="2" t="s">
        <v>83</v>
      </c>
      <c r="G185" s="2" t="s">
        <v>220</v>
      </c>
      <c r="H185" s="2" t="s">
        <v>178</v>
      </c>
      <c r="I185" s="2">
        <v>4</v>
      </c>
      <c r="J185" s="2">
        <v>193.16</v>
      </c>
      <c r="K185" s="2">
        <v>0.05</v>
      </c>
      <c r="L185" s="2" t="s">
        <v>139</v>
      </c>
      <c r="M185" s="2" t="s">
        <v>170</v>
      </c>
      <c r="N185" s="2" t="s">
        <v>111</v>
      </c>
      <c r="O185" s="2" t="s">
        <v>27</v>
      </c>
    </row>
    <row r="186" spans="1:15" x14ac:dyDescent="0.25">
      <c r="A186" s="2" t="s">
        <v>701</v>
      </c>
      <c r="B186" s="2" t="s">
        <v>702</v>
      </c>
      <c r="C186" s="2" t="s">
        <v>703</v>
      </c>
      <c r="D186" s="2" t="s">
        <v>175</v>
      </c>
      <c r="E186" s="2" t="s">
        <v>76</v>
      </c>
      <c r="F186" s="2" t="s">
        <v>91</v>
      </c>
      <c r="G186" s="2" t="s">
        <v>220</v>
      </c>
      <c r="H186" s="2" t="s">
        <v>58</v>
      </c>
      <c r="I186" s="2">
        <v>1</v>
      </c>
      <c r="J186" s="2">
        <v>172.58</v>
      </c>
      <c r="K186" s="2">
        <v>0.15</v>
      </c>
      <c r="L186" s="2" t="s">
        <v>37</v>
      </c>
      <c r="M186" s="2" t="s">
        <v>38</v>
      </c>
      <c r="N186" s="2"/>
      <c r="O186" s="2" t="s">
        <v>27</v>
      </c>
    </row>
    <row r="187" spans="1:15" x14ac:dyDescent="0.25">
      <c r="A187" s="2" t="s">
        <v>630</v>
      </c>
      <c r="B187" s="2" t="s">
        <v>631</v>
      </c>
      <c r="C187" s="2" t="s">
        <v>632</v>
      </c>
      <c r="D187" s="2" t="s">
        <v>152</v>
      </c>
      <c r="E187" s="2" t="s">
        <v>117</v>
      </c>
      <c r="F187" s="2" t="s">
        <v>298</v>
      </c>
      <c r="G187" s="2" t="s">
        <v>131</v>
      </c>
      <c r="H187" s="2" t="s">
        <v>108</v>
      </c>
      <c r="I187" s="2">
        <v>10</v>
      </c>
      <c r="J187" s="2">
        <v>478.89</v>
      </c>
      <c r="K187" s="2">
        <v>0.2</v>
      </c>
      <c r="L187" s="2" t="s">
        <v>139</v>
      </c>
      <c r="M187" s="2" t="s">
        <v>165</v>
      </c>
      <c r="N187" s="2"/>
      <c r="O187" s="2" t="s">
        <v>93</v>
      </c>
    </row>
    <row r="188" spans="1:15" x14ac:dyDescent="0.25">
      <c r="A188" s="2" t="s">
        <v>704</v>
      </c>
      <c r="B188" s="2" t="s">
        <v>705</v>
      </c>
      <c r="C188" s="2" t="s">
        <v>706</v>
      </c>
      <c r="D188" s="2" t="s">
        <v>212</v>
      </c>
      <c r="E188" s="2" t="s">
        <v>98</v>
      </c>
      <c r="F188" s="2" t="s">
        <v>46</v>
      </c>
      <c r="G188" s="2" t="s">
        <v>323</v>
      </c>
      <c r="H188" s="2" t="s">
        <v>58</v>
      </c>
      <c r="I188" s="2" t="s">
        <v>360</v>
      </c>
      <c r="J188" s="2">
        <v>223.89</v>
      </c>
      <c r="K188" s="2"/>
      <c r="L188" s="2" t="s">
        <v>143</v>
      </c>
      <c r="M188" s="2" t="s">
        <v>170</v>
      </c>
      <c r="N188" s="2" t="s">
        <v>26</v>
      </c>
      <c r="O188" s="2" t="s">
        <v>87</v>
      </c>
    </row>
    <row r="189" spans="1:15" x14ac:dyDescent="0.25">
      <c r="A189" s="2" t="s">
        <v>707</v>
      </c>
      <c r="B189" s="2" t="s">
        <v>708</v>
      </c>
      <c r="C189" s="2" t="s">
        <v>709</v>
      </c>
      <c r="D189" s="2" t="s">
        <v>44</v>
      </c>
      <c r="E189" s="2" t="s">
        <v>45</v>
      </c>
      <c r="F189" s="2" t="s">
        <v>267</v>
      </c>
      <c r="G189" s="2" t="s">
        <v>78</v>
      </c>
      <c r="H189" s="2" t="s">
        <v>35</v>
      </c>
      <c r="I189" s="2">
        <v>4</v>
      </c>
      <c r="J189" s="2">
        <v>176.35</v>
      </c>
      <c r="K189" s="2">
        <v>0</v>
      </c>
      <c r="L189" s="2" t="s">
        <v>143</v>
      </c>
      <c r="M189" s="2" t="s">
        <v>144</v>
      </c>
      <c r="N189" s="2"/>
      <c r="O189" s="2" t="s">
        <v>126</v>
      </c>
    </row>
    <row r="190" spans="1:15" x14ac:dyDescent="0.25">
      <c r="A190" s="2" t="s">
        <v>710</v>
      </c>
      <c r="B190" s="2" t="s">
        <v>276</v>
      </c>
      <c r="C190" s="2" t="s">
        <v>711</v>
      </c>
      <c r="D190" s="2" t="s">
        <v>194</v>
      </c>
      <c r="E190" s="2" t="s">
        <v>98</v>
      </c>
      <c r="F190" s="2" t="s">
        <v>153</v>
      </c>
      <c r="G190" s="2" t="s">
        <v>154</v>
      </c>
      <c r="H190" s="2" t="s">
        <v>178</v>
      </c>
      <c r="I190" s="2"/>
      <c r="J190" s="2" t="s">
        <v>712</v>
      </c>
      <c r="K190" s="2" t="s">
        <v>347</v>
      </c>
      <c r="L190" s="2" t="s">
        <v>102</v>
      </c>
      <c r="M190" s="2" t="s">
        <v>144</v>
      </c>
      <c r="N190" s="2" t="s">
        <v>26</v>
      </c>
      <c r="O190" s="2" t="s">
        <v>112</v>
      </c>
    </row>
    <row r="191" spans="1:15" x14ac:dyDescent="0.25">
      <c r="A191" s="2" t="s">
        <v>713</v>
      </c>
      <c r="B191" s="2" t="s">
        <v>714</v>
      </c>
      <c r="C191" s="2" t="s">
        <v>715</v>
      </c>
      <c r="D191" s="2" t="s">
        <v>152</v>
      </c>
      <c r="E191" s="2" t="s">
        <v>19</v>
      </c>
      <c r="F191" s="2" t="s">
        <v>163</v>
      </c>
      <c r="G191" s="2" t="s">
        <v>220</v>
      </c>
      <c r="H191" s="2" t="s">
        <v>48</v>
      </c>
      <c r="I191" s="2">
        <v>7</v>
      </c>
      <c r="J191" s="2">
        <v>273.8</v>
      </c>
      <c r="K191" s="2">
        <v>0.05</v>
      </c>
      <c r="L191" s="2" t="s">
        <v>260</v>
      </c>
      <c r="M191" s="2" t="s">
        <v>170</v>
      </c>
      <c r="N191" s="2" t="s">
        <v>39</v>
      </c>
      <c r="O191" s="2" t="s">
        <v>171</v>
      </c>
    </row>
    <row r="192" spans="1:15" x14ac:dyDescent="0.25">
      <c r="A192" s="2" t="s">
        <v>716</v>
      </c>
      <c r="B192" s="2" t="s">
        <v>717</v>
      </c>
      <c r="C192" s="2" t="s">
        <v>718</v>
      </c>
      <c r="D192" s="2" t="s">
        <v>285</v>
      </c>
      <c r="E192" s="2" t="s">
        <v>199</v>
      </c>
      <c r="F192" s="2" t="s">
        <v>176</v>
      </c>
      <c r="G192" s="2" t="s">
        <v>100</v>
      </c>
      <c r="H192" s="2" t="s">
        <v>48</v>
      </c>
      <c r="I192" s="2">
        <v>1</v>
      </c>
      <c r="J192" s="2">
        <v>388.56</v>
      </c>
      <c r="K192" s="2">
        <v>0.1</v>
      </c>
      <c r="L192" s="2" t="s">
        <v>143</v>
      </c>
      <c r="M192" s="2" t="s">
        <v>70</v>
      </c>
      <c r="N192" s="2" t="s">
        <v>26</v>
      </c>
      <c r="O192" s="2" t="s">
        <v>87</v>
      </c>
    </row>
    <row r="193" spans="1:15" x14ac:dyDescent="0.25">
      <c r="A193" s="2" t="s">
        <v>719</v>
      </c>
      <c r="B193" s="2" t="s">
        <v>720</v>
      </c>
      <c r="C193" s="2" t="s">
        <v>721</v>
      </c>
      <c r="D193" s="2" t="s">
        <v>152</v>
      </c>
      <c r="E193" s="2" t="s">
        <v>19</v>
      </c>
      <c r="F193" s="2" t="s">
        <v>83</v>
      </c>
      <c r="G193" s="2" t="s">
        <v>177</v>
      </c>
      <c r="H193" s="2" t="s">
        <v>178</v>
      </c>
      <c r="I193" s="2">
        <v>8</v>
      </c>
      <c r="J193" s="2" t="s">
        <v>722</v>
      </c>
      <c r="K193" s="2" t="s">
        <v>347</v>
      </c>
      <c r="L193" s="2" t="s">
        <v>69</v>
      </c>
      <c r="M193" s="2" t="s">
        <v>25</v>
      </c>
      <c r="N193" s="2" t="s">
        <v>111</v>
      </c>
      <c r="O193" s="2" t="s">
        <v>27</v>
      </c>
    </row>
    <row r="194" spans="1:15" x14ac:dyDescent="0.25">
      <c r="A194" s="2" t="s">
        <v>487</v>
      </c>
      <c r="B194" s="2" t="s">
        <v>488</v>
      </c>
      <c r="C194" s="2" t="s">
        <v>489</v>
      </c>
      <c r="D194" s="2" t="s">
        <v>194</v>
      </c>
      <c r="E194" s="2" t="s">
        <v>98</v>
      </c>
      <c r="F194" s="2" t="s">
        <v>184</v>
      </c>
      <c r="G194" s="2" t="s">
        <v>323</v>
      </c>
      <c r="H194" s="2" t="s">
        <v>68</v>
      </c>
      <c r="I194" s="2">
        <v>1</v>
      </c>
      <c r="J194" s="2" t="s">
        <v>490</v>
      </c>
      <c r="K194" s="2">
        <v>0.1</v>
      </c>
      <c r="L194" s="2" t="s">
        <v>281</v>
      </c>
      <c r="M194" s="2" t="s">
        <v>201</v>
      </c>
      <c r="N194" s="2" t="s">
        <v>71</v>
      </c>
      <c r="O194" s="2" t="s">
        <v>87</v>
      </c>
    </row>
    <row r="195" spans="1:15" x14ac:dyDescent="0.25">
      <c r="A195" s="2" t="s">
        <v>723</v>
      </c>
      <c r="B195" s="2" t="s">
        <v>724</v>
      </c>
      <c r="C195" s="2" t="s">
        <v>725</v>
      </c>
      <c r="D195" s="2" t="s">
        <v>334</v>
      </c>
      <c r="E195" s="2" t="s">
        <v>45</v>
      </c>
      <c r="F195" s="2" t="s">
        <v>83</v>
      </c>
      <c r="G195" s="2" t="s">
        <v>177</v>
      </c>
      <c r="H195" s="2" t="s">
        <v>108</v>
      </c>
      <c r="I195" s="2" t="s">
        <v>23</v>
      </c>
      <c r="J195" s="2">
        <v>339.24</v>
      </c>
      <c r="K195" s="2" t="s">
        <v>347</v>
      </c>
      <c r="L195" s="2" t="s">
        <v>143</v>
      </c>
      <c r="M195" s="2" t="s">
        <v>25</v>
      </c>
      <c r="N195" s="2" t="s">
        <v>39</v>
      </c>
      <c r="O195" s="2" t="s">
        <v>112</v>
      </c>
    </row>
    <row r="196" spans="1:15" x14ac:dyDescent="0.25">
      <c r="A196" s="2" t="s">
        <v>726</v>
      </c>
      <c r="B196" s="2" t="s">
        <v>696</v>
      </c>
      <c r="C196" s="2" t="s">
        <v>727</v>
      </c>
      <c r="D196" s="2" t="s">
        <v>152</v>
      </c>
      <c r="E196" s="2" t="s">
        <v>117</v>
      </c>
      <c r="F196" s="2" t="s">
        <v>176</v>
      </c>
      <c r="G196" s="2" t="s">
        <v>164</v>
      </c>
      <c r="H196" s="2" t="s">
        <v>22</v>
      </c>
      <c r="I196" s="2">
        <v>10</v>
      </c>
      <c r="J196" s="2">
        <v>255.77</v>
      </c>
      <c r="K196" s="2" t="s">
        <v>259</v>
      </c>
      <c r="L196" s="2" t="s">
        <v>143</v>
      </c>
      <c r="M196" s="2" t="s">
        <v>144</v>
      </c>
      <c r="N196" s="2" t="s">
        <v>71</v>
      </c>
      <c r="O196" s="2" t="s">
        <v>27</v>
      </c>
    </row>
    <row r="197" spans="1:15" x14ac:dyDescent="0.25">
      <c r="A197" s="2" t="s">
        <v>728</v>
      </c>
      <c r="B197" s="2" t="s">
        <v>206</v>
      </c>
      <c r="C197" s="2" t="s">
        <v>729</v>
      </c>
      <c r="D197" s="2" t="s">
        <v>175</v>
      </c>
      <c r="E197" s="2" t="s">
        <v>76</v>
      </c>
      <c r="F197" s="2" t="s">
        <v>118</v>
      </c>
      <c r="G197" s="2" t="s">
        <v>21</v>
      </c>
      <c r="H197" s="2" t="s">
        <v>58</v>
      </c>
      <c r="I197" s="2"/>
      <c r="J197" s="2">
        <v>472.97</v>
      </c>
      <c r="K197" s="2">
        <v>0.05</v>
      </c>
      <c r="L197" s="2" t="s">
        <v>139</v>
      </c>
      <c r="M197" s="2" t="s">
        <v>110</v>
      </c>
      <c r="N197" s="2"/>
      <c r="O197" s="2" t="s">
        <v>112</v>
      </c>
    </row>
    <row r="198" spans="1:15" x14ac:dyDescent="0.25">
      <c r="A198" s="2" t="s">
        <v>730</v>
      </c>
      <c r="B198" s="2" t="s">
        <v>731</v>
      </c>
      <c r="C198" s="2" t="s">
        <v>732</v>
      </c>
      <c r="D198" s="2" t="s">
        <v>116</v>
      </c>
      <c r="E198" s="2" t="s">
        <v>117</v>
      </c>
      <c r="F198" s="2" t="s">
        <v>235</v>
      </c>
      <c r="G198" s="2" t="s">
        <v>137</v>
      </c>
      <c r="H198" s="2" t="s">
        <v>108</v>
      </c>
      <c r="I198" s="2">
        <v>10</v>
      </c>
      <c r="J198" s="2">
        <v>104.42</v>
      </c>
      <c r="K198" s="2">
        <v>0.1</v>
      </c>
      <c r="L198" s="2" t="s">
        <v>260</v>
      </c>
      <c r="M198" s="2" t="s">
        <v>70</v>
      </c>
      <c r="N198" s="2"/>
      <c r="O198" s="2" t="s">
        <v>40</v>
      </c>
    </row>
    <row r="199" spans="1:15" x14ac:dyDescent="0.25">
      <c r="A199" s="2" t="s">
        <v>733</v>
      </c>
      <c r="B199" s="2" t="s">
        <v>570</v>
      </c>
      <c r="C199" s="2" t="s">
        <v>734</v>
      </c>
      <c r="D199" s="2" t="s">
        <v>44</v>
      </c>
      <c r="E199" s="2" t="s">
        <v>125</v>
      </c>
      <c r="F199" s="2" t="s">
        <v>66</v>
      </c>
      <c r="G199" s="2" t="s">
        <v>330</v>
      </c>
      <c r="H199" s="2" t="s">
        <v>178</v>
      </c>
      <c r="I199" s="2">
        <v>1</v>
      </c>
      <c r="J199" s="2">
        <v>43.58</v>
      </c>
      <c r="K199" s="2">
        <v>0.15</v>
      </c>
      <c r="L199" s="2" t="s">
        <v>143</v>
      </c>
      <c r="M199" s="2" t="s">
        <v>86</v>
      </c>
      <c r="N199" s="2"/>
      <c r="O199" s="2" t="s">
        <v>51</v>
      </c>
    </row>
    <row r="200" spans="1:15" x14ac:dyDescent="0.25">
      <c r="A200" s="2" t="s">
        <v>735</v>
      </c>
      <c r="B200" s="2" t="s">
        <v>736</v>
      </c>
      <c r="C200" s="2" t="s">
        <v>737</v>
      </c>
      <c r="D200" s="2" t="s">
        <v>55</v>
      </c>
      <c r="E200" s="2" t="s">
        <v>199</v>
      </c>
      <c r="F200" s="2" t="s">
        <v>66</v>
      </c>
      <c r="G200" s="2" t="s">
        <v>330</v>
      </c>
      <c r="H200" s="2" t="s">
        <v>200</v>
      </c>
      <c r="I200" s="2">
        <v>9</v>
      </c>
      <c r="J200" s="2">
        <v>439.93</v>
      </c>
      <c r="K200" s="2">
        <v>0</v>
      </c>
      <c r="L200" s="2" t="s">
        <v>37</v>
      </c>
      <c r="M200" s="2" t="s">
        <v>158</v>
      </c>
      <c r="N200" s="2" t="s">
        <v>111</v>
      </c>
      <c r="O200" s="2"/>
    </row>
    <row r="201" spans="1:15" x14ac:dyDescent="0.25">
      <c r="A201" s="2" t="s">
        <v>738</v>
      </c>
      <c r="B201" s="2" t="s">
        <v>739</v>
      </c>
      <c r="C201" s="2" t="s">
        <v>740</v>
      </c>
      <c r="D201" s="2" t="s">
        <v>124</v>
      </c>
      <c r="E201" s="2" t="s">
        <v>125</v>
      </c>
      <c r="F201" s="2" t="s">
        <v>77</v>
      </c>
      <c r="G201" s="2" t="s">
        <v>137</v>
      </c>
      <c r="H201" s="2" t="s">
        <v>22</v>
      </c>
      <c r="I201" s="2">
        <v>8</v>
      </c>
      <c r="J201" s="2">
        <v>419.35</v>
      </c>
      <c r="K201" s="2"/>
      <c r="L201" s="2" t="s">
        <v>37</v>
      </c>
      <c r="M201" s="2" t="s">
        <v>158</v>
      </c>
      <c r="N201" s="2" t="s">
        <v>39</v>
      </c>
      <c r="O201" s="2" t="s">
        <v>93</v>
      </c>
    </row>
    <row r="202" spans="1:15" x14ac:dyDescent="0.25">
      <c r="A202" s="2" t="s">
        <v>526</v>
      </c>
      <c r="B202" s="2" t="s">
        <v>527</v>
      </c>
      <c r="C202" s="2" t="s">
        <v>528</v>
      </c>
      <c r="D202" s="2" t="s">
        <v>18</v>
      </c>
      <c r="E202" s="2" t="s">
        <v>19</v>
      </c>
      <c r="F202" s="2" t="s">
        <v>20</v>
      </c>
      <c r="G202" s="2" t="s">
        <v>131</v>
      </c>
      <c r="H202" s="2" t="s">
        <v>35</v>
      </c>
      <c r="I202" s="2">
        <v>3</v>
      </c>
      <c r="J202" s="2">
        <v>153.5</v>
      </c>
      <c r="K202" s="2">
        <v>0</v>
      </c>
      <c r="L202" s="2" t="s">
        <v>143</v>
      </c>
      <c r="M202" s="2" t="s">
        <v>38</v>
      </c>
      <c r="N202" s="2" t="s">
        <v>26</v>
      </c>
      <c r="O202" s="2" t="s">
        <v>27</v>
      </c>
    </row>
    <row r="203" spans="1:15" x14ac:dyDescent="0.25">
      <c r="A203" s="2" t="s">
        <v>741</v>
      </c>
      <c r="B203" s="2" t="s">
        <v>742</v>
      </c>
      <c r="C203" s="2" t="s">
        <v>743</v>
      </c>
      <c r="D203" s="2" t="s">
        <v>334</v>
      </c>
      <c r="E203" s="2" t="s">
        <v>45</v>
      </c>
      <c r="F203" s="2" t="s">
        <v>184</v>
      </c>
      <c r="G203" s="2" t="s">
        <v>323</v>
      </c>
      <c r="H203" s="2" t="s">
        <v>58</v>
      </c>
      <c r="I203" s="2">
        <v>4</v>
      </c>
      <c r="J203" s="2">
        <v>193.02</v>
      </c>
      <c r="K203" s="2">
        <v>0.1</v>
      </c>
      <c r="L203" s="2" t="s">
        <v>260</v>
      </c>
      <c r="M203" s="2" t="s">
        <v>144</v>
      </c>
      <c r="N203" s="2" t="s">
        <v>50</v>
      </c>
      <c r="O203" s="2" t="s">
        <v>87</v>
      </c>
    </row>
    <row r="204" spans="1:15" x14ac:dyDescent="0.25">
      <c r="A204" s="2" t="s">
        <v>744</v>
      </c>
      <c r="B204" s="2" t="s">
        <v>745</v>
      </c>
      <c r="C204" s="2" t="s">
        <v>746</v>
      </c>
      <c r="D204" s="2" t="s">
        <v>152</v>
      </c>
      <c r="E204" s="2" t="s">
        <v>117</v>
      </c>
      <c r="F204" s="2" t="s">
        <v>106</v>
      </c>
      <c r="G204" s="2" t="s">
        <v>368</v>
      </c>
      <c r="H204" s="2" t="s">
        <v>48</v>
      </c>
      <c r="I204" s="2"/>
      <c r="J204" s="2">
        <v>432.15</v>
      </c>
      <c r="K204" s="2">
        <v>0.15</v>
      </c>
      <c r="L204" s="2" t="s">
        <v>281</v>
      </c>
      <c r="M204" s="2" t="s">
        <v>208</v>
      </c>
      <c r="N204" s="2" t="s">
        <v>39</v>
      </c>
      <c r="O204" s="2" t="s">
        <v>40</v>
      </c>
    </row>
    <row r="205" spans="1:15" x14ac:dyDescent="0.25">
      <c r="A205" s="2" t="s">
        <v>747</v>
      </c>
      <c r="B205" s="2" t="s">
        <v>748</v>
      </c>
      <c r="C205" s="2" t="s">
        <v>749</v>
      </c>
      <c r="D205" s="2" t="s">
        <v>75</v>
      </c>
      <c r="E205" s="2" t="s">
        <v>76</v>
      </c>
      <c r="F205" s="2" t="s">
        <v>184</v>
      </c>
      <c r="G205" s="2" t="s">
        <v>368</v>
      </c>
      <c r="H205" s="2" t="s">
        <v>178</v>
      </c>
      <c r="I205" s="2">
        <v>1</v>
      </c>
      <c r="J205" s="2">
        <v>320.89999999999998</v>
      </c>
      <c r="K205" s="2">
        <v>0</v>
      </c>
      <c r="L205" s="2" t="s">
        <v>260</v>
      </c>
      <c r="M205" s="2" t="s">
        <v>144</v>
      </c>
      <c r="N205" s="2" t="s">
        <v>50</v>
      </c>
      <c r="O205" s="2" t="s">
        <v>171</v>
      </c>
    </row>
    <row r="206" spans="1:15" x14ac:dyDescent="0.25">
      <c r="A206" s="2" t="s">
        <v>750</v>
      </c>
      <c r="B206" s="2" t="s">
        <v>751</v>
      </c>
      <c r="C206" s="2" t="s">
        <v>752</v>
      </c>
      <c r="D206" s="2" t="s">
        <v>116</v>
      </c>
      <c r="E206" s="2" t="s">
        <v>117</v>
      </c>
      <c r="F206" s="2" t="s">
        <v>56</v>
      </c>
      <c r="G206" s="2" t="s">
        <v>67</v>
      </c>
      <c r="H206" s="2" t="s">
        <v>108</v>
      </c>
      <c r="I206" s="2">
        <v>5</v>
      </c>
      <c r="J206" s="2">
        <v>71.02</v>
      </c>
      <c r="K206" s="2">
        <v>0.2</v>
      </c>
      <c r="L206" s="2" t="s">
        <v>260</v>
      </c>
      <c r="M206" s="2" t="s">
        <v>70</v>
      </c>
      <c r="N206" s="2" t="s">
        <v>26</v>
      </c>
      <c r="O206" s="2" t="s">
        <v>40</v>
      </c>
    </row>
    <row r="207" spans="1:15" x14ac:dyDescent="0.25">
      <c r="A207" s="2" t="s">
        <v>753</v>
      </c>
      <c r="B207" s="2" t="s">
        <v>754</v>
      </c>
      <c r="C207" s="2" t="s">
        <v>755</v>
      </c>
      <c r="D207" s="2" t="s">
        <v>194</v>
      </c>
      <c r="E207" s="2" t="s">
        <v>65</v>
      </c>
      <c r="F207" s="2" t="s">
        <v>189</v>
      </c>
      <c r="G207" s="2" t="s">
        <v>67</v>
      </c>
      <c r="H207" s="2" t="s">
        <v>48</v>
      </c>
      <c r="I207" s="2">
        <v>12</v>
      </c>
      <c r="J207" s="2">
        <v>272.36</v>
      </c>
      <c r="K207" s="2"/>
      <c r="L207" s="2" t="s">
        <v>180</v>
      </c>
      <c r="M207" s="2" t="s">
        <v>86</v>
      </c>
      <c r="N207" s="2" t="s">
        <v>50</v>
      </c>
      <c r="O207" s="2" t="s">
        <v>87</v>
      </c>
    </row>
    <row r="208" spans="1:15" x14ac:dyDescent="0.25">
      <c r="A208" s="2" t="s">
        <v>756</v>
      </c>
      <c r="B208" s="2" t="s">
        <v>614</v>
      </c>
      <c r="C208" s="2" t="s">
        <v>757</v>
      </c>
      <c r="D208" s="2" t="s">
        <v>162</v>
      </c>
      <c r="E208" s="2" t="s">
        <v>19</v>
      </c>
      <c r="F208" s="2" t="s">
        <v>298</v>
      </c>
      <c r="G208" s="2" t="s">
        <v>21</v>
      </c>
      <c r="H208" s="2" t="s">
        <v>58</v>
      </c>
      <c r="I208" s="2">
        <v>12</v>
      </c>
      <c r="J208" s="2">
        <v>464.79</v>
      </c>
      <c r="K208" s="2" t="s">
        <v>259</v>
      </c>
      <c r="L208" s="2" t="s">
        <v>69</v>
      </c>
      <c r="M208" s="2" t="s">
        <v>158</v>
      </c>
      <c r="N208" s="2" t="s">
        <v>26</v>
      </c>
      <c r="O208" s="2" t="s">
        <v>112</v>
      </c>
    </row>
    <row r="209" spans="1:15" x14ac:dyDescent="0.25">
      <c r="A209" s="2" t="s">
        <v>758</v>
      </c>
      <c r="B209" s="2" t="s">
        <v>759</v>
      </c>
      <c r="C209" s="2" t="s">
        <v>760</v>
      </c>
      <c r="D209" s="2" t="s">
        <v>212</v>
      </c>
      <c r="E209" s="2"/>
      <c r="F209" s="2" t="s">
        <v>235</v>
      </c>
      <c r="G209" s="2" t="s">
        <v>137</v>
      </c>
      <c r="H209" s="2" t="s">
        <v>200</v>
      </c>
      <c r="I209" s="2">
        <v>3</v>
      </c>
      <c r="J209" s="2" t="s">
        <v>761</v>
      </c>
      <c r="K209" s="2" t="s">
        <v>259</v>
      </c>
      <c r="L209" s="2" t="s">
        <v>24</v>
      </c>
      <c r="M209" s="2" t="s">
        <v>158</v>
      </c>
      <c r="N209" s="2" t="s">
        <v>71</v>
      </c>
      <c r="O209" s="2" t="s">
        <v>93</v>
      </c>
    </row>
    <row r="210" spans="1:15" x14ac:dyDescent="0.25">
      <c r="A210" s="2" t="s">
        <v>762</v>
      </c>
      <c r="B210" s="2" t="s">
        <v>763</v>
      </c>
      <c r="C210" s="2" t="s">
        <v>764</v>
      </c>
      <c r="D210" s="2" t="s">
        <v>258</v>
      </c>
      <c r="E210" s="2" t="s">
        <v>125</v>
      </c>
      <c r="F210" s="2" t="s">
        <v>91</v>
      </c>
      <c r="G210" s="2" t="s">
        <v>164</v>
      </c>
      <c r="H210" s="2" t="s">
        <v>195</v>
      </c>
      <c r="I210" s="2"/>
      <c r="J210" s="2">
        <v>36.909999999999997</v>
      </c>
      <c r="K210" s="2">
        <v>0.05</v>
      </c>
      <c r="L210" s="2" t="s">
        <v>180</v>
      </c>
      <c r="M210" s="2" t="s">
        <v>144</v>
      </c>
      <c r="N210" s="2" t="s">
        <v>71</v>
      </c>
      <c r="O210" s="2" t="s">
        <v>87</v>
      </c>
    </row>
    <row r="211" spans="1:15" x14ac:dyDescent="0.25">
      <c r="A211" s="2" t="s">
        <v>765</v>
      </c>
      <c r="B211" s="2" t="s">
        <v>766</v>
      </c>
      <c r="C211" s="2" t="s">
        <v>767</v>
      </c>
      <c r="D211" s="2" t="s">
        <v>285</v>
      </c>
      <c r="E211" s="2"/>
      <c r="F211" s="2" t="s">
        <v>66</v>
      </c>
      <c r="G211" s="2" t="s">
        <v>148</v>
      </c>
      <c r="H211" s="2" t="s">
        <v>178</v>
      </c>
      <c r="I211" s="2">
        <v>8</v>
      </c>
      <c r="J211" s="2">
        <v>136.19</v>
      </c>
      <c r="K211" s="2">
        <v>0</v>
      </c>
      <c r="L211" s="2" t="s">
        <v>139</v>
      </c>
      <c r="M211" s="2" t="s">
        <v>158</v>
      </c>
      <c r="N211" s="2" t="s">
        <v>26</v>
      </c>
      <c r="O211" s="2" t="s">
        <v>87</v>
      </c>
    </row>
    <row r="212" spans="1:15" x14ac:dyDescent="0.25">
      <c r="A212" s="2" t="s">
        <v>768</v>
      </c>
      <c r="B212" s="2" t="s">
        <v>769</v>
      </c>
      <c r="C212" s="2" t="s">
        <v>770</v>
      </c>
      <c r="D212" s="2" t="s">
        <v>18</v>
      </c>
      <c r="E212" s="2" t="s">
        <v>117</v>
      </c>
      <c r="F212" s="2" t="s">
        <v>235</v>
      </c>
      <c r="G212" s="2" t="s">
        <v>268</v>
      </c>
      <c r="H212" s="2" t="s">
        <v>200</v>
      </c>
      <c r="I212" s="2">
        <v>8</v>
      </c>
      <c r="J212" s="2" t="s">
        <v>771</v>
      </c>
      <c r="K212" s="2">
        <v>0.1</v>
      </c>
      <c r="L212" s="2" t="s">
        <v>237</v>
      </c>
      <c r="M212" s="2" t="s">
        <v>201</v>
      </c>
      <c r="N212" s="2" t="s">
        <v>26</v>
      </c>
      <c r="O212" s="2" t="s">
        <v>112</v>
      </c>
    </row>
    <row r="213" spans="1:15" x14ac:dyDescent="0.25">
      <c r="A213" s="2" t="s">
        <v>772</v>
      </c>
      <c r="B213" s="2" t="s">
        <v>773</v>
      </c>
      <c r="C213" s="2" t="s">
        <v>774</v>
      </c>
      <c r="D213" s="2" t="s">
        <v>152</v>
      </c>
      <c r="E213" s="2" t="s">
        <v>19</v>
      </c>
      <c r="F213" s="2" t="s">
        <v>130</v>
      </c>
      <c r="G213" s="2" t="s">
        <v>119</v>
      </c>
      <c r="H213" s="2" t="s">
        <v>48</v>
      </c>
      <c r="I213" s="2">
        <v>10</v>
      </c>
      <c r="J213" s="2">
        <v>219.66</v>
      </c>
      <c r="K213" s="2"/>
      <c r="L213" s="2" t="s">
        <v>59</v>
      </c>
      <c r="M213" s="2" t="s">
        <v>170</v>
      </c>
      <c r="N213" s="2" t="s">
        <v>111</v>
      </c>
      <c r="O213" s="2" t="s">
        <v>126</v>
      </c>
    </row>
    <row r="214" spans="1:15" x14ac:dyDescent="0.25">
      <c r="A214" s="2" t="s">
        <v>775</v>
      </c>
      <c r="B214" s="2" t="s">
        <v>776</v>
      </c>
      <c r="C214" s="2" t="s">
        <v>777</v>
      </c>
      <c r="D214" s="2" t="s">
        <v>124</v>
      </c>
      <c r="E214" s="2" t="s">
        <v>45</v>
      </c>
      <c r="F214" s="2" t="s">
        <v>298</v>
      </c>
      <c r="G214" s="2" t="s">
        <v>264</v>
      </c>
      <c r="H214" s="2" t="s">
        <v>58</v>
      </c>
      <c r="I214" s="2"/>
      <c r="J214" s="2">
        <v>31.99</v>
      </c>
      <c r="K214" s="2">
        <v>0.15</v>
      </c>
      <c r="L214" s="2" t="s">
        <v>180</v>
      </c>
      <c r="M214" s="2" t="s">
        <v>86</v>
      </c>
      <c r="N214" s="2" t="s">
        <v>26</v>
      </c>
      <c r="O214" s="2" t="s">
        <v>87</v>
      </c>
    </row>
    <row r="215" spans="1:15" x14ac:dyDescent="0.25">
      <c r="A215" s="2" t="s">
        <v>630</v>
      </c>
      <c r="B215" s="2" t="s">
        <v>631</v>
      </c>
      <c r="C215" s="2" t="s">
        <v>632</v>
      </c>
      <c r="D215" s="2" t="s">
        <v>152</v>
      </c>
      <c r="E215" s="2" t="s">
        <v>117</v>
      </c>
      <c r="F215" s="2" t="s">
        <v>298</v>
      </c>
      <c r="G215" s="2" t="s">
        <v>131</v>
      </c>
      <c r="H215" s="2" t="s">
        <v>108</v>
      </c>
      <c r="I215" s="2">
        <v>10</v>
      </c>
      <c r="J215" s="2">
        <v>478.89</v>
      </c>
      <c r="K215" s="2">
        <v>0.2</v>
      </c>
      <c r="L215" s="2" t="s">
        <v>139</v>
      </c>
      <c r="M215" s="2" t="s">
        <v>165</v>
      </c>
      <c r="N215" s="2"/>
      <c r="O215" s="2" t="s">
        <v>93</v>
      </c>
    </row>
    <row r="216" spans="1:15" x14ac:dyDescent="0.25">
      <c r="A216" s="2" t="s">
        <v>623</v>
      </c>
      <c r="B216" s="2" t="s">
        <v>624</v>
      </c>
      <c r="C216" s="2" t="s">
        <v>625</v>
      </c>
      <c r="D216" s="2" t="s">
        <v>152</v>
      </c>
      <c r="E216" s="2" t="s">
        <v>117</v>
      </c>
      <c r="F216" s="2" t="s">
        <v>184</v>
      </c>
      <c r="G216" s="2" t="s">
        <v>323</v>
      </c>
      <c r="H216" s="2" t="s">
        <v>48</v>
      </c>
      <c r="I216" s="2" t="s">
        <v>364</v>
      </c>
      <c r="J216" s="2">
        <v>238.15</v>
      </c>
      <c r="K216" s="2"/>
      <c r="L216" s="2" t="s">
        <v>79</v>
      </c>
      <c r="M216" s="2" t="s">
        <v>60</v>
      </c>
      <c r="N216" s="2" t="s">
        <v>39</v>
      </c>
      <c r="O216" s="2" t="s">
        <v>126</v>
      </c>
    </row>
    <row r="217" spans="1:15" x14ac:dyDescent="0.25">
      <c r="A217" s="2" t="s">
        <v>778</v>
      </c>
      <c r="B217" s="2" t="s">
        <v>739</v>
      </c>
      <c r="C217" s="2" t="s">
        <v>779</v>
      </c>
      <c r="D217" s="2" t="s">
        <v>162</v>
      </c>
      <c r="E217" s="2" t="s">
        <v>117</v>
      </c>
      <c r="F217" s="2" t="s">
        <v>33</v>
      </c>
      <c r="G217" s="2" t="s">
        <v>323</v>
      </c>
      <c r="H217" s="2" t="s">
        <v>178</v>
      </c>
      <c r="I217" s="2">
        <v>10</v>
      </c>
      <c r="J217" s="2">
        <v>458.79</v>
      </c>
      <c r="K217" s="2" t="s">
        <v>347</v>
      </c>
      <c r="L217" s="2" t="s">
        <v>281</v>
      </c>
      <c r="M217" s="2" t="s">
        <v>110</v>
      </c>
      <c r="N217" s="2"/>
      <c r="O217" s="2" t="s">
        <v>93</v>
      </c>
    </row>
    <row r="218" spans="1:15" x14ac:dyDescent="0.25">
      <c r="A218" s="2" t="s">
        <v>780</v>
      </c>
      <c r="B218" s="2" t="s">
        <v>243</v>
      </c>
      <c r="C218" s="2" t="s">
        <v>781</v>
      </c>
      <c r="D218" s="2" t="s">
        <v>152</v>
      </c>
      <c r="E218" s="2" t="s">
        <v>19</v>
      </c>
      <c r="F218" s="2" t="s">
        <v>184</v>
      </c>
      <c r="G218" s="2" t="s">
        <v>368</v>
      </c>
      <c r="H218" s="2" t="s">
        <v>178</v>
      </c>
      <c r="I218" s="2" t="s">
        <v>782</v>
      </c>
      <c r="J218" s="2">
        <v>65.959999999999994</v>
      </c>
      <c r="K218" s="2">
        <v>0.15</v>
      </c>
      <c r="L218" s="2" t="s">
        <v>139</v>
      </c>
      <c r="M218" s="2" t="s">
        <v>144</v>
      </c>
      <c r="N218" s="2" t="s">
        <v>111</v>
      </c>
      <c r="O218" s="2" t="s">
        <v>27</v>
      </c>
    </row>
    <row r="219" spans="1:15" x14ac:dyDescent="0.25">
      <c r="A219" s="2" t="s">
        <v>783</v>
      </c>
      <c r="B219" s="2" t="s">
        <v>784</v>
      </c>
      <c r="C219" s="2" t="s">
        <v>785</v>
      </c>
      <c r="D219" s="2" t="s">
        <v>97</v>
      </c>
      <c r="E219" s="2" t="s">
        <v>65</v>
      </c>
      <c r="F219" s="2" t="s">
        <v>106</v>
      </c>
      <c r="G219" s="2" t="s">
        <v>34</v>
      </c>
      <c r="H219" s="2" t="s">
        <v>108</v>
      </c>
      <c r="I219" s="2"/>
      <c r="J219" s="2">
        <v>209.84</v>
      </c>
      <c r="K219" s="2">
        <v>0.2</v>
      </c>
      <c r="L219" s="2" t="s">
        <v>24</v>
      </c>
      <c r="M219" s="2" t="s">
        <v>110</v>
      </c>
      <c r="N219" s="2" t="s">
        <v>26</v>
      </c>
      <c r="O219" s="2" t="s">
        <v>112</v>
      </c>
    </row>
    <row r="220" spans="1:15" x14ac:dyDescent="0.25">
      <c r="A220" s="2" t="s">
        <v>730</v>
      </c>
      <c r="B220" s="2" t="s">
        <v>731</v>
      </c>
      <c r="C220" s="2" t="s">
        <v>732</v>
      </c>
      <c r="D220" s="2" t="s">
        <v>116</v>
      </c>
      <c r="E220" s="2" t="s">
        <v>117</v>
      </c>
      <c r="F220" s="2" t="s">
        <v>235</v>
      </c>
      <c r="G220" s="2" t="s">
        <v>137</v>
      </c>
      <c r="H220" s="2" t="s">
        <v>108</v>
      </c>
      <c r="I220" s="2">
        <v>10</v>
      </c>
      <c r="J220" s="2">
        <v>104.42</v>
      </c>
      <c r="K220" s="2">
        <v>0.1</v>
      </c>
      <c r="L220" s="2" t="s">
        <v>260</v>
      </c>
      <c r="M220" s="2" t="s">
        <v>70</v>
      </c>
      <c r="N220" s="2"/>
      <c r="O220" s="2" t="s">
        <v>40</v>
      </c>
    </row>
    <row r="221" spans="1:15" x14ac:dyDescent="0.25">
      <c r="A221" s="2" t="s">
        <v>786</v>
      </c>
      <c r="B221" s="2" t="s">
        <v>787</v>
      </c>
      <c r="C221" s="2" t="s">
        <v>788</v>
      </c>
      <c r="D221" s="2" t="s">
        <v>18</v>
      </c>
      <c r="E221" s="2" t="s">
        <v>19</v>
      </c>
      <c r="F221" s="2" t="s">
        <v>130</v>
      </c>
      <c r="G221" s="2" t="s">
        <v>21</v>
      </c>
      <c r="H221" s="2" t="s">
        <v>58</v>
      </c>
      <c r="I221" s="2">
        <v>6</v>
      </c>
      <c r="J221" s="2" t="s">
        <v>789</v>
      </c>
      <c r="K221" s="2"/>
      <c r="L221" s="2" t="s">
        <v>237</v>
      </c>
      <c r="M221" s="2" t="s">
        <v>38</v>
      </c>
      <c r="N221" s="2" t="s">
        <v>39</v>
      </c>
      <c r="O221" s="2"/>
    </row>
    <row r="222" spans="1:15" x14ac:dyDescent="0.25">
      <c r="A222" s="2" t="s">
        <v>790</v>
      </c>
      <c r="B222" s="2" t="s">
        <v>791</v>
      </c>
      <c r="C222" s="2" t="s">
        <v>792</v>
      </c>
      <c r="D222" s="2" t="s">
        <v>152</v>
      </c>
      <c r="E222" s="2" t="s">
        <v>19</v>
      </c>
      <c r="F222" s="2" t="s">
        <v>77</v>
      </c>
      <c r="G222" s="2" t="s">
        <v>268</v>
      </c>
      <c r="H222" s="2" t="s">
        <v>68</v>
      </c>
      <c r="I222" s="2">
        <v>3</v>
      </c>
      <c r="J222" s="2">
        <v>402.96</v>
      </c>
      <c r="K222" s="2"/>
      <c r="L222" s="2" t="s">
        <v>102</v>
      </c>
      <c r="M222" s="2" t="s">
        <v>208</v>
      </c>
      <c r="N222" s="2" t="s">
        <v>71</v>
      </c>
      <c r="O222" s="2" t="s">
        <v>112</v>
      </c>
    </row>
    <row r="223" spans="1:15" x14ac:dyDescent="0.25">
      <c r="A223" s="2" t="s">
        <v>793</v>
      </c>
      <c r="B223" s="2" t="s">
        <v>794</v>
      </c>
      <c r="C223" s="2" t="s">
        <v>795</v>
      </c>
      <c r="D223" s="2" t="s">
        <v>55</v>
      </c>
      <c r="E223" s="2" t="s">
        <v>76</v>
      </c>
      <c r="F223" s="2" t="s">
        <v>153</v>
      </c>
      <c r="G223" s="2" t="s">
        <v>148</v>
      </c>
      <c r="H223" s="2" t="s">
        <v>68</v>
      </c>
      <c r="I223" s="2"/>
      <c r="J223" s="2" t="s">
        <v>796</v>
      </c>
      <c r="K223" s="2">
        <v>0.15</v>
      </c>
      <c r="L223" s="2" t="s">
        <v>102</v>
      </c>
      <c r="M223" s="2" t="s">
        <v>165</v>
      </c>
      <c r="N223" s="2"/>
      <c r="O223" s="2" t="s">
        <v>40</v>
      </c>
    </row>
    <row r="224" spans="1:15" x14ac:dyDescent="0.25">
      <c r="A224" s="2" t="s">
        <v>797</v>
      </c>
      <c r="B224" s="2" t="s">
        <v>798</v>
      </c>
      <c r="C224" s="2" t="s">
        <v>799</v>
      </c>
      <c r="D224" s="2" t="s">
        <v>175</v>
      </c>
      <c r="E224" s="2" t="s">
        <v>76</v>
      </c>
      <c r="F224" s="2" t="s">
        <v>189</v>
      </c>
      <c r="G224" s="2" t="s">
        <v>330</v>
      </c>
      <c r="H224" s="2" t="s">
        <v>178</v>
      </c>
      <c r="I224" s="2">
        <v>12</v>
      </c>
      <c r="J224" s="2">
        <v>118.33</v>
      </c>
      <c r="K224" s="2">
        <v>0</v>
      </c>
      <c r="L224" s="2" t="s">
        <v>102</v>
      </c>
      <c r="M224" s="2" t="s">
        <v>25</v>
      </c>
      <c r="N224" s="2" t="s">
        <v>71</v>
      </c>
      <c r="O224" s="2" t="s">
        <v>40</v>
      </c>
    </row>
    <row r="225" spans="1:15" x14ac:dyDescent="0.25">
      <c r="A225" s="2" t="s">
        <v>800</v>
      </c>
      <c r="B225" s="2" t="s">
        <v>801</v>
      </c>
      <c r="C225" s="2" t="s">
        <v>802</v>
      </c>
      <c r="D225" s="2" t="s">
        <v>334</v>
      </c>
      <c r="E225" s="2" t="s">
        <v>125</v>
      </c>
      <c r="F225" s="2" t="s">
        <v>56</v>
      </c>
      <c r="G225" s="2" t="s">
        <v>154</v>
      </c>
      <c r="H225" s="2" t="s">
        <v>35</v>
      </c>
      <c r="I225" s="2">
        <v>4</v>
      </c>
      <c r="J225" s="2">
        <v>378.86</v>
      </c>
      <c r="K225" s="2">
        <v>0.15</v>
      </c>
      <c r="L225" s="2" t="s">
        <v>132</v>
      </c>
      <c r="M225" s="2" t="s">
        <v>158</v>
      </c>
      <c r="N225" s="2" t="s">
        <v>71</v>
      </c>
      <c r="O225" s="2" t="s">
        <v>87</v>
      </c>
    </row>
    <row r="226" spans="1:15" x14ac:dyDescent="0.25">
      <c r="A226" s="2" t="s">
        <v>803</v>
      </c>
      <c r="B226" s="2" t="s">
        <v>804</v>
      </c>
      <c r="C226" s="2" t="s">
        <v>805</v>
      </c>
      <c r="D226" s="2" t="s">
        <v>116</v>
      </c>
      <c r="E226" s="2" t="s">
        <v>117</v>
      </c>
      <c r="F226" s="2" t="s">
        <v>46</v>
      </c>
      <c r="G226" s="2" t="s">
        <v>107</v>
      </c>
      <c r="H226" s="2" t="s">
        <v>195</v>
      </c>
      <c r="I226" s="2">
        <v>12</v>
      </c>
      <c r="J226" s="2">
        <v>295.52999999999997</v>
      </c>
      <c r="K226" s="2">
        <v>0.05</v>
      </c>
      <c r="L226" s="2" t="s">
        <v>59</v>
      </c>
      <c r="M226" s="2" t="s">
        <v>201</v>
      </c>
      <c r="N226" s="2" t="s">
        <v>50</v>
      </c>
      <c r="O226" s="2" t="s">
        <v>93</v>
      </c>
    </row>
    <row r="227" spans="1:15" x14ac:dyDescent="0.25">
      <c r="A227" s="2" t="s">
        <v>806</v>
      </c>
      <c r="B227" s="2" t="s">
        <v>807</v>
      </c>
      <c r="C227" s="2" t="s">
        <v>808</v>
      </c>
      <c r="D227" s="2" t="s">
        <v>75</v>
      </c>
      <c r="E227" s="2" t="s">
        <v>76</v>
      </c>
      <c r="F227" s="2" t="s">
        <v>153</v>
      </c>
      <c r="G227" s="2" t="s">
        <v>57</v>
      </c>
      <c r="H227" s="2" t="s">
        <v>48</v>
      </c>
      <c r="I227" s="2">
        <v>7</v>
      </c>
      <c r="J227" s="2">
        <v>7.71</v>
      </c>
      <c r="K227" s="2"/>
      <c r="L227" s="2" t="s">
        <v>102</v>
      </c>
      <c r="M227" s="2" t="s">
        <v>60</v>
      </c>
      <c r="N227" s="2" t="s">
        <v>26</v>
      </c>
      <c r="O227" s="2" t="s">
        <v>40</v>
      </c>
    </row>
    <row r="228" spans="1:15" x14ac:dyDescent="0.25">
      <c r="A228" s="2" t="s">
        <v>494</v>
      </c>
      <c r="B228" s="2" t="s">
        <v>495</v>
      </c>
      <c r="C228" s="2" t="s">
        <v>854</v>
      </c>
      <c r="D228" s="2" t="s">
        <v>31</v>
      </c>
      <c r="E228" s="2" t="s">
        <v>76</v>
      </c>
      <c r="F228" s="2" t="s">
        <v>136</v>
      </c>
      <c r="G228" s="2" t="s">
        <v>268</v>
      </c>
      <c r="H228" s="2" t="s">
        <v>48</v>
      </c>
      <c r="I228" s="2">
        <v>7</v>
      </c>
      <c r="J228" s="2" t="s">
        <v>497</v>
      </c>
      <c r="K228" s="2"/>
      <c r="L228" s="2" t="s">
        <v>260</v>
      </c>
      <c r="M228" s="2" t="s">
        <v>170</v>
      </c>
      <c r="N228" s="2" t="s">
        <v>26</v>
      </c>
      <c r="O228" s="2" t="s">
        <v>87</v>
      </c>
    </row>
    <row r="229" spans="1:15" x14ac:dyDescent="0.25">
      <c r="A229" s="2" t="s">
        <v>809</v>
      </c>
      <c r="B229" s="2" t="s">
        <v>810</v>
      </c>
      <c r="C229" s="2" t="s">
        <v>811</v>
      </c>
      <c r="D229" s="2" t="s">
        <v>18</v>
      </c>
      <c r="E229" s="2" t="s">
        <v>117</v>
      </c>
      <c r="F229" s="2" t="s">
        <v>20</v>
      </c>
      <c r="G229" s="2" t="s">
        <v>213</v>
      </c>
      <c r="H229" s="2" t="s">
        <v>200</v>
      </c>
      <c r="I229" s="2" t="s">
        <v>343</v>
      </c>
      <c r="J229" s="2">
        <v>270.25</v>
      </c>
      <c r="K229" s="2"/>
      <c r="L229" s="2" t="s">
        <v>24</v>
      </c>
      <c r="M229" s="2" t="s">
        <v>70</v>
      </c>
      <c r="N229" s="2" t="s">
        <v>50</v>
      </c>
      <c r="O229" s="2" t="s">
        <v>93</v>
      </c>
    </row>
    <row r="230" spans="1:15" x14ac:dyDescent="0.25">
      <c r="A230" s="2" t="s">
        <v>812</v>
      </c>
      <c r="B230" s="2" t="s">
        <v>813</v>
      </c>
      <c r="C230" s="2" t="s">
        <v>814</v>
      </c>
      <c r="D230" s="2" t="s">
        <v>44</v>
      </c>
      <c r="E230" s="2" t="s">
        <v>45</v>
      </c>
      <c r="F230" s="2" t="s">
        <v>235</v>
      </c>
      <c r="G230" s="2" t="s">
        <v>236</v>
      </c>
      <c r="H230" s="2" t="s">
        <v>22</v>
      </c>
      <c r="I230" s="2">
        <v>8</v>
      </c>
      <c r="J230" s="2" t="s">
        <v>815</v>
      </c>
      <c r="K230" s="2" t="s">
        <v>85</v>
      </c>
      <c r="L230" s="2" t="s">
        <v>132</v>
      </c>
      <c r="M230" s="2" t="s">
        <v>110</v>
      </c>
      <c r="N230" s="2" t="s">
        <v>71</v>
      </c>
      <c r="O230" s="2" t="s">
        <v>93</v>
      </c>
    </row>
    <row r="231" spans="1:15" x14ac:dyDescent="0.25">
      <c r="A231" s="2" t="s">
        <v>816</v>
      </c>
      <c r="B231" s="2" t="s">
        <v>817</v>
      </c>
      <c r="C231" s="2" t="s">
        <v>818</v>
      </c>
      <c r="D231" s="2" t="s">
        <v>175</v>
      </c>
      <c r="E231" s="2" t="s">
        <v>76</v>
      </c>
      <c r="F231" s="2" t="s">
        <v>99</v>
      </c>
      <c r="G231" s="2" t="s">
        <v>220</v>
      </c>
      <c r="H231" s="2" t="s">
        <v>58</v>
      </c>
      <c r="I231" s="2" t="s">
        <v>819</v>
      </c>
      <c r="J231" s="2">
        <v>42.13</v>
      </c>
      <c r="K231" s="2">
        <v>0.1</v>
      </c>
      <c r="L231" s="2" t="s">
        <v>79</v>
      </c>
      <c r="M231" s="2" t="s">
        <v>110</v>
      </c>
      <c r="N231" s="2" t="s">
        <v>50</v>
      </c>
      <c r="O231" s="2" t="s">
        <v>51</v>
      </c>
    </row>
    <row r="232" spans="1:15" x14ac:dyDescent="0.25">
      <c r="A232" s="2" t="s">
        <v>820</v>
      </c>
      <c r="B232" s="2" t="s">
        <v>821</v>
      </c>
      <c r="C232" s="2" t="s">
        <v>822</v>
      </c>
      <c r="D232" s="2" t="s">
        <v>212</v>
      </c>
      <c r="E232" s="2"/>
      <c r="F232" s="2" t="s">
        <v>184</v>
      </c>
      <c r="G232" s="2" t="s">
        <v>107</v>
      </c>
      <c r="H232" s="2" t="s">
        <v>68</v>
      </c>
      <c r="I232" s="2">
        <v>9</v>
      </c>
      <c r="J232" s="2">
        <v>270.19</v>
      </c>
      <c r="K232" s="2">
        <v>0.15</v>
      </c>
      <c r="L232" s="2" t="s">
        <v>237</v>
      </c>
      <c r="M232" s="2" t="s">
        <v>208</v>
      </c>
      <c r="N232" s="2" t="s">
        <v>39</v>
      </c>
      <c r="O232" s="2" t="s">
        <v>112</v>
      </c>
    </row>
    <row r="233" spans="1:15" x14ac:dyDescent="0.25">
      <c r="A233" s="2" t="s">
        <v>823</v>
      </c>
      <c r="B233" s="2" t="s">
        <v>252</v>
      </c>
      <c r="C233" s="2" t="s">
        <v>824</v>
      </c>
      <c r="D233" s="2" t="s">
        <v>194</v>
      </c>
      <c r="E233" s="2" t="s">
        <v>65</v>
      </c>
      <c r="F233" s="2" t="s">
        <v>235</v>
      </c>
      <c r="G233" s="2" t="s">
        <v>137</v>
      </c>
      <c r="H233" s="2" t="s">
        <v>22</v>
      </c>
      <c r="I233" s="2">
        <v>8</v>
      </c>
      <c r="J233" s="2">
        <v>390.17</v>
      </c>
      <c r="K233" s="2">
        <v>0.05</v>
      </c>
      <c r="L233" s="2" t="s">
        <v>24</v>
      </c>
      <c r="M233" s="2" t="s">
        <v>144</v>
      </c>
      <c r="N233" s="2" t="s">
        <v>26</v>
      </c>
      <c r="O233" s="2" t="s">
        <v>126</v>
      </c>
    </row>
    <row r="234" spans="1:15" x14ac:dyDescent="0.25">
      <c r="A234" s="2" t="s">
        <v>825</v>
      </c>
      <c r="B234" s="2" t="s">
        <v>826</v>
      </c>
      <c r="C234" s="2" t="s">
        <v>827</v>
      </c>
      <c r="D234" s="2" t="s">
        <v>258</v>
      </c>
      <c r="E234" s="2" t="s">
        <v>125</v>
      </c>
      <c r="F234" s="2" t="s">
        <v>83</v>
      </c>
      <c r="G234" s="2" t="s">
        <v>177</v>
      </c>
      <c r="H234" s="2" t="s">
        <v>108</v>
      </c>
      <c r="I234" s="2">
        <v>9</v>
      </c>
      <c r="J234" s="2">
        <v>301.98</v>
      </c>
      <c r="K234" s="2">
        <v>0.15</v>
      </c>
      <c r="L234" s="2" t="s">
        <v>180</v>
      </c>
      <c r="M234" s="2" t="s">
        <v>60</v>
      </c>
      <c r="N234" s="2"/>
      <c r="O234" s="2"/>
    </row>
    <row r="235" spans="1:15" x14ac:dyDescent="0.25">
      <c r="A235" s="2" t="s">
        <v>828</v>
      </c>
      <c r="B235" s="2" t="s">
        <v>751</v>
      </c>
      <c r="C235" s="2" t="s">
        <v>829</v>
      </c>
      <c r="D235" s="2" t="s">
        <v>212</v>
      </c>
      <c r="E235" s="2" t="s">
        <v>65</v>
      </c>
      <c r="F235" s="2" t="s">
        <v>33</v>
      </c>
      <c r="G235" s="2" t="s">
        <v>34</v>
      </c>
      <c r="H235" s="2" t="s">
        <v>48</v>
      </c>
      <c r="I235" s="2">
        <v>11</v>
      </c>
      <c r="J235" s="2">
        <v>40.68</v>
      </c>
      <c r="K235" s="2"/>
      <c r="L235" s="2" t="s">
        <v>143</v>
      </c>
      <c r="M235" s="2" t="s">
        <v>38</v>
      </c>
      <c r="N235" s="2" t="s">
        <v>39</v>
      </c>
      <c r="O235" s="2" t="s">
        <v>51</v>
      </c>
    </row>
    <row r="236" spans="1:15" x14ac:dyDescent="0.25">
      <c r="A236" s="2" t="s">
        <v>830</v>
      </c>
      <c r="B236" s="2" t="s">
        <v>831</v>
      </c>
      <c r="C236" s="2" t="s">
        <v>832</v>
      </c>
      <c r="D236" s="2" t="s">
        <v>97</v>
      </c>
      <c r="E236" s="2" t="s">
        <v>98</v>
      </c>
      <c r="F236" s="2" t="s">
        <v>130</v>
      </c>
      <c r="G236" s="2" t="s">
        <v>21</v>
      </c>
      <c r="H236" s="2" t="s">
        <v>22</v>
      </c>
      <c r="I236" s="2" t="s">
        <v>782</v>
      </c>
      <c r="J236" s="2">
        <v>47.26</v>
      </c>
      <c r="K236" s="2">
        <v>0.1</v>
      </c>
      <c r="L236" s="2" t="s">
        <v>237</v>
      </c>
      <c r="M236" s="2" t="s">
        <v>208</v>
      </c>
      <c r="N236" s="2" t="s">
        <v>26</v>
      </c>
      <c r="O236" s="2" t="s">
        <v>93</v>
      </c>
    </row>
    <row r="237" spans="1:15" x14ac:dyDescent="0.25">
      <c r="A237" s="2" t="s">
        <v>833</v>
      </c>
      <c r="B237" s="2" t="s">
        <v>834</v>
      </c>
      <c r="C237" s="2" t="s">
        <v>835</v>
      </c>
      <c r="D237" s="2" t="s">
        <v>212</v>
      </c>
      <c r="E237" s="2" t="s">
        <v>98</v>
      </c>
      <c r="F237" s="2" t="s">
        <v>66</v>
      </c>
      <c r="G237" s="2" t="s">
        <v>67</v>
      </c>
      <c r="H237" s="2" t="s">
        <v>108</v>
      </c>
      <c r="I237" s="2">
        <v>9</v>
      </c>
      <c r="J237" s="2">
        <v>45.89</v>
      </c>
      <c r="K237" s="2">
        <v>0.05</v>
      </c>
      <c r="L237" s="2" t="s">
        <v>102</v>
      </c>
      <c r="M237" s="2" t="s">
        <v>92</v>
      </c>
      <c r="N237" s="2" t="s">
        <v>71</v>
      </c>
      <c r="O237" s="2"/>
    </row>
    <row r="238" spans="1:15" x14ac:dyDescent="0.25">
      <c r="A238" s="2" t="s">
        <v>836</v>
      </c>
      <c r="B238" s="2" t="s">
        <v>428</v>
      </c>
      <c r="C238" s="2" t="s">
        <v>837</v>
      </c>
      <c r="D238" s="2" t="s">
        <v>152</v>
      </c>
      <c r="E238" s="2" t="s">
        <v>19</v>
      </c>
      <c r="F238" s="2" t="s">
        <v>136</v>
      </c>
      <c r="G238" s="2" t="s">
        <v>318</v>
      </c>
      <c r="H238" s="2" t="s">
        <v>68</v>
      </c>
      <c r="I238" s="2">
        <v>12</v>
      </c>
      <c r="J238" s="2">
        <v>151.04</v>
      </c>
      <c r="K238" s="2"/>
      <c r="L238" s="2" t="s">
        <v>79</v>
      </c>
      <c r="M238" s="2" t="s">
        <v>158</v>
      </c>
      <c r="N238" s="2" t="s">
        <v>50</v>
      </c>
      <c r="O238" s="2"/>
    </row>
    <row r="239" spans="1:15" x14ac:dyDescent="0.25">
      <c r="A239" s="2" t="s">
        <v>838</v>
      </c>
      <c r="B239" s="2" t="s">
        <v>839</v>
      </c>
      <c r="C239" s="2" t="s">
        <v>840</v>
      </c>
      <c r="D239" s="2" t="s">
        <v>334</v>
      </c>
      <c r="E239" s="2" t="s">
        <v>125</v>
      </c>
      <c r="F239" s="2" t="s">
        <v>66</v>
      </c>
      <c r="G239" s="2" t="s">
        <v>67</v>
      </c>
      <c r="H239" s="2" t="s">
        <v>58</v>
      </c>
      <c r="I239" s="2">
        <v>11</v>
      </c>
      <c r="J239" s="2">
        <v>361.68</v>
      </c>
      <c r="K239" s="2"/>
      <c r="L239" s="2" t="s">
        <v>102</v>
      </c>
      <c r="M239" s="2" t="s">
        <v>110</v>
      </c>
      <c r="N239" s="2" t="s">
        <v>39</v>
      </c>
      <c r="O239" s="2" t="s">
        <v>112</v>
      </c>
    </row>
    <row r="240" spans="1:15" x14ac:dyDescent="0.25">
      <c r="A240" s="2" t="s">
        <v>841</v>
      </c>
      <c r="B240" s="2" t="s">
        <v>842</v>
      </c>
      <c r="C240" s="2" t="s">
        <v>843</v>
      </c>
      <c r="D240" s="2" t="s">
        <v>194</v>
      </c>
      <c r="E240" s="2"/>
      <c r="F240" s="2" t="s">
        <v>20</v>
      </c>
      <c r="G240" s="2" t="s">
        <v>213</v>
      </c>
      <c r="H240" s="2" t="s">
        <v>22</v>
      </c>
      <c r="I240" s="2">
        <v>5</v>
      </c>
      <c r="J240" s="2">
        <v>15.02</v>
      </c>
      <c r="K240" s="2"/>
      <c r="L240" s="2" t="s">
        <v>260</v>
      </c>
      <c r="M240" s="2" t="s">
        <v>38</v>
      </c>
      <c r="N240" s="2"/>
      <c r="O240" s="2" t="s">
        <v>40</v>
      </c>
    </row>
    <row r="241" spans="1:15" x14ac:dyDescent="0.25">
      <c r="A241" s="2" t="s">
        <v>381</v>
      </c>
      <c r="B241" s="2" t="s">
        <v>95</v>
      </c>
      <c r="C241" s="2" t="s">
        <v>844</v>
      </c>
      <c r="D241" s="2" t="s">
        <v>18</v>
      </c>
      <c r="E241" s="2" t="s">
        <v>19</v>
      </c>
      <c r="F241" s="2" t="s">
        <v>46</v>
      </c>
      <c r="G241" s="2" t="s">
        <v>47</v>
      </c>
      <c r="H241" s="2" t="s">
        <v>22</v>
      </c>
      <c r="I241" s="2">
        <v>8</v>
      </c>
      <c r="J241" s="2">
        <v>258.02999999999997</v>
      </c>
      <c r="K241" s="2">
        <v>0.05</v>
      </c>
      <c r="L241" s="2" t="s">
        <v>132</v>
      </c>
      <c r="M241" s="2" t="s">
        <v>60</v>
      </c>
      <c r="N241" s="2" t="s">
        <v>71</v>
      </c>
      <c r="O241" s="2"/>
    </row>
    <row r="242" spans="1:15" x14ac:dyDescent="0.25">
      <c r="A242" s="2" t="s">
        <v>845</v>
      </c>
      <c r="B242" s="2" t="s">
        <v>846</v>
      </c>
      <c r="C242" s="2" t="s">
        <v>847</v>
      </c>
      <c r="D242" s="2" t="s">
        <v>55</v>
      </c>
      <c r="E242" s="2" t="s">
        <v>199</v>
      </c>
      <c r="F242" s="2" t="s">
        <v>106</v>
      </c>
      <c r="G242" s="2" t="s">
        <v>323</v>
      </c>
      <c r="H242" s="2" t="s">
        <v>68</v>
      </c>
      <c r="I242" s="2">
        <v>3</v>
      </c>
      <c r="J242" s="2">
        <v>327.5</v>
      </c>
      <c r="K242" s="2"/>
      <c r="L242" s="2" t="s">
        <v>79</v>
      </c>
      <c r="M242" s="2" t="s">
        <v>165</v>
      </c>
      <c r="N242" s="2"/>
      <c r="O242" s="2" t="s">
        <v>87</v>
      </c>
    </row>
    <row r="243" spans="1:15" x14ac:dyDescent="0.25">
      <c r="A243" s="2" t="s">
        <v>848</v>
      </c>
      <c r="B243" s="2" t="s">
        <v>699</v>
      </c>
      <c r="C243" s="2" t="s">
        <v>849</v>
      </c>
      <c r="D243" s="2" t="s">
        <v>97</v>
      </c>
      <c r="E243" s="2" t="s">
        <v>65</v>
      </c>
      <c r="F243" s="2" t="s">
        <v>33</v>
      </c>
      <c r="G243" s="2" t="s">
        <v>34</v>
      </c>
      <c r="H243" s="2" t="s">
        <v>178</v>
      </c>
      <c r="I243" s="2" t="s">
        <v>360</v>
      </c>
      <c r="J243" s="2" t="s">
        <v>850</v>
      </c>
      <c r="K243" s="2">
        <v>0.05</v>
      </c>
      <c r="L243" s="2" t="s">
        <v>132</v>
      </c>
      <c r="M243" s="2" t="s">
        <v>60</v>
      </c>
      <c r="N243" s="2"/>
      <c r="O243" s="2" t="s">
        <v>87</v>
      </c>
    </row>
    <row r="244" spans="1:15" x14ac:dyDescent="0.25">
      <c r="A244" s="2" t="s">
        <v>851</v>
      </c>
      <c r="B244" s="2" t="s">
        <v>852</v>
      </c>
      <c r="C244" s="2" t="s">
        <v>853</v>
      </c>
      <c r="D244" s="2" t="s">
        <v>18</v>
      </c>
      <c r="E244" s="2" t="s">
        <v>19</v>
      </c>
      <c r="F244" s="2" t="s">
        <v>91</v>
      </c>
      <c r="G244" s="2" t="s">
        <v>164</v>
      </c>
      <c r="H244" s="2" t="s">
        <v>48</v>
      </c>
      <c r="I244" s="2">
        <v>7</v>
      </c>
      <c r="J244" s="2">
        <v>279.39</v>
      </c>
      <c r="K244" s="2">
        <v>0.15</v>
      </c>
      <c r="L244" s="2" t="s">
        <v>237</v>
      </c>
      <c r="M244" s="2" t="s">
        <v>110</v>
      </c>
      <c r="N244" s="2"/>
      <c r="O244" s="2" t="s">
        <v>87</v>
      </c>
    </row>
    <row r="245" spans="1:15" x14ac:dyDescent="0.25">
      <c r="A245" s="2" t="s">
        <v>593</v>
      </c>
      <c r="B245" s="2" t="s">
        <v>594</v>
      </c>
      <c r="C245" s="2" t="s">
        <v>595</v>
      </c>
      <c r="D245" s="2" t="s">
        <v>258</v>
      </c>
      <c r="E245" s="2" t="s">
        <v>45</v>
      </c>
      <c r="F245" s="2" t="s">
        <v>77</v>
      </c>
      <c r="G245" s="2" t="s">
        <v>236</v>
      </c>
      <c r="H245" s="2" t="s">
        <v>108</v>
      </c>
      <c r="I245" s="2">
        <v>11</v>
      </c>
      <c r="J245" s="2" t="s">
        <v>596</v>
      </c>
      <c r="K245" s="2">
        <v>0.05</v>
      </c>
      <c r="L245" s="2" t="s">
        <v>79</v>
      </c>
      <c r="M245" s="2" t="s">
        <v>201</v>
      </c>
      <c r="N245" s="2" t="s">
        <v>39</v>
      </c>
      <c r="O245" s="2" t="s">
        <v>126</v>
      </c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8"/>
      <c r="K246" s="2"/>
      <c r="L246" s="2"/>
      <c r="M246" s="2"/>
      <c r="N246" s="2"/>
      <c r="O246" s="2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389AD6-4C59-451D-9F13-28A56CD2A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tblOrders</vt:lpstr>
      <vt:lpstr>RegionTargets</vt:lpstr>
      <vt:lpstr>NewOrders</vt:lpstr>
      <vt:lpstr>tblOrders_1</vt:lpstr>
      <vt:lpstr>Cleaned_Output</vt:lpstr>
      <vt:lpstr>WideSummary</vt:lpstr>
      <vt:lpstr>Orders_Raw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ptcl</cp:lastModifiedBy>
  <dcterms:created xsi:type="dcterms:W3CDTF">2026-08-08T08:41:35Z</dcterms:created>
  <dcterms:modified xsi:type="dcterms:W3CDTF">2026-09-03T22:48:39Z</dcterms:modified>
</cp:coreProperties>
</file>