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tcl\Desktop\DA Portfolio\"/>
    </mc:Choice>
  </mc:AlternateContent>
  <xr:revisionPtr revIDLastSave="0" documentId="13_ncr:1_{27B91E14-0DE7-4D3D-96F4-11FB078BE383}" xr6:coauthVersionLast="47" xr6:coauthVersionMax="47" xr10:uidLastSave="{00000000-0000-0000-0000-000000000000}"/>
  <bookViews>
    <workbookView xWindow="-120" yWindow="-120" windowWidth="20730" windowHeight="11040" firstSheet="12" activeTab="13" xr2:uid="{00000000-000D-0000-FFFF-FFFF00000000}"/>
  </bookViews>
  <sheets>
    <sheet name="Sheet2" sheetId="5" state="hidden" r:id="rId1"/>
    <sheet name="Pivot_RevenueByCategory" sheetId="4" r:id="rId2"/>
    <sheet name="Pivot_RegionSummary" sheetId="6" r:id="rId3"/>
    <sheet name="Pivot_PaymentMethod" sheetId="7" r:id="rId4"/>
    <sheet name="Pivot_MonthlyTrend" sheetId="8" r:id="rId5"/>
    <sheet name="Sparklines_Practice" sheetId="14" r:id="rId6"/>
    <sheet name="Pivot_AvgDiscount" sheetId="9" r:id="rId7"/>
    <sheet name="Pivot_SalesRepCount" sheetId="10" r:id="rId8"/>
    <sheet name="Pivot_RegionCategory" sheetId="11" r:id="rId9"/>
    <sheet name="Sheet1" sheetId="12" r:id="rId10"/>
    <sheet name="Pivot_SalesRepRevenue" sheetId="15" r:id="rId11"/>
    <sheet name="Pivot_StatusCount" sheetId="16" r:id="rId12"/>
    <sheet name="Pivot_RevenueDiscount" sheetId="17" r:id="rId13"/>
    <sheet name="Category_Sparklines" sheetId="18" r:id="rId14"/>
    <sheet name="Orders_Raw" sheetId="1" r:id="rId15"/>
    <sheet name="Analysis" sheetId="2" r:id="rId16"/>
    <sheet name="Formulas_Practice" sheetId="3" r:id="rId17"/>
  </sheets>
  <definedNames>
    <definedName name="_xlcn.WorksheetConnection_Orders_Working.xlsxtblOrders1" hidden="1">tblOrders[]</definedName>
    <definedName name="ExternalData_1" localSheetId="0" hidden="1">Sheet2!$A$3:$AH$52</definedName>
  </definedNames>
  <calcPr calcId="191029"/>
  <pivotCaches>
    <pivotCache cacheId="16" r:id="rId18"/>
    <pivotCache cacheId="30" r:id="rId19"/>
  </pivotCaches>
  <extLst>
    <ext xmlns:x15="http://schemas.microsoft.com/office/spreadsheetml/2010/11/main" uri="{FCE2AD5D-F65C-4FA6-A056-5C36A1767C68}">
      <x15:dataModel>
        <x15:modelTables>
          <x15:modelTable id="tblOrders" name="tblOrders" connection="WorksheetConnection_Orders_Working.xlsx!tblOrd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8" l="1"/>
  <c r="C3" i="18"/>
  <c r="D3" i="18"/>
  <c r="E3" i="18"/>
  <c r="F3" i="18"/>
  <c r="G3" i="18"/>
  <c r="H3" i="18"/>
  <c r="I3" i="18"/>
  <c r="J3" i="18"/>
  <c r="K3" i="18"/>
  <c r="L3" i="18"/>
  <c r="M3" i="18"/>
  <c r="B4" i="18"/>
  <c r="C4" i="18"/>
  <c r="D4" i="18"/>
  <c r="E4" i="18"/>
  <c r="F4" i="18"/>
  <c r="G4" i="18"/>
  <c r="H4" i="18"/>
  <c r="I4" i="18"/>
  <c r="J4" i="18"/>
  <c r="K4" i="18"/>
  <c r="L4" i="18"/>
  <c r="M4" i="18"/>
  <c r="B5" i="18"/>
  <c r="C5" i="18"/>
  <c r="D5" i="18"/>
  <c r="E5" i="18"/>
  <c r="F5" i="18"/>
  <c r="G5" i="18"/>
  <c r="H5" i="18"/>
  <c r="I5" i="18"/>
  <c r="J5" i="18"/>
  <c r="K5" i="18"/>
  <c r="L5" i="18"/>
  <c r="M5" i="18"/>
  <c r="B6" i="18"/>
  <c r="C6" i="18"/>
  <c r="D6" i="18"/>
  <c r="E6" i="18"/>
  <c r="F6" i="18"/>
  <c r="G6" i="18"/>
  <c r="H6" i="18"/>
  <c r="I6" i="18"/>
  <c r="J6" i="18"/>
  <c r="K6" i="18"/>
  <c r="L6" i="18"/>
  <c r="M6" i="18"/>
  <c r="C2" i="18"/>
  <c r="D2" i="18"/>
  <c r="E2" i="18"/>
  <c r="F2" i="18"/>
  <c r="G2" i="18"/>
  <c r="H2" i="18"/>
  <c r="I2" i="18"/>
  <c r="J2" i="18"/>
  <c r="K2" i="18"/>
  <c r="L2" i="18"/>
  <c r="M2" i="18"/>
  <c r="B2" i="18"/>
  <c r="B3" i="14"/>
  <c r="C3" i="14"/>
  <c r="D3" i="14"/>
  <c r="E3" i="14"/>
  <c r="F3" i="14"/>
  <c r="G3" i="14"/>
  <c r="H3" i="14"/>
  <c r="I3" i="14"/>
  <c r="J3" i="14"/>
  <c r="K3" i="14"/>
  <c r="L3" i="14"/>
  <c r="M3" i="14"/>
  <c r="B4" i="14"/>
  <c r="C4" i="14"/>
  <c r="D4" i="14"/>
  <c r="E4" i="14"/>
  <c r="F4" i="14"/>
  <c r="G4" i="14"/>
  <c r="H4" i="14"/>
  <c r="I4" i="14"/>
  <c r="J4" i="14"/>
  <c r="K4" i="14"/>
  <c r="L4" i="14"/>
  <c r="M4" i="14"/>
  <c r="B5" i="14"/>
  <c r="C5" i="14"/>
  <c r="D5" i="14"/>
  <c r="E5" i="14"/>
  <c r="F5" i="14"/>
  <c r="G5" i="14"/>
  <c r="H5" i="14"/>
  <c r="I5" i="14"/>
  <c r="J5" i="14"/>
  <c r="K5" i="14"/>
  <c r="L5" i="14"/>
  <c r="M5" i="14"/>
  <c r="B6" i="14"/>
  <c r="C6" i="14"/>
  <c r="D6" i="14"/>
  <c r="E6" i="14"/>
  <c r="F6" i="14"/>
  <c r="G6" i="14"/>
  <c r="H6" i="14"/>
  <c r="I6" i="14"/>
  <c r="J6" i="14"/>
  <c r="K6" i="14"/>
  <c r="L6" i="14"/>
  <c r="M6" i="14"/>
  <c r="C2" i="14"/>
  <c r="D2" i="14"/>
  <c r="E2" i="14"/>
  <c r="F2" i="14"/>
  <c r="G2" i="14"/>
  <c r="H2" i="14"/>
  <c r="I2" i="14"/>
  <c r="J2" i="14"/>
  <c r="K2" i="14"/>
  <c r="L2" i="14"/>
  <c r="M2" i="14"/>
  <c r="B2" i="14"/>
  <c r="A2" i="14" a="1"/>
  <c r="A2" i="14" s="1"/>
  <c r="H152" i="3" a="1"/>
  <c r="H152" i="3" s="1"/>
  <c r="D23" i="3"/>
  <c r="D21" i="3"/>
  <c r="E19" i="3"/>
  <c r="D19" i="3"/>
  <c r="P223" i="1"/>
  <c r="P22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F10" i="3" a="1"/>
  <c r="F10" i="3" s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D4" i="3"/>
  <c r="G3" i="3"/>
  <c r="G2" i="3"/>
  <c r="G4" i="3"/>
  <c r="A12" i="3"/>
  <c r="A11" i="3"/>
  <c r="A10" i="3"/>
  <c r="A9" i="3"/>
  <c r="D3" i="3"/>
  <c r="D2" i="3" a="1"/>
  <c r="D2" i="3" s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X2" i="1"/>
  <c r="AE2" i="1" s="1"/>
  <c r="X3" i="1"/>
  <c r="AE3" i="1" s="1"/>
  <c r="X4" i="1"/>
  <c r="AE4" i="1" s="1"/>
  <c r="X5" i="1"/>
  <c r="AE5" i="1" s="1"/>
  <c r="X6" i="1"/>
  <c r="AE6" i="1" s="1"/>
  <c r="X7" i="1"/>
  <c r="AE7" i="1" s="1"/>
  <c r="X8" i="1"/>
  <c r="AF8" i="1" s="1"/>
  <c r="X9" i="1"/>
  <c r="AE9" i="1" s="1"/>
  <c r="X10" i="1"/>
  <c r="AE10" i="1" s="1"/>
  <c r="X11" i="1"/>
  <c r="AE11" i="1" s="1"/>
  <c r="X12" i="1"/>
  <c r="AE12" i="1" s="1"/>
  <c r="X13" i="1"/>
  <c r="AE13" i="1" s="1"/>
  <c r="X14" i="1"/>
  <c r="AE14" i="1" s="1"/>
  <c r="X15" i="1"/>
  <c r="AE15" i="1" s="1"/>
  <c r="X16" i="1"/>
  <c r="AF16" i="1" s="1"/>
  <c r="X17" i="1"/>
  <c r="AE17" i="1" s="1"/>
  <c r="X18" i="1"/>
  <c r="AE18" i="1" s="1"/>
  <c r="X19" i="1"/>
  <c r="AE19" i="1" s="1"/>
  <c r="X20" i="1"/>
  <c r="AE20" i="1" s="1"/>
  <c r="X21" i="1"/>
  <c r="AE21" i="1" s="1"/>
  <c r="X22" i="1"/>
  <c r="AE22" i="1" s="1"/>
  <c r="X23" i="1"/>
  <c r="AE23" i="1" s="1"/>
  <c r="X24" i="1"/>
  <c r="AE24" i="1" s="1"/>
  <c r="X25" i="1"/>
  <c r="AE25" i="1" s="1"/>
  <c r="X26" i="1"/>
  <c r="AE26" i="1" s="1"/>
  <c r="X27" i="1"/>
  <c r="AE27" i="1" s="1"/>
  <c r="X28" i="1"/>
  <c r="AE28" i="1" s="1"/>
  <c r="X29" i="1"/>
  <c r="AE29" i="1" s="1"/>
  <c r="X30" i="1"/>
  <c r="AE30" i="1" s="1"/>
  <c r="X31" i="1"/>
  <c r="AE31" i="1" s="1"/>
  <c r="X32" i="1"/>
  <c r="AE32" i="1" s="1"/>
  <c r="X33" i="1"/>
  <c r="AE33" i="1" s="1"/>
  <c r="X34" i="1"/>
  <c r="AE34" i="1" s="1"/>
  <c r="X35" i="1"/>
  <c r="AE35" i="1" s="1"/>
  <c r="X36" i="1"/>
  <c r="AE36" i="1" s="1"/>
  <c r="X37" i="1"/>
  <c r="AE37" i="1" s="1"/>
  <c r="X38" i="1"/>
  <c r="AE38" i="1" s="1"/>
  <c r="X39" i="1"/>
  <c r="AE39" i="1" s="1"/>
  <c r="X40" i="1"/>
  <c r="AE40" i="1" s="1"/>
  <c r="X41" i="1"/>
  <c r="AE41" i="1" s="1"/>
  <c r="X42" i="1"/>
  <c r="AE42" i="1" s="1"/>
  <c r="X43" i="1"/>
  <c r="AE43" i="1" s="1"/>
  <c r="X44" i="1"/>
  <c r="AE44" i="1" s="1"/>
  <c r="X45" i="1"/>
  <c r="AE45" i="1" s="1"/>
  <c r="X46" i="1"/>
  <c r="AE46" i="1" s="1"/>
  <c r="X47" i="1"/>
  <c r="AE47" i="1" s="1"/>
  <c r="X48" i="1"/>
  <c r="AE48" i="1" s="1"/>
  <c r="X49" i="1"/>
  <c r="AE49" i="1" s="1"/>
  <c r="X50" i="1"/>
  <c r="AE50" i="1" s="1"/>
  <c r="X51" i="1"/>
  <c r="AE51" i="1" s="1"/>
  <c r="X52" i="1"/>
  <c r="AE52" i="1" s="1"/>
  <c r="X53" i="1"/>
  <c r="AE53" i="1" s="1"/>
  <c r="X54" i="1"/>
  <c r="AE54" i="1" s="1"/>
  <c r="X55" i="1"/>
  <c r="AE55" i="1" s="1"/>
  <c r="X56" i="1"/>
  <c r="AE56" i="1" s="1"/>
  <c r="X57" i="1"/>
  <c r="AE57" i="1" s="1"/>
  <c r="X58" i="1"/>
  <c r="AE58" i="1" s="1"/>
  <c r="X59" i="1"/>
  <c r="AE59" i="1" s="1"/>
  <c r="X60" i="1"/>
  <c r="AE60" i="1" s="1"/>
  <c r="X61" i="1"/>
  <c r="AE61" i="1" s="1"/>
  <c r="X62" i="1"/>
  <c r="AE62" i="1" s="1"/>
  <c r="X63" i="1"/>
  <c r="AE63" i="1" s="1"/>
  <c r="X64" i="1"/>
  <c r="AE64" i="1" s="1"/>
  <c r="X65" i="1"/>
  <c r="AE65" i="1" s="1"/>
  <c r="X66" i="1"/>
  <c r="AE66" i="1" s="1"/>
  <c r="X67" i="1"/>
  <c r="AE67" i="1" s="1"/>
  <c r="X68" i="1"/>
  <c r="AE68" i="1" s="1"/>
  <c r="X69" i="1"/>
  <c r="AE69" i="1" s="1"/>
  <c r="X70" i="1"/>
  <c r="AE70" i="1" s="1"/>
  <c r="X71" i="1"/>
  <c r="AE71" i="1" s="1"/>
  <c r="X72" i="1"/>
  <c r="AF72" i="1" s="1"/>
  <c r="X73" i="1"/>
  <c r="AE73" i="1" s="1"/>
  <c r="X74" i="1"/>
  <c r="AE74" i="1" s="1"/>
  <c r="X75" i="1"/>
  <c r="AE75" i="1" s="1"/>
  <c r="X76" i="1"/>
  <c r="AE76" i="1" s="1"/>
  <c r="X77" i="1"/>
  <c r="AE77" i="1" s="1"/>
  <c r="X78" i="1"/>
  <c r="AE78" i="1" s="1"/>
  <c r="X79" i="1"/>
  <c r="AE79" i="1" s="1"/>
  <c r="X80" i="1"/>
  <c r="AF80" i="1" s="1"/>
  <c r="X81" i="1"/>
  <c r="AE81" i="1" s="1"/>
  <c r="X82" i="1"/>
  <c r="AE82" i="1" s="1"/>
  <c r="X83" i="1"/>
  <c r="AE83" i="1" s="1"/>
  <c r="X84" i="1"/>
  <c r="AE84" i="1" s="1"/>
  <c r="X85" i="1"/>
  <c r="AE85" i="1" s="1"/>
  <c r="X86" i="1"/>
  <c r="AE86" i="1" s="1"/>
  <c r="X87" i="1"/>
  <c r="AE87" i="1" s="1"/>
  <c r="X88" i="1"/>
  <c r="AE88" i="1" s="1"/>
  <c r="X89" i="1"/>
  <c r="AE89" i="1" s="1"/>
  <c r="X90" i="1"/>
  <c r="AE90" i="1" s="1"/>
  <c r="X91" i="1"/>
  <c r="AE91" i="1" s="1"/>
  <c r="X92" i="1"/>
  <c r="AE92" i="1" s="1"/>
  <c r="X93" i="1"/>
  <c r="AE93" i="1" s="1"/>
  <c r="X94" i="1"/>
  <c r="AE94" i="1" s="1"/>
  <c r="X95" i="1"/>
  <c r="AE95" i="1" s="1"/>
  <c r="X96" i="1"/>
  <c r="AE96" i="1" s="1"/>
  <c r="X97" i="1"/>
  <c r="AE97" i="1" s="1"/>
  <c r="X98" i="1"/>
  <c r="AE98" i="1" s="1"/>
  <c r="X99" i="1"/>
  <c r="AE99" i="1" s="1"/>
  <c r="X100" i="1"/>
  <c r="AE100" i="1" s="1"/>
  <c r="X101" i="1"/>
  <c r="AE101" i="1" s="1"/>
  <c r="X102" i="1"/>
  <c r="AE102" i="1" s="1"/>
  <c r="X103" i="1"/>
  <c r="AE103" i="1" s="1"/>
  <c r="X104" i="1"/>
  <c r="AE104" i="1" s="1"/>
  <c r="X105" i="1"/>
  <c r="AE105" i="1" s="1"/>
  <c r="X106" i="1"/>
  <c r="AE106" i="1" s="1"/>
  <c r="X107" i="1"/>
  <c r="AE107" i="1" s="1"/>
  <c r="X108" i="1"/>
  <c r="AE108" i="1" s="1"/>
  <c r="X109" i="1"/>
  <c r="AE109" i="1" s="1"/>
  <c r="X110" i="1"/>
  <c r="AE110" i="1" s="1"/>
  <c r="X111" i="1"/>
  <c r="AE111" i="1" s="1"/>
  <c r="X112" i="1"/>
  <c r="AE112" i="1" s="1"/>
  <c r="X113" i="1"/>
  <c r="AE113" i="1" s="1"/>
  <c r="X114" i="1"/>
  <c r="AE114" i="1" s="1"/>
  <c r="X115" i="1"/>
  <c r="AE115" i="1" s="1"/>
  <c r="X116" i="1"/>
  <c r="AE116" i="1" s="1"/>
  <c r="X117" i="1"/>
  <c r="AE117" i="1" s="1"/>
  <c r="X118" i="1"/>
  <c r="AE118" i="1" s="1"/>
  <c r="X119" i="1"/>
  <c r="AE119" i="1" s="1"/>
  <c r="X120" i="1"/>
  <c r="AE120" i="1" s="1"/>
  <c r="X121" i="1"/>
  <c r="AE121" i="1" s="1"/>
  <c r="X122" i="1"/>
  <c r="AE122" i="1" s="1"/>
  <c r="X123" i="1"/>
  <c r="AE123" i="1" s="1"/>
  <c r="X124" i="1"/>
  <c r="AE124" i="1" s="1"/>
  <c r="X125" i="1"/>
  <c r="AE125" i="1" s="1"/>
  <c r="X126" i="1"/>
  <c r="AE126" i="1" s="1"/>
  <c r="X127" i="1"/>
  <c r="AE127" i="1" s="1"/>
  <c r="X128" i="1"/>
  <c r="AE128" i="1" s="1"/>
  <c r="X129" i="1"/>
  <c r="AE129" i="1" s="1"/>
  <c r="X130" i="1"/>
  <c r="AE130" i="1" s="1"/>
  <c r="X131" i="1"/>
  <c r="AE131" i="1" s="1"/>
  <c r="X132" i="1"/>
  <c r="AE132" i="1" s="1"/>
  <c r="X133" i="1"/>
  <c r="AE133" i="1" s="1"/>
  <c r="X134" i="1"/>
  <c r="AE134" i="1" s="1"/>
  <c r="X135" i="1"/>
  <c r="AE135" i="1" s="1"/>
  <c r="X136" i="1"/>
  <c r="AF136" i="1" s="1"/>
  <c r="X137" i="1"/>
  <c r="AE137" i="1" s="1"/>
  <c r="X138" i="1"/>
  <c r="AE138" i="1" s="1"/>
  <c r="X139" i="1"/>
  <c r="AE139" i="1" s="1"/>
  <c r="X140" i="1"/>
  <c r="AE140" i="1" s="1"/>
  <c r="X141" i="1"/>
  <c r="AE141" i="1" s="1"/>
  <c r="X142" i="1"/>
  <c r="AE142" i="1" s="1"/>
  <c r="X143" i="1"/>
  <c r="AE143" i="1" s="1"/>
  <c r="X144" i="1"/>
  <c r="AF144" i="1" s="1"/>
  <c r="X145" i="1"/>
  <c r="AE145" i="1" s="1"/>
  <c r="X146" i="1"/>
  <c r="AE146" i="1" s="1"/>
  <c r="X147" i="1"/>
  <c r="AE147" i="1" s="1"/>
  <c r="X148" i="1"/>
  <c r="AE148" i="1" s="1"/>
  <c r="X149" i="1"/>
  <c r="AE149" i="1" s="1"/>
  <c r="X150" i="1"/>
  <c r="AE150" i="1" s="1"/>
  <c r="X151" i="1"/>
  <c r="AE151" i="1" s="1"/>
  <c r="X152" i="1"/>
  <c r="AE152" i="1" s="1"/>
  <c r="X153" i="1"/>
  <c r="AE153" i="1" s="1"/>
  <c r="X154" i="1"/>
  <c r="AE154" i="1" s="1"/>
  <c r="X155" i="1"/>
  <c r="AE155" i="1" s="1"/>
  <c r="X156" i="1"/>
  <c r="AE156" i="1" s="1"/>
  <c r="X157" i="1"/>
  <c r="AE157" i="1" s="1"/>
  <c r="X158" i="1"/>
  <c r="AE158" i="1" s="1"/>
  <c r="X159" i="1"/>
  <c r="AE159" i="1" s="1"/>
  <c r="X160" i="1"/>
  <c r="AE160" i="1" s="1"/>
  <c r="X161" i="1"/>
  <c r="AE161" i="1" s="1"/>
  <c r="X162" i="1"/>
  <c r="AE162" i="1" s="1"/>
  <c r="X163" i="1"/>
  <c r="AE163" i="1" s="1"/>
  <c r="X164" i="1"/>
  <c r="AE164" i="1" s="1"/>
  <c r="X165" i="1"/>
  <c r="AE165" i="1" s="1"/>
  <c r="X166" i="1"/>
  <c r="AE166" i="1" s="1"/>
  <c r="X167" i="1"/>
  <c r="AE167" i="1" s="1"/>
  <c r="X168" i="1"/>
  <c r="AE168" i="1" s="1"/>
  <c r="X169" i="1"/>
  <c r="AE169" i="1" s="1"/>
  <c r="X170" i="1"/>
  <c r="AE170" i="1" s="1"/>
  <c r="X171" i="1"/>
  <c r="AE171" i="1" s="1"/>
  <c r="X172" i="1"/>
  <c r="AE172" i="1" s="1"/>
  <c r="X173" i="1"/>
  <c r="AE173" i="1" s="1"/>
  <c r="X174" i="1"/>
  <c r="AE174" i="1" s="1"/>
  <c r="X175" i="1"/>
  <c r="AE175" i="1" s="1"/>
  <c r="X176" i="1"/>
  <c r="AE176" i="1" s="1"/>
  <c r="X177" i="1"/>
  <c r="AE177" i="1" s="1"/>
  <c r="X178" i="1"/>
  <c r="AE178" i="1" s="1"/>
  <c r="X179" i="1"/>
  <c r="AE179" i="1" s="1"/>
  <c r="X180" i="1"/>
  <c r="AE180" i="1" s="1"/>
  <c r="X181" i="1"/>
  <c r="AE181" i="1" s="1"/>
  <c r="X182" i="1"/>
  <c r="AE182" i="1" s="1"/>
  <c r="X183" i="1"/>
  <c r="AE183" i="1" s="1"/>
  <c r="X184" i="1"/>
  <c r="AE184" i="1" s="1"/>
  <c r="X185" i="1"/>
  <c r="AE185" i="1" s="1"/>
  <c r="X186" i="1"/>
  <c r="AE186" i="1" s="1"/>
  <c r="X187" i="1"/>
  <c r="AE187" i="1" s="1"/>
  <c r="X188" i="1"/>
  <c r="AE188" i="1" s="1"/>
  <c r="X189" i="1"/>
  <c r="AE189" i="1" s="1"/>
  <c r="X190" i="1"/>
  <c r="AE190" i="1" s="1"/>
  <c r="X191" i="1"/>
  <c r="AE191" i="1" s="1"/>
  <c r="X192" i="1"/>
  <c r="AE192" i="1" s="1"/>
  <c r="X193" i="1"/>
  <c r="AE193" i="1" s="1"/>
  <c r="X194" i="1"/>
  <c r="AE194" i="1" s="1"/>
  <c r="X195" i="1"/>
  <c r="AE195" i="1" s="1"/>
  <c r="X196" i="1"/>
  <c r="AE196" i="1" s="1"/>
  <c r="X197" i="1"/>
  <c r="AE197" i="1" s="1"/>
  <c r="X198" i="1"/>
  <c r="AE198" i="1" s="1"/>
  <c r="X199" i="1"/>
  <c r="AE199" i="1" s="1"/>
  <c r="X200" i="1"/>
  <c r="AF200" i="1" s="1"/>
  <c r="X201" i="1"/>
  <c r="AE201" i="1" s="1"/>
  <c r="X202" i="1"/>
  <c r="AE202" i="1" s="1"/>
  <c r="X203" i="1"/>
  <c r="AE203" i="1" s="1"/>
  <c r="X204" i="1"/>
  <c r="AE204" i="1" s="1"/>
  <c r="X205" i="1"/>
  <c r="AE205" i="1" s="1"/>
  <c r="X206" i="1"/>
  <c r="AE206" i="1" s="1"/>
  <c r="X207" i="1"/>
  <c r="AE207" i="1" s="1"/>
  <c r="X208" i="1"/>
  <c r="AF208" i="1" s="1"/>
  <c r="X209" i="1"/>
  <c r="AE209" i="1" s="1"/>
  <c r="X210" i="1"/>
  <c r="AE210" i="1" s="1"/>
  <c r="X211" i="1"/>
  <c r="AE211" i="1" s="1"/>
  <c r="X212" i="1"/>
  <c r="AE212" i="1" s="1"/>
  <c r="X213" i="1"/>
  <c r="AE213" i="1" s="1"/>
  <c r="X214" i="1"/>
  <c r="AE214" i="1" s="1"/>
  <c r="X215" i="1"/>
  <c r="AE215" i="1" s="1"/>
  <c r="X216" i="1"/>
  <c r="AE216" i="1" s="1"/>
  <c r="X217" i="1"/>
  <c r="AE217" i="1" s="1"/>
  <c r="X218" i="1"/>
  <c r="AE218" i="1" s="1"/>
  <c r="X219" i="1"/>
  <c r="AE219" i="1" s="1"/>
  <c r="X220" i="1"/>
  <c r="AE220" i="1" s="1"/>
  <c r="X221" i="1"/>
  <c r="AE221" i="1" s="1"/>
  <c r="X222" i="1"/>
  <c r="AE222" i="1" s="1"/>
  <c r="X223" i="1"/>
  <c r="AE223" i="1" s="1"/>
  <c r="X224" i="1"/>
  <c r="AE224" i="1" s="1"/>
  <c r="X225" i="1"/>
  <c r="AE225" i="1" s="1"/>
  <c r="X226" i="1"/>
  <c r="AE226" i="1" s="1"/>
  <c r="X227" i="1"/>
  <c r="AE227" i="1" s="1"/>
  <c r="X228" i="1"/>
  <c r="AE228" i="1" s="1"/>
  <c r="X229" i="1"/>
  <c r="AE229" i="1" s="1"/>
  <c r="X230" i="1"/>
  <c r="AE230" i="1" s="1"/>
  <c r="X231" i="1"/>
  <c r="AE231" i="1" s="1"/>
  <c r="X232" i="1"/>
  <c r="AE232" i="1" s="1"/>
  <c r="X233" i="1"/>
  <c r="AE233" i="1" s="1"/>
  <c r="X234" i="1"/>
  <c r="AE234" i="1" s="1"/>
  <c r="X235" i="1"/>
  <c r="AE235" i="1" s="1"/>
  <c r="X236" i="1"/>
  <c r="AE236" i="1" s="1"/>
  <c r="X237" i="1"/>
  <c r="AE237" i="1" s="1"/>
  <c r="X238" i="1"/>
  <c r="AE238" i="1" s="1"/>
  <c r="X239" i="1"/>
  <c r="AE239" i="1" s="1"/>
  <c r="X240" i="1"/>
  <c r="AE240" i="1" s="1"/>
  <c r="X241" i="1"/>
  <c r="AE241" i="1" s="1"/>
  <c r="X242" i="1"/>
  <c r="AE242" i="1" s="1"/>
  <c r="X243" i="1"/>
  <c r="AE243" i="1" s="1"/>
  <c r="X244" i="1"/>
  <c r="AE244" i="1" s="1"/>
  <c r="X245" i="1"/>
  <c r="AE245" i="1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AA26" i="1" s="1"/>
  <c r="W27" i="1"/>
  <c r="W28" i="1"/>
  <c r="W29" i="1"/>
  <c r="W30" i="1"/>
  <c r="W31" i="1"/>
  <c r="W32" i="1"/>
  <c r="W33" i="1"/>
  <c r="W34" i="1"/>
  <c r="AA34" i="1" s="1"/>
  <c r="W35" i="1"/>
  <c r="W36" i="1"/>
  <c r="W37" i="1"/>
  <c r="W38" i="1"/>
  <c r="W39" i="1"/>
  <c r="W40" i="1"/>
  <c r="W41" i="1"/>
  <c r="W42" i="1"/>
  <c r="AA42" i="1" s="1"/>
  <c r="W43" i="1"/>
  <c r="W44" i="1"/>
  <c r="W45" i="1"/>
  <c r="W46" i="1"/>
  <c r="W47" i="1"/>
  <c r="W48" i="1"/>
  <c r="W49" i="1"/>
  <c r="W50" i="1"/>
  <c r="AA50" i="1" s="1"/>
  <c r="W51" i="1"/>
  <c r="W52" i="1"/>
  <c r="W53" i="1"/>
  <c r="W54" i="1"/>
  <c r="W55" i="1"/>
  <c r="W56" i="1"/>
  <c r="W57" i="1"/>
  <c r="W58" i="1"/>
  <c r="AA58" i="1" s="1"/>
  <c r="W59" i="1"/>
  <c r="W60" i="1"/>
  <c r="W61" i="1"/>
  <c r="W62" i="1"/>
  <c r="W63" i="1"/>
  <c r="W64" i="1"/>
  <c r="W65" i="1"/>
  <c r="W66" i="1"/>
  <c r="AA66" i="1" s="1"/>
  <c r="W67" i="1"/>
  <c r="W68" i="1"/>
  <c r="W69" i="1"/>
  <c r="W70" i="1"/>
  <c r="W71" i="1"/>
  <c r="W72" i="1"/>
  <c r="W73" i="1"/>
  <c r="W74" i="1"/>
  <c r="AA74" i="1" s="1"/>
  <c r="W75" i="1"/>
  <c r="W76" i="1"/>
  <c r="W77" i="1"/>
  <c r="W78" i="1"/>
  <c r="W79" i="1"/>
  <c r="W80" i="1"/>
  <c r="W81" i="1"/>
  <c r="W82" i="1"/>
  <c r="AA82" i="1" s="1"/>
  <c r="W83" i="1"/>
  <c r="W84" i="1"/>
  <c r="W85" i="1"/>
  <c r="W86" i="1"/>
  <c r="W87" i="1"/>
  <c r="W88" i="1"/>
  <c r="W89" i="1"/>
  <c r="W90" i="1"/>
  <c r="AA90" i="1" s="1"/>
  <c r="W91" i="1"/>
  <c r="W92" i="1"/>
  <c r="W93" i="1"/>
  <c r="W94" i="1"/>
  <c r="W95" i="1"/>
  <c r="W96" i="1"/>
  <c r="W97" i="1"/>
  <c r="W98" i="1"/>
  <c r="AA98" i="1" s="1"/>
  <c r="W99" i="1"/>
  <c r="W100" i="1"/>
  <c r="W101" i="1"/>
  <c r="W102" i="1"/>
  <c r="W103" i="1"/>
  <c r="W104" i="1"/>
  <c r="W105" i="1"/>
  <c r="W106" i="1"/>
  <c r="AA106" i="1" s="1"/>
  <c r="W107" i="1"/>
  <c r="W108" i="1"/>
  <c r="W109" i="1"/>
  <c r="W110" i="1"/>
  <c r="W111" i="1"/>
  <c r="W112" i="1"/>
  <c r="W113" i="1"/>
  <c r="W114" i="1"/>
  <c r="AA114" i="1" s="1"/>
  <c r="W115" i="1"/>
  <c r="W116" i="1"/>
  <c r="W117" i="1"/>
  <c r="W118" i="1"/>
  <c r="W119" i="1"/>
  <c r="W120" i="1"/>
  <c r="W121" i="1"/>
  <c r="W122" i="1"/>
  <c r="AA122" i="1" s="1"/>
  <c r="W123" i="1"/>
  <c r="W124" i="1"/>
  <c r="W125" i="1"/>
  <c r="W126" i="1"/>
  <c r="W127" i="1"/>
  <c r="W128" i="1"/>
  <c r="W129" i="1"/>
  <c r="W130" i="1"/>
  <c r="AA130" i="1" s="1"/>
  <c r="W131" i="1"/>
  <c r="W132" i="1"/>
  <c r="W133" i="1"/>
  <c r="W134" i="1"/>
  <c r="W135" i="1"/>
  <c r="W136" i="1"/>
  <c r="W137" i="1"/>
  <c r="W138" i="1"/>
  <c r="AA138" i="1" s="1"/>
  <c r="W139" i="1"/>
  <c r="W140" i="1"/>
  <c r="W141" i="1"/>
  <c r="W142" i="1"/>
  <c r="W143" i="1"/>
  <c r="W144" i="1"/>
  <c r="W145" i="1"/>
  <c r="W146" i="1"/>
  <c r="AA146" i="1" s="1"/>
  <c r="W147" i="1"/>
  <c r="W148" i="1"/>
  <c r="W149" i="1"/>
  <c r="W150" i="1"/>
  <c r="W151" i="1"/>
  <c r="W152" i="1"/>
  <c r="W153" i="1"/>
  <c r="W154" i="1"/>
  <c r="AA154" i="1" s="1"/>
  <c r="W155" i="1"/>
  <c r="W156" i="1"/>
  <c r="W157" i="1"/>
  <c r="W158" i="1"/>
  <c r="W159" i="1"/>
  <c r="W160" i="1"/>
  <c r="W161" i="1"/>
  <c r="W162" i="1"/>
  <c r="AA162" i="1" s="1"/>
  <c r="W163" i="1"/>
  <c r="W164" i="1"/>
  <c r="W165" i="1"/>
  <c r="W166" i="1"/>
  <c r="W167" i="1"/>
  <c r="W168" i="1"/>
  <c r="W169" i="1"/>
  <c r="W170" i="1"/>
  <c r="AA170" i="1" s="1"/>
  <c r="W171" i="1"/>
  <c r="W172" i="1"/>
  <c r="W173" i="1"/>
  <c r="W174" i="1"/>
  <c r="W175" i="1"/>
  <c r="W176" i="1"/>
  <c r="W177" i="1"/>
  <c r="W178" i="1"/>
  <c r="AA178" i="1" s="1"/>
  <c r="W179" i="1"/>
  <c r="W180" i="1"/>
  <c r="W181" i="1"/>
  <c r="W182" i="1"/>
  <c r="W183" i="1"/>
  <c r="W184" i="1"/>
  <c r="W185" i="1"/>
  <c r="W186" i="1"/>
  <c r="AA186" i="1" s="1"/>
  <c r="W187" i="1"/>
  <c r="W188" i="1"/>
  <c r="W189" i="1"/>
  <c r="W190" i="1"/>
  <c r="W191" i="1"/>
  <c r="W192" i="1"/>
  <c r="W193" i="1"/>
  <c r="W194" i="1"/>
  <c r="AA194" i="1" s="1"/>
  <c r="W195" i="1"/>
  <c r="W196" i="1"/>
  <c r="W197" i="1"/>
  <c r="W198" i="1"/>
  <c r="W199" i="1"/>
  <c r="W200" i="1"/>
  <c r="W201" i="1"/>
  <c r="W202" i="1"/>
  <c r="AA202" i="1" s="1"/>
  <c r="W203" i="1"/>
  <c r="W204" i="1"/>
  <c r="W205" i="1"/>
  <c r="W206" i="1"/>
  <c r="W207" i="1"/>
  <c r="W208" i="1"/>
  <c r="W209" i="1"/>
  <c r="W210" i="1"/>
  <c r="AA210" i="1" s="1"/>
  <c r="W211" i="1"/>
  <c r="W212" i="1"/>
  <c r="W213" i="1"/>
  <c r="W214" i="1"/>
  <c r="W215" i="1"/>
  <c r="W216" i="1"/>
  <c r="W217" i="1"/>
  <c r="W218" i="1"/>
  <c r="AA218" i="1" s="1"/>
  <c r="W219" i="1"/>
  <c r="W220" i="1"/>
  <c r="W221" i="1"/>
  <c r="W222" i="1"/>
  <c r="W223" i="1"/>
  <c r="W224" i="1"/>
  <c r="W225" i="1"/>
  <c r="W226" i="1"/>
  <c r="AA226" i="1" s="1"/>
  <c r="W227" i="1"/>
  <c r="W228" i="1"/>
  <c r="W229" i="1"/>
  <c r="W230" i="1"/>
  <c r="W231" i="1"/>
  <c r="W232" i="1"/>
  <c r="W233" i="1"/>
  <c r="W234" i="1"/>
  <c r="AA234" i="1" s="1"/>
  <c r="W235" i="1"/>
  <c r="W236" i="1"/>
  <c r="W237" i="1"/>
  <c r="W238" i="1"/>
  <c r="W239" i="1"/>
  <c r="W240" i="1"/>
  <c r="W241" i="1"/>
  <c r="W242" i="1"/>
  <c r="AA242" i="1" s="1"/>
  <c r="W243" i="1"/>
  <c r="W244" i="1"/>
  <c r="W24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B7" i="2"/>
  <c r="B6" i="2"/>
  <c r="B5" i="2"/>
  <c r="B4" i="2"/>
  <c r="B3" i="2"/>
  <c r="B2" i="2"/>
  <c r="A1" i="2"/>
  <c r="J15" i="14" l="1"/>
  <c r="AB14" i="1"/>
  <c r="AB6" i="1"/>
  <c r="AB19" i="1"/>
  <c r="AB11" i="1"/>
  <c r="AB3" i="1"/>
  <c r="AB16" i="1"/>
  <c r="AB8" i="1"/>
  <c r="AB13" i="1"/>
  <c r="AB5" i="1"/>
  <c r="AB47" i="1"/>
  <c r="AB18" i="1"/>
  <c r="AB10" i="1"/>
  <c r="AB2" i="1"/>
  <c r="AB17" i="1"/>
  <c r="AB9" i="1"/>
  <c r="AB243" i="1"/>
  <c r="AB235" i="1"/>
  <c r="AB227" i="1"/>
  <c r="AB219" i="1"/>
  <c r="AB211" i="1"/>
  <c r="AB203" i="1"/>
  <c r="AB195" i="1"/>
  <c r="AB187" i="1"/>
  <c r="AB179" i="1"/>
  <c r="AB171" i="1"/>
  <c r="AB163" i="1"/>
  <c r="AB155" i="1"/>
  <c r="AB147" i="1"/>
  <c r="AB139" i="1"/>
  <c r="AB131" i="1"/>
  <c r="AB123" i="1"/>
  <c r="AB115" i="1"/>
  <c r="AB107" i="1"/>
  <c r="AB99" i="1"/>
  <c r="AB91" i="1"/>
  <c r="AB83" i="1"/>
  <c r="AB75" i="1"/>
  <c r="AB67" i="1"/>
  <c r="AB59" i="1"/>
  <c r="AB51" i="1"/>
  <c r="AB43" i="1"/>
  <c r="AB35" i="1"/>
  <c r="AB27" i="1"/>
  <c r="AB20" i="1"/>
  <c r="AB12" i="1"/>
  <c r="AB4" i="1"/>
  <c r="AB239" i="1"/>
  <c r="AB231" i="1"/>
  <c r="AB223" i="1"/>
  <c r="AB215" i="1"/>
  <c r="AB207" i="1"/>
  <c r="AB199" i="1"/>
  <c r="AB191" i="1"/>
  <c r="AB183" i="1"/>
  <c r="AB175" i="1"/>
  <c r="AB167" i="1"/>
  <c r="AB159" i="1"/>
  <c r="AB151" i="1"/>
  <c r="AB143" i="1"/>
  <c r="AB135" i="1"/>
  <c r="AB127" i="1"/>
  <c r="AB119" i="1"/>
  <c r="AB111" i="1"/>
  <c r="AB103" i="1"/>
  <c r="AB95" i="1"/>
  <c r="AB87" i="1"/>
  <c r="AB79" i="1"/>
  <c r="AB71" i="1"/>
  <c r="AB63" i="1"/>
  <c r="AB55" i="1"/>
  <c r="AB39" i="1"/>
  <c r="AB31" i="1"/>
  <c r="AB23" i="1"/>
  <c r="AB238" i="1"/>
  <c r="AB230" i="1"/>
  <c r="AB222" i="1"/>
  <c r="AB214" i="1"/>
  <c r="AB206" i="1"/>
  <c r="AB198" i="1"/>
  <c r="AB190" i="1"/>
  <c r="AB182" i="1"/>
  <c r="AB174" i="1"/>
  <c r="AB166" i="1"/>
  <c r="AB158" i="1"/>
  <c r="AB150" i="1"/>
  <c r="AB142" i="1"/>
  <c r="AB134" i="1"/>
  <c r="AB126" i="1"/>
  <c r="AB118" i="1"/>
  <c r="AB110" i="1"/>
  <c r="AB102" i="1"/>
  <c r="AB94" i="1"/>
  <c r="AB86" i="1"/>
  <c r="AB78" i="1"/>
  <c r="AB70" i="1"/>
  <c r="AB62" i="1"/>
  <c r="AB54" i="1"/>
  <c r="AB46" i="1"/>
  <c r="AB38" i="1"/>
  <c r="AB30" i="1"/>
  <c r="AB22" i="1"/>
  <c r="AB245" i="1"/>
  <c r="AB237" i="1"/>
  <c r="AB229" i="1"/>
  <c r="AB221" i="1"/>
  <c r="AB213" i="1"/>
  <c r="AB205" i="1"/>
  <c r="AB197" i="1"/>
  <c r="AB189" i="1"/>
  <c r="AB181" i="1"/>
  <c r="AB173" i="1"/>
  <c r="AB165" i="1"/>
  <c r="AB157" i="1"/>
  <c r="AB149" i="1"/>
  <c r="AB141" i="1"/>
  <c r="AB133" i="1"/>
  <c r="AB125" i="1"/>
  <c r="AB117" i="1"/>
  <c r="AB109" i="1"/>
  <c r="AB101" i="1"/>
  <c r="AB93" i="1"/>
  <c r="AB85" i="1"/>
  <c r="AB77" i="1"/>
  <c r="AB69" i="1"/>
  <c r="AB61" i="1"/>
  <c r="AB53" i="1"/>
  <c r="AB45" i="1"/>
  <c r="AB37" i="1"/>
  <c r="AB29" i="1"/>
  <c r="AB21" i="1"/>
  <c r="AB244" i="1"/>
  <c r="AB236" i="1"/>
  <c r="AB228" i="1"/>
  <c r="AB220" i="1"/>
  <c r="AB212" i="1"/>
  <c r="AB204" i="1"/>
  <c r="AB196" i="1"/>
  <c r="AB188" i="1"/>
  <c r="AB180" i="1"/>
  <c r="AB172" i="1"/>
  <c r="AB164" i="1"/>
  <c r="AB156" i="1"/>
  <c r="AB148" i="1"/>
  <c r="AB140" i="1"/>
  <c r="AB132" i="1"/>
  <c r="AB124" i="1"/>
  <c r="AB116" i="1"/>
  <c r="AB108" i="1"/>
  <c r="AB100" i="1"/>
  <c r="AB92" i="1"/>
  <c r="AB84" i="1"/>
  <c r="AB76" i="1"/>
  <c r="AB68" i="1"/>
  <c r="AB60" i="1"/>
  <c r="AB52" i="1"/>
  <c r="AB44" i="1"/>
  <c r="AB36" i="1"/>
  <c r="AB28" i="1"/>
  <c r="AB15" i="1"/>
  <c r="AB7" i="1"/>
  <c r="AB242" i="1"/>
  <c r="AB234" i="1"/>
  <c r="AB226" i="1"/>
  <c r="AB218" i="1"/>
  <c r="AB210" i="1"/>
  <c r="AB202" i="1"/>
  <c r="AB194" i="1"/>
  <c r="AB186" i="1"/>
  <c r="AB178" i="1"/>
  <c r="AB170" i="1"/>
  <c r="AB162" i="1"/>
  <c r="AB154" i="1"/>
  <c r="AB146" i="1"/>
  <c r="AB138" i="1"/>
  <c r="AB130" i="1"/>
  <c r="AB122" i="1"/>
  <c r="AB114" i="1"/>
  <c r="AB106" i="1"/>
  <c r="AB98" i="1"/>
  <c r="AB90" i="1"/>
  <c r="AB82" i="1"/>
  <c r="AB74" i="1"/>
  <c r="AB66" i="1"/>
  <c r="AB58" i="1"/>
  <c r="AB50" i="1"/>
  <c r="AB42" i="1"/>
  <c r="AB34" i="1"/>
  <c r="AB26" i="1"/>
  <c r="AB241" i="1"/>
  <c r="AB233" i="1"/>
  <c r="AB225" i="1"/>
  <c r="AB217" i="1"/>
  <c r="AB209" i="1"/>
  <c r="AB201" i="1"/>
  <c r="AB193" i="1"/>
  <c r="AB185" i="1"/>
  <c r="AB177" i="1"/>
  <c r="AB169" i="1"/>
  <c r="AB161" i="1"/>
  <c r="AB153" i="1"/>
  <c r="AB145" i="1"/>
  <c r="AB137" i="1"/>
  <c r="AB129" i="1"/>
  <c r="AB121" i="1"/>
  <c r="AB113" i="1"/>
  <c r="AB105" i="1"/>
  <c r="AB97" i="1"/>
  <c r="AB89" i="1"/>
  <c r="AB81" i="1"/>
  <c r="AB73" i="1"/>
  <c r="AB65" i="1"/>
  <c r="AB57" i="1"/>
  <c r="AB49" i="1"/>
  <c r="AB41" i="1"/>
  <c r="AB33" i="1"/>
  <c r="AB25" i="1"/>
  <c r="AB240" i="1"/>
  <c r="AB232" i="1"/>
  <c r="AB224" i="1"/>
  <c r="AB216" i="1"/>
  <c r="AB208" i="1"/>
  <c r="AB200" i="1"/>
  <c r="AB192" i="1"/>
  <c r="AB184" i="1"/>
  <c r="AB176" i="1"/>
  <c r="AB168" i="1"/>
  <c r="AB160" i="1"/>
  <c r="AB152" i="1"/>
  <c r="AB144" i="1"/>
  <c r="AB136" i="1"/>
  <c r="AB128" i="1"/>
  <c r="AB120" i="1"/>
  <c r="AB112" i="1"/>
  <c r="AB104" i="1"/>
  <c r="AB96" i="1"/>
  <c r="AB88" i="1"/>
  <c r="AB80" i="1"/>
  <c r="AB72" i="1"/>
  <c r="AB64" i="1"/>
  <c r="AB56" i="1"/>
  <c r="AB48" i="1"/>
  <c r="AB40" i="1"/>
  <c r="AB32" i="1"/>
  <c r="AB24" i="1"/>
  <c r="AE208" i="1"/>
  <c r="AE144" i="1"/>
  <c r="AE80" i="1"/>
  <c r="AE16" i="1"/>
  <c r="AF241" i="1"/>
  <c r="AF233" i="1"/>
  <c r="AF225" i="1"/>
  <c r="AF217" i="1"/>
  <c r="AF209" i="1"/>
  <c r="AF201" i="1"/>
  <c r="AF193" i="1"/>
  <c r="AF185" i="1"/>
  <c r="AF177" i="1"/>
  <c r="AF169" i="1"/>
  <c r="AF161" i="1"/>
  <c r="AF153" i="1"/>
  <c r="AF145" i="1"/>
  <c r="AF137" i="1"/>
  <c r="AF129" i="1"/>
  <c r="AF121" i="1"/>
  <c r="AF113" i="1"/>
  <c r="AF105" i="1"/>
  <c r="AF97" i="1"/>
  <c r="AF89" i="1"/>
  <c r="AF81" i="1"/>
  <c r="AF73" i="1"/>
  <c r="AF65" i="1"/>
  <c r="AF57" i="1"/>
  <c r="AF49" i="1"/>
  <c r="AF41" i="1"/>
  <c r="AF33" i="1"/>
  <c r="AF25" i="1"/>
  <c r="AF17" i="1"/>
  <c r="AF9" i="1"/>
  <c r="AE200" i="1"/>
  <c r="AE136" i="1"/>
  <c r="AE72" i="1"/>
  <c r="AE8" i="1"/>
  <c r="AF240" i="1"/>
  <c r="AF232" i="1"/>
  <c r="AF224" i="1"/>
  <c r="AF216" i="1"/>
  <c r="AF192" i="1"/>
  <c r="AF184" i="1"/>
  <c r="AF176" i="1"/>
  <c r="AF168" i="1"/>
  <c r="AF160" i="1"/>
  <c r="AF152" i="1"/>
  <c r="AF128" i="1"/>
  <c r="AF120" i="1"/>
  <c r="AF112" i="1"/>
  <c r="AF104" i="1"/>
  <c r="AF96" i="1"/>
  <c r="AF88" i="1"/>
  <c r="AF64" i="1"/>
  <c r="AF56" i="1"/>
  <c r="AF48" i="1"/>
  <c r="AF40" i="1"/>
  <c r="AF32" i="1"/>
  <c r="AF24" i="1"/>
  <c r="AF239" i="1"/>
  <c r="AF231" i="1"/>
  <c r="AF223" i="1"/>
  <c r="AF215" i="1"/>
  <c r="AF207" i="1"/>
  <c r="AF199" i="1"/>
  <c r="AF191" i="1"/>
  <c r="AF183" i="1"/>
  <c r="AF175" i="1"/>
  <c r="AF167" i="1"/>
  <c r="AF159" i="1"/>
  <c r="AF151" i="1"/>
  <c r="AF143" i="1"/>
  <c r="AF135" i="1"/>
  <c r="AF127" i="1"/>
  <c r="AF119" i="1"/>
  <c r="AF111" i="1"/>
  <c r="AF103" i="1"/>
  <c r="AF95" i="1"/>
  <c r="AF87" i="1"/>
  <c r="AF79" i="1"/>
  <c r="AF71" i="1"/>
  <c r="AF63" i="1"/>
  <c r="AF55" i="1"/>
  <c r="AF47" i="1"/>
  <c r="AF39" i="1"/>
  <c r="AF31" i="1"/>
  <c r="AF23" i="1"/>
  <c r="AF15" i="1"/>
  <c r="AF7" i="1"/>
  <c r="AF238" i="1"/>
  <c r="AF230" i="1"/>
  <c r="AF222" i="1"/>
  <c r="AF214" i="1"/>
  <c r="AF206" i="1"/>
  <c r="AF198" i="1"/>
  <c r="AF190" i="1"/>
  <c r="AF182" i="1"/>
  <c r="AF174" i="1"/>
  <c r="AF166" i="1"/>
  <c r="AF158" i="1"/>
  <c r="AF150" i="1"/>
  <c r="AF142" i="1"/>
  <c r="AF134" i="1"/>
  <c r="AF126" i="1"/>
  <c r="AF118" i="1"/>
  <c r="AF110" i="1"/>
  <c r="AF102" i="1"/>
  <c r="AF94" i="1"/>
  <c r="AF86" i="1"/>
  <c r="AF78" i="1"/>
  <c r="AF70" i="1"/>
  <c r="AF62" i="1"/>
  <c r="AF54" i="1"/>
  <c r="AF46" i="1"/>
  <c r="AF38" i="1"/>
  <c r="AF30" i="1"/>
  <c r="AF22" i="1"/>
  <c r="AF14" i="1"/>
  <c r="AF6" i="1"/>
  <c r="AF245" i="1"/>
  <c r="AF237" i="1"/>
  <c r="AF229" i="1"/>
  <c r="AF221" i="1"/>
  <c r="AF213" i="1"/>
  <c r="AF205" i="1"/>
  <c r="AF197" i="1"/>
  <c r="AF189" i="1"/>
  <c r="AF181" i="1"/>
  <c r="AF173" i="1"/>
  <c r="AF165" i="1"/>
  <c r="AF157" i="1"/>
  <c r="AF149" i="1"/>
  <c r="AF141" i="1"/>
  <c r="AF133" i="1"/>
  <c r="AF125" i="1"/>
  <c r="AF117" i="1"/>
  <c r="AF109" i="1"/>
  <c r="AF101" i="1"/>
  <c r="AF93" i="1"/>
  <c r="AF85" i="1"/>
  <c r="AF77" i="1"/>
  <c r="AF69" i="1"/>
  <c r="AF61" i="1"/>
  <c r="AF53" i="1"/>
  <c r="AF45" i="1"/>
  <c r="AF37" i="1"/>
  <c r="AF29" i="1"/>
  <c r="AF21" i="1"/>
  <c r="AF13" i="1"/>
  <c r="AF5" i="1"/>
  <c r="A20" i="3" a="1"/>
  <c r="A20" i="3" s="1"/>
  <c r="AF244" i="1"/>
  <c r="AF236" i="1"/>
  <c r="AF228" i="1"/>
  <c r="AF220" i="1"/>
  <c r="AF212" i="1"/>
  <c r="AF204" i="1"/>
  <c r="AF196" i="1"/>
  <c r="AF188" i="1"/>
  <c r="AF180" i="1"/>
  <c r="AF172" i="1"/>
  <c r="AF164" i="1"/>
  <c r="AF156" i="1"/>
  <c r="AF148" i="1"/>
  <c r="AF140" i="1"/>
  <c r="AF132" i="1"/>
  <c r="AF124" i="1"/>
  <c r="AF116" i="1"/>
  <c r="AF108" i="1"/>
  <c r="AF100" i="1"/>
  <c r="AF92" i="1"/>
  <c r="AF84" i="1"/>
  <c r="AF76" i="1"/>
  <c r="AF68" i="1"/>
  <c r="AF60" i="1"/>
  <c r="AF52" i="1"/>
  <c r="AF44" i="1"/>
  <c r="AF36" i="1"/>
  <c r="AF28" i="1"/>
  <c r="AF20" i="1"/>
  <c r="AF12" i="1"/>
  <c r="AF4" i="1"/>
  <c r="AF243" i="1"/>
  <c r="AF235" i="1"/>
  <c r="AF227" i="1"/>
  <c r="AF219" i="1"/>
  <c r="AF211" i="1"/>
  <c r="AF203" i="1"/>
  <c r="AF195" i="1"/>
  <c r="AF187" i="1"/>
  <c r="AF179" i="1"/>
  <c r="AF171" i="1"/>
  <c r="AF163" i="1"/>
  <c r="AF155" i="1"/>
  <c r="AF147" i="1"/>
  <c r="AF139" i="1"/>
  <c r="AF131" i="1"/>
  <c r="AF123" i="1"/>
  <c r="AF115" i="1"/>
  <c r="AF107" i="1"/>
  <c r="AF99" i="1"/>
  <c r="AF91" i="1"/>
  <c r="AF83" i="1"/>
  <c r="AF75" i="1"/>
  <c r="AF67" i="1"/>
  <c r="AF59" i="1"/>
  <c r="AF51" i="1"/>
  <c r="AF43" i="1"/>
  <c r="AF35" i="1"/>
  <c r="AF27" i="1"/>
  <c r="AF19" i="1"/>
  <c r="AF11" i="1"/>
  <c r="AF3" i="1"/>
  <c r="AF242" i="1"/>
  <c r="AF234" i="1"/>
  <c r="AF226" i="1"/>
  <c r="AF218" i="1"/>
  <c r="AF210" i="1"/>
  <c r="AF202" i="1"/>
  <c r="AF194" i="1"/>
  <c r="AF186" i="1"/>
  <c r="AF178" i="1"/>
  <c r="AF170" i="1"/>
  <c r="AF162" i="1"/>
  <c r="AF154" i="1"/>
  <c r="AF146" i="1"/>
  <c r="AF138" i="1"/>
  <c r="AF130" i="1"/>
  <c r="AF122" i="1"/>
  <c r="AF114" i="1"/>
  <c r="AF106" i="1"/>
  <c r="AF98" i="1"/>
  <c r="AF90" i="1"/>
  <c r="AF82" i="1"/>
  <c r="AF74" i="1"/>
  <c r="AF66" i="1"/>
  <c r="AF58" i="1"/>
  <c r="AF50" i="1"/>
  <c r="AF42" i="1"/>
  <c r="AF34" i="1"/>
  <c r="AF26" i="1"/>
  <c r="AF18" i="1"/>
  <c r="AF10" i="1"/>
  <c r="AF2" i="1"/>
  <c r="AA205" i="1"/>
  <c r="AA13" i="1"/>
  <c r="H8" i="3"/>
  <c r="AA18" i="1"/>
  <c r="AA10" i="1"/>
  <c r="AA2" i="1"/>
  <c r="AA243" i="1"/>
  <c r="AA235" i="1"/>
  <c r="AA227" i="1"/>
  <c r="AA219" i="1"/>
  <c r="AA211" i="1"/>
  <c r="AA203" i="1"/>
  <c r="AA195" i="1"/>
  <c r="AA187" i="1"/>
  <c r="AA179" i="1"/>
  <c r="AA171" i="1"/>
  <c r="AA163" i="1"/>
  <c r="AA155" i="1"/>
  <c r="AA147" i="1"/>
  <c r="AA139" i="1"/>
  <c r="AA131" i="1"/>
  <c r="AA123" i="1"/>
  <c r="AA115" i="1"/>
  <c r="AA107" i="1"/>
  <c r="AA99" i="1"/>
  <c r="AA91" i="1"/>
  <c r="AA83" i="1"/>
  <c r="AA75" i="1"/>
  <c r="AA67" i="1"/>
  <c r="AA59" i="1"/>
  <c r="AA51" i="1"/>
  <c r="AA43" i="1"/>
  <c r="AA35" i="1"/>
  <c r="AA27" i="1"/>
  <c r="AA19" i="1"/>
  <c r="AA11" i="1"/>
  <c r="AA3" i="1"/>
  <c r="AA241" i="1"/>
  <c r="AA233" i="1"/>
  <c r="AA225" i="1"/>
  <c r="AA217" i="1"/>
  <c r="AA209" i="1"/>
  <c r="AA201" i="1"/>
  <c r="AA193" i="1"/>
  <c r="AA185" i="1"/>
  <c r="AA177" i="1"/>
  <c r="AA169" i="1"/>
  <c r="AA161" i="1"/>
  <c r="AA153" i="1"/>
  <c r="AA145" i="1"/>
  <c r="AA137" i="1"/>
  <c r="AA129" i="1"/>
  <c r="AA121" i="1"/>
  <c r="AA113" i="1"/>
  <c r="AA105" i="1"/>
  <c r="AA97" i="1"/>
  <c r="AA89" i="1"/>
  <c r="AA81" i="1"/>
  <c r="AA73" i="1"/>
  <c r="AA65" i="1"/>
  <c r="AA57" i="1"/>
  <c r="AA49" i="1"/>
  <c r="AA41" i="1"/>
  <c r="AA33" i="1"/>
  <c r="AA25" i="1"/>
  <c r="AA17" i="1"/>
  <c r="AA9" i="1"/>
  <c r="AA240" i="1"/>
  <c r="AA232" i="1"/>
  <c r="AA224" i="1"/>
  <c r="AA216" i="1"/>
  <c r="AA208" i="1"/>
  <c r="AA200" i="1"/>
  <c r="AA192" i="1"/>
  <c r="AA184" i="1"/>
  <c r="AA176" i="1"/>
  <c r="AA168" i="1"/>
  <c r="AA160" i="1"/>
  <c r="AA152" i="1"/>
  <c r="AA144" i="1"/>
  <c r="AA136" i="1"/>
  <c r="AA128" i="1"/>
  <c r="AA120" i="1"/>
  <c r="AA112" i="1"/>
  <c r="AA104" i="1"/>
  <c r="AA96" i="1"/>
  <c r="AA88" i="1"/>
  <c r="AA80" i="1"/>
  <c r="AA72" i="1"/>
  <c r="AA64" i="1"/>
  <c r="AA56" i="1"/>
  <c r="AA48" i="1"/>
  <c r="AA40" i="1"/>
  <c r="AA32" i="1"/>
  <c r="AA24" i="1"/>
  <c r="AA16" i="1"/>
  <c r="AA8" i="1"/>
  <c r="AA141" i="1"/>
  <c r="AA77" i="1"/>
  <c r="AA197" i="1"/>
  <c r="AA133" i="1"/>
  <c r="AA69" i="1"/>
  <c r="AA5" i="1"/>
  <c r="AA189" i="1"/>
  <c r="AA125" i="1"/>
  <c r="AA61" i="1"/>
  <c r="AA245" i="1"/>
  <c r="AA181" i="1"/>
  <c r="AA117" i="1"/>
  <c r="AA53" i="1"/>
  <c r="B11" i="3"/>
  <c r="AA237" i="1"/>
  <c r="AA173" i="1"/>
  <c r="AA109" i="1"/>
  <c r="AA45" i="1"/>
  <c r="AA229" i="1"/>
  <c r="AA165" i="1"/>
  <c r="AA101" i="1"/>
  <c r="AA37" i="1"/>
  <c r="AA221" i="1"/>
  <c r="AA157" i="1"/>
  <c r="AA93" i="1"/>
  <c r="AA29" i="1"/>
  <c r="AA213" i="1"/>
  <c r="AA149" i="1"/>
  <c r="AA85" i="1"/>
  <c r="AA21" i="1"/>
  <c r="AA239" i="1"/>
  <c r="AA231" i="1"/>
  <c r="AA223" i="1"/>
  <c r="AA215" i="1"/>
  <c r="AA207" i="1"/>
  <c r="AA199" i="1"/>
  <c r="AA191" i="1"/>
  <c r="AA183" i="1"/>
  <c r="AA175" i="1"/>
  <c r="AA167" i="1"/>
  <c r="AA159" i="1"/>
  <c r="AA151" i="1"/>
  <c r="AA143" i="1"/>
  <c r="AA135" i="1"/>
  <c r="AA127" i="1"/>
  <c r="AA119" i="1"/>
  <c r="AA111" i="1"/>
  <c r="AA103" i="1"/>
  <c r="AA95" i="1"/>
  <c r="AA87" i="1"/>
  <c r="AA79" i="1"/>
  <c r="AA71" i="1"/>
  <c r="AA63" i="1"/>
  <c r="AA55" i="1"/>
  <c r="AA47" i="1"/>
  <c r="AA39" i="1"/>
  <c r="AA31" i="1"/>
  <c r="AA23" i="1"/>
  <c r="AA15" i="1"/>
  <c r="AA7" i="1"/>
  <c r="AA238" i="1"/>
  <c r="AA230" i="1"/>
  <c r="AA222" i="1"/>
  <c r="AA214" i="1"/>
  <c r="AA206" i="1"/>
  <c r="AA198" i="1"/>
  <c r="AA190" i="1"/>
  <c r="AA182" i="1"/>
  <c r="AA174" i="1"/>
  <c r="AA166" i="1"/>
  <c r="AA158" i="1"/>
  <c r="AA150" i="1"/>
  <c r="AA142" i="1"/>
  <c r="AA134" i="1"/>
  <c r="AA126" i="1"/>
  <c r="AA118" i="1"/>
  <c r="AA110" i="1"/>
  <c r="AA102" i="1"/>
  <c r="AA94" i="1"/>
  <c r="AA86" i="1"/>
  <c r="AA78" i="1"/>
  <c r="AA70" i="1"/>
  <c r="AA62" i="1"/>
  <c r="AA54" i="1"/>
  <c r="AA46" i="1"/>
  <c r="AA38" i="1"/>
  <c r="AA30" i="1"/>
  <c r="AA22" i="1"/>
  <c r="AA14" i="1"/>
  <c r="AA6" i="1"/>
  <c r="AA244" i="1"/>
  <c r="AA236" i="1"/>
  <c r="AA228" i="1"/>
  <c r="AA220" i="1"/>
  <c r="AA212" i="1"/>
  <c r="AA204" i="1"/>
  <c r="AA196" i="1"/>
  <c r="AA188" i="1"/>
  <c r="AA180" i="1"/>
  <c r="AA172" i="1"/>
  <c r="AA164" i="1"/>
  <c r="AA156" i="1"/>
  <c r="AA148" i="1"/>
  <c r="AA140" i="1"/>
  <c r="AA132" i="1"/>
  <c r="AA124" i="1"/>
  <c r="AA116" i="1"/>
  <c r="AA108" i="1"/>
  <c r="AA100" i="1"/>
  <c r="AA92" i="1"/>
  <c r="AA84" i="1"/>
  <c r="AA76" i="1"/>
  <c r="AA68" i="1"/>
  <c r="AA60" i="1"/>
  <c r="AA52" i="1"/>
  <c r="AA44" i="1"/>
  <c r="AA36" i="1"/>
  <c r="AA28" i="1"/>
  <c r="AA20" i="1"/>
  <c r="AA12" i="1"/>
  <c r="AA4" i="1"/>
  <c r="B10" i="3" l="1"/>
  <c r="H76" i="3" a="1"/>
  <c r="H76" i="3" s="1"/>
  <c r="H10" i="3" a="1"/>
  <c r="H10" i="3" s="1"/>
  <c r="D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3F0586-6E6D-4161-86DF-3DD43E1ABA27}" keepAlive="1" name="ModelConnection_ExternalData_1" description="Data Model" type="5" refreshedVersion="8" minRefreshableVersion="5" saveData="1">
    <dbPr connection="Data Model Connection" command="DRILLTHROUGH MAXROWS 1000 SELECT FROM [Model] WHERE (([Measures].[Sum of Revenue],[tblOrders].[Category_Clean].&amp;[Groceries])) RETURN [$tblOrders].[OrderID],[$tblOrders].[OrderDate],[$tblOrders].[CustomerName],[$tblOrders].[Region],[$tblOrders].[City],[$tblOrders].[Category],[$tblOrders].[Product],[$tblOrders].[Channel],[$tblOrders].[Quantity],[$tblOrders].[UnitPrice],[$tblOrders].[Discount],[$tblOrders].[PaymentMethod],[$tblOrders].[OrderStatus],[$tblOrders].[SalesRep],[$tblOrders].[Notes],[$tblOrders].[CustomerName_Clean],[$tblOrders].[Region_Clean],[$tblOrders].[Category_Clean],[$tblOrders].[Channel_Clean],[$tblOrders].[PaymentMethod_Clean],[$tblOrders].[OrderStatus_Cleaned],[$tblOrders].[Quantity_Clean],[$tblOrders].[UnitPrice_Clean],[$tblOrders].[OrderDate_Clean],[$tblOrders].[Discount_Clean],[$tblOrders].[Notes_Clean],[$tblOrders].[HighValueFlag],[$tblOrders].[Revenue],[$tblOrders].[OrderID_Key],[$tblOrders].[OrderNumber],[$tblOrders].[MonthLabel],[$tblOrders].[MonthEndDate],[$tblOrders].[FirstName],[$tblOrders].[Column1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A414331B-8777-4C96-AC71-ADD0DEAC1A5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1530B7D-2676-4645-A8EB-5DEF845BA68B}" name="WorksheetConnection_Orders_Working.xlsx!tblOrders" type="102" refreshedVersion="8" minRefreshableVersion="5">
    <extLst>
      <ext xmlns:x15="http://schemas.microsoft.com/office/spreadsheetml/2010/11/main" uri="{DE250136-89BD-433C-8126-D09CA5730AF9}">
        <x15:connection id="tblOrders" autoDelete="1">
          <x15:rangePr sourceName="_xlcn.WorksheetConnection_Orders_Working.xlsxtblOrder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<sst xmlns="http://schemas.openxmlformats.org/spreadsheetml/2006/main" count="4810" uniqueCount="1152">
  <si>
    <t>OrderID</t>
  </si>
  <si>
    <t>OrderDate</t>
  </si>
  <si>
    <t>CustomerName</t>
  </si>
  <si>
    <t>Region</t>
  </si>
  <si>
    <t>City</t>
  </si>
  <si>
    <t>Category</t>
  </si>
  <si>
    <t>Product</t>
  </si>
  <si>
    <t>Channel</t>
  </si>
  <si>
    <t>Quantity</t>
  </si>
  <si>
    <t>UnitPrice</t>
  </si>
  <si>
    <t>Discount</t>
  </si>
  <si>
    <t>PaymentMethod</t>
  </si>
  <si>
    <t>OrderStatus</t>
  </si>
  <si>
    <t>SalesRep</t>
  </si>
  <si>
    <t>Notes</t>
  </si>
  <si>
    <t>ORD-1223</t>
  </si>
  <si>
    <t>07/01/2024</t>
  </si>
  <si>
    <t>YUSUF MALIK</t>
  </si>
  <si>
    <t>EAST</t>
  </si>
  <si>
    <t>Multan</t>
  </si>
  <si>
    <t>clothing</t>
  </si>
  <si>
    <t>Denim Jacket</t>
  </si>
  <si>
    <t>instore</t>
  </si>
  <si>
    <t xml:space="preserve"> 12 </t>
  </si>
  <si>
    <t xml:space="preserve">Credit card </t>
  </si>
  <si>
    <t>Complete</t>
  </si>
  <si>
    <t>E. Tanaka</t>
  </si>
  <si>
    <t xml:space="preserve">  Customer called twice </t>
  </si>
  <si>
    <t>ORD-1072</t>
  </si>
  <si>
    <t>29-Jul-24</t>
  </si>
  <si>
    <t xml:space="preserve">Umar Farooq </t>
  </si>
  <si>
    <t xml:space="preserve">North </t>
  </si>
  <si>
    <t>Lahore</t>
  </si>
  <si>
    <t>stationery</t>
  </si>
  <si>
    <t>Highlighter Set</t>
  </si>
  <si>
    <t>In Store</t>
  </si>
  <si>
    <t xml:space="preserve"> 3 </t>
  </si>
  <si>
    <t>Bank Transfer</t>
  </si>
  <si>
    <t>CANCELLED</t>
  </si>
  <si>
    <t>A. Malik</t>
  </si>
  <si>
    <t>VIP customer</t>
  </si>
  <si>
    <t>ORD-1058</t>
  </si>
  <si>
    <t>08/19/2024</t>
  </si>
  <si>
    <t>sofia johnson</t>
  </si>
  <si>
    <t>South</t>
  </si>
  <si>
    <t>Karachi</t>
  </si>
  <si>
    <t>Stationary</t>
  </si>
  <si>
    <t>Desk Organizer</t>
  </si>
  <si>
    <t xml:space="preserve">In-store </t>
  </si>
  <si>
    <t>$304.69</t>
  </si>
  <si>
    <t>D. Iqbal</t>
  </si>
  <si>
    <t xml:space="preserve">  </t>
  </si>
  <si>
    <t>ORD-1194</t>
  </si>
  <si>
    <t>December 11, 2024</t>
  </si>
  <si>
    <t>Chen Brown</t>
  </si>
  <si>
    <t>north</t>
  </si>
  <si>
    <t>FURNITURE</t>
  </si>
  <si>
    <t>Bookshelf</t>
  </si>
  <si>
    <t>ONLINE</t>
  </si>
  <si>
    <t>Debit card</t>
  </si>
  <si>
    <t>completed</t>
  </si>
  <si>
    <t>ORD-1148</t>
  </si>
  <si>
    <t>2024-08-22</t>
  </si>
  <si>
    <t xml:space="preserve">Robert Smith </t>
  </si>
  <si>
    <t>WEST</t>
  </si>
  <si>
    <t>Quetta</t>
  </si>
  <si>
    <t xml:space="preserve"> Furniture</t>
  </si>
  <si>
    <t>Filing Cabinet</t>
  </si>
  <si>
    <t>Online</t>
  </si>
  <si>
    <t>debit card</t>
  </si>
  <si>
    <t>Refunded</t>
  </si>
  <si>
    <t>C. Osei</t>
  </si>
  <si>
    <t>ORD-1104</t>
  </si>
  <si>
    <t>04-Aug-24</t>
  </si>
  <si>
    <t>MICHAEL CLARK</t>
  </si>
  <si>
    <t>Nort</t>
  </si>
  <si>
    <t>Islamabad</t>
  </si>
  <si>
    <t>Groceries</t>
  </si>
  <si>
    <t>Honey Jar</t>
  </si>
  <si>
    <t>cash</t>
  </si>
  <si>
    <t>ORD-1185</t>
  </si>
  <si>
    <t>07/03/2024</t>
  </si>
  <si>
    <t>BILAL IQBAL</t>
  </si>
  <si>
    <t>electronics</t>
  </si>
  <si>
    <t>Wireless Mouse</t>
  </si>
  <si>
    <t>10%</t>
  </si>
  <si>
    <t>Completed</t>
  </si>
  <si>
    <t>Damaged on arrival - replaced</t>
  </si>
  <si>
    <t>ORD-1146</t>
  </si>
  <si>
    <t>2024-06-16</t>
  </si>
  <si>
    <t>ROBERT AHMED</t>
  </si>
  <si>
    <t xml:space="preserve">Electronics </t>
  </si>
  <si>
    <t>Cancelled</t>
  </si>
  <si>
    <t>Bulk order - business account</t>
  </si>
  <si>
    <t>ORD-1076</t>
  </si>
  <si>
    <t>September 20, 2024</t>
  </si>
  <si>
    <t xml:space="preserve"> Ahmed Brown</t>
  </si>
  <si>
    <t>West</t>
  </si>
  <si>
    <t>Peshawar</t>
  </si>
  <si>
    <t>Electronics</t>
  </si>
  <si>
    <t>USB-C Cable</t>
  </si>
  <si>
    <t>$231.27</t>
  </si>
  <si>
    <t>Cash</t>
  </si>
  <si>
    <t>ORD-1055</t>
  </si>
  <si>
    <t>29-Apr-24</t>
  </si>
  <si>
    <t>Chen  Wilson</t>
  </si>
  <si>
    <t>Stationery</t>
  </si>
  <si>
    <t>Notebook Pack</t>
  </si>
  <si>
    <t>in-store</t>
  </si>
  <si>
    <t xml:space="preserve"> 394.55 </t>
  </si>
  <si>
    <t>pending</t>
  </si>
  <si>
    <t>B. Fernandes</t>
  </si>
  <si>
    <t xml:space="preserve">Follow up needed	</t>
  </si>
  <si>
    <t>ORD-1230</t>
  </si>
  <si>
    <t>02/10/2024</t>
  </si>
  <si>
    <t xml:space="preserve">Robert Raza </t>
  </si>
  <si>
    <t xml:space="preserve"> East</t>
  </si>
  <si>
    <t>Sialkot</t>
  </si>
  <si>
    <t>CLOTHING</t>
  </si>
  <si>
    <t>Running Shoes</t>
  </si>
  <si>
    <t xml:space="preserve"> 66.89 </t>
  </si>
  <si>
    <t>ORD-1147</t>
  </si>
  <si>
    <t>04-Oct-24</t>
  </si>
  <si>
    <t>daniel smith</t>
  </si>
  <si>
    <t>SOUTH</t>
  </si>
  <si>
    <t>Hyderabad</t>
  </si>
  <si>
    <t>Gift wrap requested</t>
  </si>
  <si>
    <t>ORD-1228</t>
  </si>
  <si>
    <t>October 22, 2024</t>
  </si>
  <si>
    <t>sarah garcia</t>
  </si>
  <si>
    <t>Cloth ing</t>
  </si>
  <si>
    <t>Formal Shirt</t>
  </si>
  <si>
    <t xml:space="preserve">Cash </t>
  </si>
  <si>
    <t>ORD-1174</t>
  </si>
  <si>
    <t>April 23, 2024</t>
  </si>
  <si>
    <t>Kevin Ahmed</t>
  </si>
  <si>
    <t>Grocery</t>
  </si>
  <si>
    <t>Green Tea Pack</t>
  </si>
  <si>
    <t>5%</t>
  </si>
  <si>
    <t>Debit Card</t>
  </si>
  <si>
    <t>ORD-1098</t>
  </si>
  <si>
    <t>November 29, 2024</t>
  </si>
  <si>
    <t xml:space="preserve">Olivia Taylor </t>
  </si>
  <si>
    <t>Credit Card</t>
  </si>
  <si>
    <t>refunded</t>
  </si>
  <si>
    <t>ORD-1045</t>
  </si>
  <si>
    <t>September 14, 2024</t>
  </si>
  <si>
    <t>UMAR FAROOQ</t>
  </si>
  <si>
    <t>Study Desk</t>
  </si>
  <si>
    <t>ORD-1007</t>
  </si>
  <si>
    <t>2024-10-17</t>
  </si>
  <si>
    <t xml:space="preserve">Yusuf Ali </t>
  </si>
  <si>
    <t>east</t>
  </si>
  <si>
    <t>Furniture</t>
  </si>
  <si>
    <t>Sofa Set</t>
  </si>
  <si>
    <t>ORD-1015</t>
  </si>
  <si>
    <t>2024-06-02</t>
  </si>
  <si>
    <t xml:space="preserve"> Grace Garcia</t>
  </si>
  <si>
    <t>PENDING</t>
  </si>
  <si>
    <t>ORD-1118</t>
  </si>
  <si>
    <t>April 05, 2024</t>
  </si>
  <si>
    <t xml:space="preserve"> Nida Johnson</t>
  </si>
  <si>
    <t>East</t>
  </si>
  <si>
    <t>ELECTRONICS</t>
  </si>
  <si>
    <t>Power Bank</t>
  </si>
  <si>
    <t>Canceled</t>
  </si>
  <si>
    <t>ORD-1142</t>
  </si>
  <si>
    <t>2024-10-27</t>
  </si>
  <si>
    <t>YUSUF KHAN</t>
  </si>
  <si>
    <t xml:space="preserve"> 5 </t>
  </si>
  <si>
    <t>cancelled</t>
  </si>
  <si>
    <t xml:space="preserve">Leave at front desk  </t>
  </si>
  <si>
    <t>ORD-1036</t>
  </si>
  <si>
    <t>12/10/2024</t>
  </si>
  <si>
    <t>Daniel  Taylor</t>
  </si>
  <si>
    <t>NORTH</t>
  </si>
  <si>
    <t>Electronic</t>
  </si>
  <si>
    <t>LED Monitor</t>
  </si>
  <si>
    <t>online</t>
  </si>
  <si>
    <t>$31.54</t>
  </si>
  <si>
    <t>credit card</t>
  </si>
  <si>
    <t>ORD-1203</t>
  </si>
  <si>
    <t>03/13/2024</t>
  </si>
  <si>
    <t>Hina Sheikh</t>
  </si>
  <si>
    <t>STATIONERY</t>
  </si>
  <si>
    <t>ORD-1127</t>
  </si>
  <si>
    <t>05/04/2024</t>
  </si>
  <si>
    <t>Michael Raza</t>
  </si>
  <si>
    <t>North</t>
  </si>
  <si>
    <t>furniture</t>
  </si>
  <si>
    <t xml:space="preserve"> 9 </t>
  </si>
  <si>
    <t>ORD-1171</t>
  </si>
  <si>
    <t>04/23/2024</t>
  </si>
  <si>
    <t xml:space="preserve"> Fatima Iqbal</t>
  </si>
  <si>
    <t>west</t>
  </si>
  <si>
    <t>In-Store</t>
  </si>
  <si>
    <t>ORD-1165</t>
  </si>
  <si>
    <t>December 12, 2024</t>
  </si>
  <si>
    <t>Olivia  Lewis</t>
  </si>
  <si>
    <t>Faisalabad</t>
  </si>
  <si>
    <t xml:space="preserve">Online </t>
  </si>
  <si>
    <t>Pending</t>
  </si>
  <si>
    <t>ORD-1212</t>
  </si>
  <si>
    <t>03/28/2024</t>
  </si>
  <si>
    <t>David Clark</t>
  </si>
  <si>
    <t>ORD-1205</t>
  </si>
  <si>
    <t>06/09/2024</t>
  </si>
  <si>
    <t>Hina Ahmed</t>
  </si>
  <si>
    <t>COMPLETED</t>
  </si>
  <si>
    <t>ORD-1081</t>
  </si>
  <si>
    <t>July 05, 2024</t>
  </si>
  <si>
    <t>hina raza</t>
  </si>
  <si>
    <t xml:space="preserve">West </t>
  </si>
  <si>
    <t>Cotton T-Shirt</t>
  </si>
  <si>
    <t>ORD-1053</t>
  </si>
  <si>
    <t>20-Aug-24</t>
  </si>
  <si>
    <t>Robert  Qureshi</t>
  </si>
  <si>
    <t>ORD-1138</t>
  </si>
  <si>
    <t>September 28, 2024</t>
  </si>
  <si>
    <t>BILAL BROWN</t>
  </si>
  <si>
    <t>Bluetooth Speaker</t>
  </si>
  <si>
    <t>ORD-1087</t>
  </si>
  <si>
    <t>August 01, 2024</t>
  </si>
  <si>
    <t>Zara Farooq</t>
  </si>
  <si>
    <t xml:space="preserve"> South</t>
  </si>
  <si>
    <t xml:space="preserve"> 1 </t>
  </si>
  <si>
    <t>ORD-1140</t>
  </si>
  <si>
    <t>2024-10-31</t>
  </si>
  <si>
    <t xml:space="preserve"> Laura Farooq</t>
  </si>
  <si>
    <t>ORD-1198</t>
  </si>
  <si>
    <t>08/16/2024</t>
  </si>
  <si>
    <t>GRACE ANDERSON</t>
  </si>
  <si>
    <t>ORD-1190</t>
  </si>
  <si>
    <t>2024-06-22</t>
  </si>
  <si>
    <t xml:space="preserve"> Fatima Raza</t>
  </si>
  <si>
    <t>groceries</t>
  </si>
  <si>
    <t>Almonds 500g</t>
  </si>
  <si>
    <t>bank transfer</t>
  </si>
  <si>
    <t>ORD-1082</t>
  </si>
  <si>
    <t>06/07/2024</t>
  </si>
  <si>
    <t xml:space="preserve"> John Brown</t>
  </si>
  <si>
    <t xml:space="preserve"> 10 </t>
  </si>
  <si>
    <t>ORD-1095</t>
  </si>
  <si>
    <t>06-May-24</t>
  </si>
  <si>
    <t xml:space="preserve"> Kevin Garcia</t>
  </si>
  <si>
    <t>ORD-1210</t>
  </si>
  <si>
    <t>03/25/2024</t>
  </si>
  <si>
    <t>NOAH MALIK</t>
  </si>
  <si>
    <t>ORD-1093</t>
  </si>
  <si>
    <t>December 01, 2024</t>
  </si>
  <si>
    <t xml:space="preserve">Chen Qureshi </t>
  </si>
  <si>
    <t>ORD-1063</t>
  </si>
  <si>
    <t>11-Mar-24</t>
  </si>
  <si>
    <t>ZARA LEE</t>
  </si>
  <si>
    <t>0%</t>
  </si>
  <si>
    <t>ORD-1218</t>
  </si>
  <si>
    <t>01/30/2024</t>
  </si>
  <si>
    <t>Chen Smith</t>
  </si>
  <si>
    <t xml:space="preserve">South </t>
  </si>
  <si>
    <t>20%</t>
  </si>
  <si>
    <t>CC</t>
  </si>
  <si>
    <t>ORD-1065</t>
  </si>
  <si>
    <t>10/02/2024</t>
  </si>
  <si>
    <t xml:space="preserve">Noah Anderson </t>
  </si>
  <si>
    <t>Winter Coat</t>
  </si>
  <si>
    <t>ORD-1031</t>
  </si>
  <si>
    <t xml:space="preserve">Grace Hussain </t>
  </si>
  <si>
    <t>GROCERIES</t>
  </si>
  <si>
    <t>Basmati Rice 5kg</t>
  </si>
  <si>
    <t>ORD-1088</t>
  </si>
  <si>
    <t>12-Jun-24</t>
  </si>
  <si>
    <t>aisha farooq</t>
  </si>
  <si>
    <t>ORD-1172</t>
  </si>
  <si>
    <t>23-Aug-24</t>
  </si>
  <si>
    <t xml:space="preserve"> James Hussain</t>
  </si>
  <si>
    <t>ORD-1052</t>
  </si>
  <si>
    <t>2024-08-29</t>
  </si>
  <si>
    <t>Daniel  Johnson</t>
  </si>
  <si>
    <t>ORD-1105</t>
  </si>
  <si>
    <t>03/01/2024</t>
  </si>
  <si>
    <t>Grace Khan</t>
  </si>
  <si>
    <t>CREDIT CARD</t>
  </si>
  <si>
    <t>ORD-1107</t>
  </si>
  <si>
    <t>21-Oct-24</t>
  </si>
  <si>
    <t>Laura Garcia</t>
  </si>
  <si>
    <t xml:space="preserve"> North</t>
  </si>
  <si>
    <t>ORD-1066</t>
  </si>
  <si>
    <t>04/11/2024</t>
  </si>
  <si>
    <t>Sana  Taylor</t>
  </si>
  <si>
    <t>ORD-1038</t>
  </si>
  <si>
    <t>04/25/2024</t>
  </si>
  <si>
    <t>Michael Malik</t>
  </si>
  <si>
    <t>ORD-1143</t>
  </si>
  <si>
    <t>24/03/2024</t>
  </si>
  <si>
    <t xml:space="preserve">Bilal Hussain </t>
  </si>
  <si>
    <t>$330.74</t>
  </si>
  <si>
    <t>ORD-1157</t>
  </si>
  <si>
    <t>05/12/2024</t>
  </si>
  <si>
    <t>Clothing</t>
  </si>
  <si>
    <t>$75.12</t>
  </si>
  <si>
    <t>ORD-1183</t>
  </si>
  <si>
    <t>03-Jul-24</t>
  </si>
  <si>
    <t xml:space="preserve">Kate Lewis </t>
  </si>
  <si>
    <t>ORD-1071</t>
  </si>
  <si>
    <t>2024-05-31</t>
  </si>
  <si>
    <t>Chen  Taylor</t>
  </si>
  <si>
    <t>ORD-1113</t>
  </si>
  <si>
    <t>01/05/2024</t>
  </si>
  <si>
    <t>Priya  Sheikh</t>
  </si>
  <si>
    <t>ORD-1041</t>
  </si>
  <si>
    <t>04/10/2024</t>
  </si>
  <si>
    <t>fatima hussain</t>
  </si>
  <si>
    <t>ORD-1154</t>
  </si>
  <si>
    <t>05/18/2024</t>
  </si>
  <si>
    <t>Aisha Khan</t>
  </si>
  <si>
    <t>ORD-1099</t>
  </si>
  <si>
    <t>25/09/2024</t>
  </si>
  <si>
    <t>Grace  Khan</t>
  </si>
  <si>
    <t>Olive Oil 1L</t>
  </si>
  <si>
    <t>$286.14</t>
  </si>
  <si>
    <t>ORD-1201</t>
  </si>
  <si>
    <t>2024-11-12</t>
  </si>
  <si>
    <t>Sarah Johnson</t>
  </si>
  <si>
    <t>Sticky Notes</t>
  </si>
  <si>
    <t>ORD-1209</t>
  </si>
  <si>
    <t>May 14, 2024</t>
  </si>
  <si>
    <t>Umar  Iqbal</t>
  </si>
  <si>
    <t>ORD-1056</t>
  </si>
  <si>
    <t>August 03, 2024</t>
  </si>
  <si>
    <t>Nida Qureshi</t>
  </si>
  <si>
    <t>Office Chair</t>
  </si>
  <si>
    <t>ORD-1004</t>
  </si>
  <si>
    <t>18/04/2024</t>
  </si>
  <si>
    <t xml:space="preserve"> Zara Malik</t>
  </si>
  <si>
    <t>south</t>
  </si>
  <si>
    <t>ORD-1150</t>
  </si>
  <si>
    <t>17-Dec-24</t>
  </si>
  <si>
    <t>Umar Lewis</t>
  </si>
  <si>
    <t>ORD-1091</t>
  </si>
  <si>
    <t xml:space="preserve">Sofia Wilson </t>
  </si>
  <si>
    <t>ORD-1197</t>
  </si>
  <si>
    <t>22/03/2024</t>
  </si>
  <si>
    <t>sarah brown</t>
  </si>
  <si>
    <t xml:space="preserve"> 6 </t>
  </si>
  <si>
    <t>ORD-1131</t>
  </si>
  <si>
    <t>2024-10-20</t>
  </si>
  <si>
    <t>OLIVIA IQBAL</t>
  </si>
  <si>
    <t>15%</t>
  </si>
  <si>
    <t>ORD-1151</t>
  </si>
  <si>
    <t>2024-03-12</t>
  </si>
  <si>
    <t>Ahmed  Taylor</t>
  </si>
  <si>
    <t>ORD-1180</t>
  </si>
  <si>
    <t>2024-11-30</t>
  </si>
  <si>
    <t xml:space="preserve">Laura Ahmed </t>
  </si>
  <si>
    <t>ORD-1086</t>
  </si>
  <si>
    <t>05/20/2024</t>
  </si>
  <si>
    <t>UMAR BROWN</t>
  </si>
  <si>
    <t>ORD-1173</t>
  </si>
  <si>
    <t>06/01/2024</t>
  </si>
  <si>
    <t xml:space="preserve">Daniel Raza </t>
  </si>
  <si>
    <t xml:space="preserve"> 8 </t>
  </si>
  <si>
    <t>ORD-1129</t>
  </si>
  <si>
    <t>17/07/2024</t>
  </si>
  <si>
    <t xml:space="preserve"> Tom Taylor</t>
  </si>
  <si>
    <t xml:space="preserve"> 11 </t>
  </si>
  <si>
    <t>ORD-1169</t>
  </si>
  <si>
    <t>03-Feb-24</t>
  </si>
  <si>
    <t xml:space="preserve">David Raza </t>
  </si>
  <si>
    <t>Ballpoint Pens</t>
  </si>
  <si>
    <t>ORD-1158</t>
  </si>
  <si>
    <t>18-Dec-24</t>
  </si>
  <si>
    <t>robert raza</t>
  </si>
  <si>
    <t>ORD-1110</t>
  </si>
  <si>
    <t>2024-04-07</t>
  </si>
  <si>
    <t xml:space="preserve">Michael Farooq </t>
  </si>
  <si>
    <t>ORD-1220</t>
  </si>
  <si>
    <t>03-Jan-24</t>
  </si>
  <si>
    <t xml:space="preserve"> Noah Garcia</t>
  </si>
  <si>
    <t>ORD-1219</t>
  </si>
  <si>
    <t>29/06/2024</t>
  </si>
  <si>
    <t>Daniel  Smith</t>
  </si>
  <si>
    <t>ORD-1022</t>
  </si>
  <si>
    <t>CHEN FAROOQ</t>
  </si>
  <si>
    <t>ORD-1187</t>
  </si>
  <si>
    <t>25/11/2024</t>
  </si>
  <si>
    <t xml:space="preserve"> David Farooq</t>
  </si>
  <si>
    <t>ORD-1130</t>
  </si>
  <si>
    <t>October 14, 2024</t>
  </si>
  <si>
    <t>NOAH ANDERSON</t>
  </si>
  <si>
    <t>ORD-1193</t>
  </si>
  <si>
    <t>2024-09-24</t>
  </si>
  <si>
    <t xml:space="preserve"> Ahmed Garcia</t>
  </si>
  <si>
    <t>ORD-1026</t>
  </si>
  <si>
    <t>2024-09-01</t>
  </si>
  <si>
    <t xml:space="preserve">Bilal Brown </t>
  </si>
  <si>
    <t>ORD-1108</t>
  </si>
  <si>
    <t>07/28/2024</t>
  </si>
  <si>
    <t>Laura  Raza</t>
  </si>
  <si>
    <t>ORD-1085</t>
  </si>
  <si>
    <t>November 23, 2024</t>
  </si>
  <si>
    <t>Daniel  Farooq</t>
  </si>
  <si>
    <t>ORD-1178</t>
  </si>
  <si>
    <t>21-Dec-24</t>
  </si>
  <si>
    <t>TOM HUSSAIN</t>
  </si>
  <si>
    <t>ORD-1050</t>
  </si>
  <si>
    <t>2024-11-26</t>
  </si>
  <si>
    <t>john anderson</t>
  </si>
  <si>
    <t>ORD-1032</t>
  </si>
  <si>
    <t>May 23, 2024</t>
  </si>
  <si>
    <t>olivia lewis</t>
  </si>
  <si>
    <t xml:space="preserve"> 426.22 </t>
  </si>
  <si>
    <t>ORD-1016</t>
  </si>
  <si>
    <t>07-Mar-24</t>
  </si>
  <si>
    <t>James Ali</t>
  </si>
  <si>
    <t>$454.54</t>
  </si>
  <si>
    <t>ORD-1115</t>
  </si>
  <si>
    <t>17/02/2024</t>
  </si>
  <si>
    <t xml:space="preserve"> Laura Garcia</t>
  </si>
  <si>
    <t>ORD-1182</t>
  </si>
  <si>
    <t>2024-01-07</t>
  </si>
  <si>
    <t>EMILY ALI</t>
  </si>
  <si>
    <t>ORD-1229</t>
  </si>
  <si>
    <t>06/24/2024</t>
  </si>
  <si>
    <t>priya raza</t>
  </si>
  <si>
    <t>ORD-1025</t>
  </si>
  <si>
    <t>03/18/2024</t>
  </si>
  <si>
    <t xml:space="preserve">Sofia Malik </t>
  </si>
  <si>
    <t>ORD-1024</t>
  </si>
  <si>
    <t>August 06, 2024</t>
  </si>
  <si>
    <t>Umar  Hussain</t>
  </si>
  <si>
    <t>ORD-1061</t>
  </si>
  <si>
    <t>2024-07-24</t>
  </si>
  <si>
    <t xml:space="preserve"> Nida Hussain</t>
  </si>
  <si>
    <t>ORD-1136</t>
  </si>
  <si>
    <t>2024-05-20</t>
  </si>
  <si>
    <t xml:space="preserve">Nida Taylor </t>
  </si>
  <si>
    <t>ORD-1010</t>
  </si>
  <si>
    <t xml:space="preserve">Grace Brown </t>
  </si>
  <si>
    <t>ORD-1051</t>
  </si>
  <si>
    <t>31-May-24</t>
  </si>
  <si>
    <t>Nida Lee</t>
  </si>
  <si>
    <t>ORD-1195</t>
  </si>
  <si>
    <t>25-Apr-24</t>
  </si>
  <si>
    <t>SANA FAROOQ</t>
  </si>
  <si>
    <t>ORD-1224</t>
  </si>
  <si>
    <t>04/08/2024</t>
  </si>
  <si>
    <t xml:space="preserve">Emily Johnson </t>
  </si>
  <si>
    <t>ORD-1019</t>
  </si>
  <si>
    <t>December 13, 2024</t>
  </si>
  <si>
    <t>Liam  Iqbal</t>
  </si>
  <si>
    <t>ORD-1156</t>
  </si>
  <si>
    <t>26/09/2024</t>
  </si>
  <si>
    <t xml:space="preserve"> Priya Ahmed</t>
  </si>
  <si>
    <t>ORD-1011</t>
  </si>
  <si>
    <t>26/03/2024</t>
  </si>
  <si>
    <t>ORD-1043</t>
  </si>
  <si>
    <t>April 07, 2024</t>
  </si>
  <si>
    <t>JOHN FAROOQ</t>
  </si>
  <si>
    <t>ORD-1132</t>
  </si>
  <si>
    <t>April 17, 2024</t>
  </si>
  <si>
    <t>umar farooq</t>
  </si>
  <si>
    <t>ORD-1160</t>
  </si>
  <si>
    <t>21/02/2024</t>
  </si>
  <si>
    <t>John  Wilson</t>
  </si>
  <si>
    <t>ORD-1090</t>
  </si>
  <si>
    <t>25/02/2024</t>
  </si>
  <si>
    <t>AISHA CLARK</t>
  </si>
  <si>
    <t>YUSUF ALI</t>
  </si>
  <si>
    <t>ORD-1128</t>
  </si>
  <si>
    <t>09/12/2024</t>
  </si>
  <si>
    <t>John  Qureshi</t>
  </si>
  <si>
    <t xml:space="preserve"> 436.63 </t>
  </si>
  <si>
    <t>ORD-1191</t>
  </si>
  <si>
    <t>2024-03-06</t>
  </si>
  <si>
    <t>Sarah Lewis</t>
  </si>
  <si>
    <t>ORD-1103</t>
  </si>
  <si>
    <t>02/29/2024</t>
  </si>
  <si>
    <t>Nida  Garcia</t>
  </si>
  <si>
    <t xml:space="preserve"> 451.93 </t>
  </si>
  <si>
    <t>ORD-1101</t>
  </si>
  <si>
    <t xml:space="preserve">Michael Anderson </t>
  </si>
  <si>
    <t>ORD-1186</t>
  </si>
  <si>
    <t>03-Sep-24</t>
  </si>
  <si>
    <t>EMILY HUSSAIN</t>
  </si>
  <si>
    <t>ORD-1054</t>
  </si>
  <si>
    <t>26-Nov-24</t>
  </si>
  <si>
    <t xml:space="preserve">Olivia Lewis </t>
  </si>
  <si>
    <t>ORD-1225</t>
  </si>
  <si>
    <t>01-May-24</t>
  </si>
  <si>
    <t>sarah clark</t>
  </si>
  <si>
    <t>$192.82</t>
  </si>
  <si>
    <t>ORD-1028</t>
  </si>
  <si>
    <t>2024-10-03</t>
  </si>
  <si>
    <t>Michael  Hussain</t>
  </si>
  <si>
    <t>ORD-1135</t>
  </si>
  <si>
    <t>10/22/2024</t>
  </si>
  <si>
    <t>AISHA TAYLOR</t>
  </si>
  <si>
    <t xml:space="preserve"> 217.67 </t>
  </si>
  <si>
    <t>ORD-1119</t>
  </si>
  <si>
    <t>michael qureshi</t>
  </si>
  <si>
    <t>ORD-1020</t>
  </si>
  <si>
    <t>January 01, 2024</t>
  </si>
  <si>
    <t>john ali</t>
  </si>
  <si>
    <t>ORD-1012</t>
  </si>
  <si>
    <t>2024-04-21</t>
  </si>
  <si>
    <t>AISHA GARCIA</t>
  </si>
  <si>
    <t>ORD-1030</t>
  </si>
  <si>
    <t>2024-10-16</t>
  </si>
  <si>
    <t>umar malik</t>
  </si>
  <si>
    <t>ORD-1167</t>
  </si>
  <si>
    <t>01/12/2024</t>
  </si>
  <si>
    <t xml:space="preserve"> Liam Wilson</t>
  </si>
  <si>
    <t>ORD-1155</t>
  </si>
  <si>
    <t>17-Jul-24</t>
  </si>
  <si>
    <t>ORD-1221</t>
  </si>
  <si>
    <t>14/12/2024</t>
  </si>
  <si>
    <t>Olivia Clark</t>
  </si>
  <si>
    <t>ORD-1017</t>
  </si>
  <si>
    <t>2024-05-07</t>
  </si>
  <si>
    <t xml:space="preserve"> Sana Lee</t>
  </si>
  <si>
    <t>ORD-1166</t>
  </si>
  <si>
    <t>July 22, 2024</t>
  </si>
  <si>
    <t>Emily  Lee</t>
  </si>
  <si>
    <t>ORD-1037</t>
  </si>
  <si>
    <t>05/02/2024</t>
  </si>
  <si>
    <t>UMAR CLARK</t>
  </si>
  <si>
    <t>ORD-1014</t>
  </si>
  <si>
    <t>2024-10-15</t>
  </si>
  <si>
    <t>ZARA JOHNSON</t>
  </si>
  <si>
    <t>ORD-1125</t>
  </si>
  <si>
    <t>19/07/2024</t>
  </si>
  <si>
    <t xml:space="preserve">Emily Ahmed </t>
  </si>
  <si>
    <t>ORD-1048</t>
  </si>
  <si>
    <t>10/05/2024</t>
  </si>
  <si>
    <t>FATIMA SHEIKH</t>
  </si>
  <si>
    <t>ORD-1006</t>
  </si>
  <si>
    <t>09/13/2024</t>
  </si>
  <si>
    <t>$150.28</t>
  </si>
  <si>
    <t>ORD-1013</t>
  </si>
  <si>
    <t>October 23, 2024</t>
  </si>
  <si>
    <t>Sarah Taylor</t>
  </si>
  <si>
    <t>$38.92</t>
  </si>
  <si>
    <t>ORD-1039</t>
  </si>
  <si>
    <t>21/01/2024</t>
  </si>
  <si>
    <t>Kate Brown</t>
  </si>
  <si>
    <t>ORD-1005</t>
  </si>
  <si>
    <t>03/19/2024</t>
  </si>
  <si>
    <t>Sofia  Lee</t>
  </si>
  <si>
    <t>ORD-1083</t>
  </si>
  <si>
    <t>07/02/2024</t>
  </si>
  <si>
    <t>Tom  Wilson</t>
  </si>
  <si>
    <t xml:space="preserve"> 353.50 </t>
  </si>
  <si>
    <t>ORD-1206</t>
  </si>
  <si>
    <t>2024-11-16</t>
  </si>
  <si>
    <t>bilal hussain</t>
  </si>
  <si>
    <t>ORD-1175</t>
  </si>
  <si>
    <t>03-Aug-24</t>
  </si>
  <si>
    <t xml:space="preserve"> Yusuf Sheikh</t>
  </si>
  <si>
    <t>ORD-1149</t>
  </si>
  <si>
    <t>02/08/2024</t>
  </si>
  <si>
    <t xml:space="preserve">Kevin Brown </t>
  </si>
  <si>
    <t>ORD-1116</t>
  </si>
  <si>
    <t>31-Aug-24</t>
  </si>
  <si>
    <t>ORD-1207</t>
  </si>
  <si>
    <t>05/28/2024</t>
  </si>
  <si>
    <t xml:space="preserve"> Sofia Smith</t>
  </si>
  <si>
    <t>ORD-1029</t>
  </si>
  <si>
    <t>November 06, 2024</t>
  </si>
  <si>
    <t xml:space="preserve">Laura Johnson </t>
  </si>
  <si>
    <t>ORD-1222</t>
  </si>
  <si>
    <t>2024-06-24</t>
  </si>
  <si>
    <t>aisha ali</t>
  </si>
  <si>
    <t>ORD-1181</t>
  </si>
  <si>
    <t>BILAL ALI</t>
  </si>
  <si>
    <t>ORD-1047</t>
  </si>
  <si>
    <t>2024-06-15</t>
  </si>
  <si>
    <t>Liam Farooq</t>
  </si>
  <si>
    <t>$353.43</t>
  </si>
  <si>
    <t>ORD-1018</t>
  </si>
  <si>
    <t>ORD-1199</t>
  </si>
  <si>
    <t>02/19/2024</t>
  </si>
  <si>
    <t>SARAH TAYLOR</t>
  </si>
  <si>
    <t>ORD-1204</t>
  </si>
  <si>
    <t>18-Jun-24</t>
  </si>
  <si>
    <t>laura qureshi</t>
  </si>
  <si>
    <t>$148.87</t>
  </si>
  <si>
    <t>ORD-1069</t>
  </si>
  <si>
    <t>28-Jul-24</t>
  </si>
  <si>
    <t>Kevin Brown</t>
  </si>
  <si>
    <t>ORD-1177</t>
  </si>
  <si>
    <t>March 07, 2024</t>
  </si>
  <si>
    <t xml:space="preserve">David Taylor </t>
  </si>
  <si>
    <t>$381.79</t>
  </si>
  <si>
    <t>ORD-1027</t>
  </si>
  <si>
    <t>July 20, 2024</t>
  </si>
  <si>
    <t>MARIA ANDERSON</t>
  </si>
  <si>
    <t>$205.14</t>
  </si>
  <si>
    <t>ORD-1216</t>
  </si>
  <si>
    <t>09/04/2024</t>
  </si>
  <si>
    <t>BILAL TAYLOR</t>
  </si>
  <si>
    <t>ORD-1133</t>
  </si>
  <si>
    <t>2024-12-13</t>
  </si>
  <si>
    <t xml:space="preserve">Liam Qureshi </t>
  </si>
  <si>
    <t>ORD-1062</t>
  </si>
  <si>
    <t>14/08/2024</t>
  </si>
  <si>
    <t>Sana Smith</t>
  </si>
  <si>
    <t>$442.25</t>
  </si>
  <si>
    <t>ORD-1109</t>
  </si>
  <si>
    <t xml:space="preserve"> Chen Malik</t>
  </si>
  <si>
    <t>$280.86</t>
  </si>
  <si>
    <t>ORD-1021</t>
  </si>
  <si>
    <t>12/12/2024</t>
  </si>
  <si>
    <t>hina garcia</t>
  </si>
  <si>
    <t>ORD-1196</t>
  </si>
  <si>
    <t>18/06/2024</t>
  </si>
  <si>
    <t>SANA  QURESHI</t>
  </si>
  <si>
    <t>ORD-1057</t>
  </si>
  <si>
    <t>30/12/2024</t>
  </si>
  <si>
    <t>SANA JOHNSON</t>
  </si>
  <si>
    <t>ORD-1097</t>
  </si>
  <si>
    <t>2024-04-29</t>
  </si>
  <si>
    <t xml:space="preserve">Yusuf Lee </t>
  </si>
  <si>
    <t xml:space="preserve"> 371.74 </t>
  </si>
  <si>
    <t>ORD-1141</t>
  </si>
  <si>
    <t>05/14/2024</t>
  </si>
  <si>
    <t>sofia smith</t>
  </si>
  <si>
    <t>ORD-1042</t>
  </si>
  <si>
    <t>22-Mar-24</t>
  </si>
  <si>
    <t xml:space="preserve"> Sarah Garcia</t>
  </si>
  <si>
    <t>$350.63</t>
  </si>
  <si>
    <t>ORD-1102</t>
  </si>
  <si>
    <t>08/10/2024</t>
  </si>
  <si>
    <t>HINA ALI</t>
  </si>
  <si>
    <t>ORD-1202</t>
  </si>
  <si>
    <t>05/31/2024</t>
  </si>
  <si>
    <t>bilal johnson</t>
  </si>
  <si>
    <t>$20.26</t>
  </si>
  <si>
    <t>ORD-1144</t>
  </si>
  <si>
    <t>2024-07-03</t>
  </si>
  <si>
    <t xml:space="preserve">Kevin Clark </t>
  </si>
  <si>
    <t>ORD-1188</t>
  </si>
  <si>
    <t>November 05, 2024</t>
  </si>
  <si>
    <t>Kate Ahmed</t>
  </si>
  <si>
    <t>ORD-1049</t>
  </si>
  <si>
    <t>HINA SMITH</t>
  </si>
  <si>
    <t>ORD-1096</t>
  </si>
  <si>
    <t>2024-12-31</t>
  </si>
  <si>
    <t>maria ahmed</t>
  </si>
  <si>
    <t>ORD-1226</t>
  </si>
  <si>
    <t>April 30, 2024</t>
  </si>
  <si>
    <t>zara taylor</t>
  </si>
  <si>
    <t>ORD-1002</t>
  </si>
  <si>
    <t>August 23, 2024</t>
  </si>
  <si>
    <t xml:space="preserve"> Laura Lee</t>
  </si>
  <si>
    <t>ORD-1060</t>
  </si>
  <si>
    <t>28-Feb-24</t>
  </si>
  <si>
    <t xml:space="preserve">Grace Taylor </t>
  </si>
  <si>
    <t>$256.17</t>
  </si>
  <si>
    <t>ORD-1208</t>
  </si>
  <si>
    <t>2024-07-02</t>
  </si>
  <si>
    <t>Kevin Clark</t>
  </si>
  <si>
    <t>ORD-1075</t>
  </si>
  <si>
    <t>2024-02-10</t>
  </si>
  <si>
    <t>Kevin  Sheikh</t>
  </si>
  <si>
    <t>ORD-1111</t>
  </si>
  <si>
    <t>06/12/2024</t>
  </si>
  <si>
    <t xml:space="preserve">Yusuf Ahmed </t>
  </si>
  <si>
    <t>ORD-1176</t>
  </si>
  <si>
    <t>July 28, 2024</t>
  </si>
  <si>
    <t>james lewis</t>
  </si>
  <si>
    <t>ORD-1077</t>
  </si>
  <si>
    <t>23/01/2024</t>
  </si>
  <si>
    <t>bilal brown</t>
  </si>
  <si>
    <t>ORD-1123</t>
  </si>
  <si>
    <t>10/12/2024</t>
  </si>
  <si>
    <t>robert anderson</t>
  </si>
  <si>
    <t>ORD-1126</t>
  </si>
  <si>
    <t>22/12/2024</t>
  </si>
  <si>
    <t>David Sheikh</t>
  </si>
  <si>
    <t>ORD-1184</t>
  </si>
  <si>
    <t>21-Aug-24</t>
  </si>
  <si>
    <t>Sana Ali</t>
  </si>
  <si>
    <t>Grace Anderson</t>
  </si>
  <si>
    <t>ORD-1121</t>
  </si>
  <si>
    <t>david wilson</t>
  </si>
  <si>
    <t>ORD-1074</t>
  </si>
  <si>
    <t>2024-07-31</t>
  </si>
  <si>
    <t>tom iqbal</t>
  </si>
  <si>
    <t>Sana  Qureshi</t>
  </si>
  <si>
    <t>ORD-1213</t>
  </si>
  <si>
    <t>2024-11-06</t>
  </si>
  <si>
    <t xml:space="preserve"> Zara Brown</t>
  </si>
  <si>
    <t>ORD-1134</t>
  </si>
  <si>
    <t>22-May-24</t>
  </si>
  <si>
    <t>Umar Hussain</t>
  </si>
  <si>
    <t>ORD-1001</t>
  </si>
  <si>
    <t>December 25, 2024</t>
  </si>
  <si>
    <t>Tom Ali</t>
  </si>
  <si>
    <t>ORD-1003</t>
  </si>
  <si>
    <t>09-Dec-24</t>
  </si>
  <si>
    <t>Yusuf Anderson</t>
  </si>
  <si>
    <t>ORD-1078</t>
  </si>
  <si>
    <t>04/03/2024</t>
  </si>
  <si>
    <t>james smith</t>
  </si>
  <si>
    <t>ORD-1067</t>
  </si>
  <si>
    <t>07-Feb-24</t>
  </si>
  <si>
    <t>Umar  Johnson</t>
  </si>
  <si>
    <t>ORD-1106</t>
  </si>
  <si>
    <t>August 02, 2024</t>
  </si>
  <si>
    <t>Chen  Clark</t>
  </si>
  <si>
    <t>ORD-1094</t>
  </si>
  <si>
    <t xml:space="preserve"> Sana Khan</t>
  </si>
  <si>
    <t>$160.28</t>
  </si>
  <si>
    <t>ORD-1079</t>
  </si>
  <si>
    <t>01-Dec-24</t>
  </si>
  <si>
    <t>Bilal Lee</t>
  </si>
  <si>
    <t>ORD-1214</t>
  </si>
  <si>
    <t>08/07/2024</t>
  </si>
  <si>
    <t xml:space="preserve"> Aisha Qureshi</t>
  </si>
  <si>
    <t>ORD-1023</t>
  </si>
  <si>
    <t>2024-12-01</t>
  </si>
  <si>
    <t xml:space="preserve">Michael Ahmed </t>
  </si>
  <si>
    <t xml:space="preserve"> 316.73 </t>
  </si>
  <si>
    <t>ORD-1211</t>
  </si>
  <si>
    <t>March 06, 2024</t>
  </si>
  <si>
    <t>Kevin  Wilson</t>
  </si>
  <si>
    <t>ORD-1124</t>
  </si>
  <si>
    <t>Tom  Raza</t>
  </si>
  <si>
    <t>ORD-1089</t>
  </si>
  <si>
    <t xml:space="preserve"> David Sheikh</t>
  </si>
  <si>
    <t>ORD-1122</t>
  </si>
  <si>
    <t>20/11/2024</t>
  </si>
  <si>
    <t>MARIA SMITH</t>
  </si>
  <si>
    <t>ORD-1137</t>
  </si>
  <si>
    <t>james johnson</t>
  </si>
  <si>
    <t>ORD-1200</t>
  </si>
  <si>
    <t>13/01/2024</t>
  </si>
  <si>
    <t xml:space="preserve">Grace Smith </t>
  </si>
  <si>
    <t>ORD-1164</t>
  </si>
  <si>
    <t>13-Feb-24</t>
  </si>
  <si>
    <t>MICHAEL FAROOQ</t>
  </si>
  <si>
    <t>ORD-1112</t>
  </si>
  <si>
    <t>24/11/2024</t>
  </si>
  <si>
    <t>Robert Hussain</t>
  </si>
  <si>
    <t>ORD-1145</t>
  </si>
  <si>
    <t>10/10/2024</t>
  </si>
  <si>
    <t>Liam  Lewis</t>
  </si>
  <si>
    <t>ORD-1163</t>
  </si>
  <si>
    <t>29/08/2024</t>
  </si>
  <si>
    <t>david khan</t>
  </si>
  <si>
    <t>ORD-1192</t>
  </si>
  <si>
    <t>June 09, 2024</t>
  </si>
  <si>
    <t xml:space="preserve"> Hina Qureshi</t>
  </si>
  <si>
    <t>ORD-1162</t>
  </si>
  <si>
    <t>October 19, 2024</t>
  </si>
  <si>
    <t xml:space="preserve"> Tom Malik</t>
  </si>
  <si>
    <t>ORD-1117</t>
  </si>
  <si>
    <t xml:space="preserve">Yusuf Johnson </t>
  </si>
  <si>
    <t>ORD-1153</t>
  </si>
  <si>
    <t>12/09/2024</t>
  </si>
  <si>
    <t xml:space="preserve"> Sarah Malik</t>
  </si>
  <si>
    <t>$225.78</t>
  </si>
  <si>
    <t>ORD-1152</t>
  </si>
  <si>
    <t>2024-03-03</t>
  </si>
  <si>
    <t>Sarah  Ahmed</t>
  </si>
  <si>
    <t>ORD-1046</t>
  </si>
  <si>
    <t>13-Jul-24</t>
  </si>
  <si>
    <t>LIAM ALI</t>
  </si>
  <si>
    <t>ORD-1217</t>
  </si>
  <si>
    <t>2024-12-22</t>
  </si>
  <si>
    <t>GRACE FAROOQ</t>
  </si>
  <si>
    <t>$474.88</t>
  </si>
  <si>
    <t>ORD-1179</t>
  </si>
  <si>
    <t>25/03/2024</t>
  </si>
  <si>
    <t>DAVID ALI</t>
  </si>
  <si>
    <t>ORD-1035</t>
  </si>
  <si>
    <t>25/05/2024</t>
  </si>
  <si>
    <t>Zara Raza</t>
  </si>
  <si>
    <t>ORD-1070</t>
  </si>
  <si>
    <t>Nida Taylor</t>
  </si>
  <si>
    <t>ORD-1139</t>
  </si>
  <si>
    <t>ZARA MALIK</t>
  </si>
  <si>
    <t xml:space="preserve"> 2 </t>
  </si>
  <si>
    <t>ORD-1120</t>
  </si>
  <si>
    <t>27/03/2024</t>
  </si>
  <si>
    <t xml:space="preserve"> Grace Farooq</t>
  </si>
  <si>
    <t>ORD-1084</t>
  </si>
  <si>
    <t>July 03, 2024</t>
  </si>
  <si>
    <t>Sofia Lee</t>
  </si>
  <si>
    <t xml:space="preserve"> 65.07 </t>
  </si>
  <si>
    <t>ORD-1092</t>
  </si>
  <si>
    <t>09-Nov-24</t>
  </si>
  <si>
    <t>chen sheikh</t>
  </si>
  <si>
    <t>ORD-1170</t>
  </si>
  <si>
    <t>2024-03-04</t>
  </si>
  <si>
    <t xml:space="preserve"> Chen Brown</t>
  </si>
  <si>
    <t xml:space="preserve"> 183.39 </t>
  </si>
  <si>
    <t>ORD-1009</t>
  </si>
  <si>
    <t>08/12/2024</t>
  </si>
  <si>
    <t>Emily  Ahmed</t>
  </si>
  <si>
    <t>ORD-1008</t>
  </si>
  <si>
    <t>August 12, 2024</t>
  </si>
  <si>
    <t>Sana Iqbal</t>
  </si>
  <si>
    <t>ORD-1044</t>
  </si>
  <si>
    <t>25-Jun-24</t>
  </si>
  <si>
    <t>Sana Brown</t>
  </si>
  <si>
    <t>ORD-1215</t>
  </si>
  <si>
    <t>04/01/2024</t>
  </si>
  <si>
    <t>nida anderson</t>
  </si>
  <si>
    <t>ORD-1034</t>
  </si>
  <si>
    <t>May 21, 2024</t>
  </si>
  <si>
    <t xml:space="preserve">Fatima Hussain </t>
  </si>
  <si>
    <t>ORD-1033</t>
  </si>
  <si>
    <t>August 30, 2024</t>
  </si>
  <si>
    <t xml:space="preserve"> Grace Smith</t>
  </si>
  <si>
    <t xml:space="preserve"> 51.06 </t>
  </si>
  <si>
    <t>ORD-1161</t>
  </si>
  <si>
    <t>2024-12-26</t>
  </si>
  <si>
    <t>Priya Lee</t>
  </si>
  <si>
    <t xml:space="preserve"> 7 </t>
  </si>
  <si>
    <t>ORD-1114</t>
  </si>
  <si>
    <t>February 19, 2024</t>
  </si>
  <si>
    <t>Daniel Sheikh</t>
  </si>
  <si>
    <t>ORD-1073</t>
  </si>
  <si>
    <t>daniel qureshi</t>
  </si>
  <si>
    <t>ORD-1189</t>
  </si>
  <si>
    <t>2024-04-23</t>
  </si>
  <si>
    <t xml:space="preserve"> Sofia Clark</t>
  </si>
  <si>
    <t>ORD-1064</t>
  </si>
  <si>
    <t>Robert Ali</t>
  </si>
  <si>
    <t>ORD-1059</t>
  </si>
  <si>
    <t>January 31, 2024</t>
  </si>
  <si>
    <t>ROBERT LEE</t>
  </si>
  <si>
    <t>ORD-1080</t>
  </si>
  <si>
    <t>2024-02-22</t>
  </si>
  <si>
    <t>EMILY SHEIKH</t>
  </si>
  <si>
    <t>ORD-1100</t>
  </si>
  <si>
    <t>LIAM CLARK</t>
  </si>
  <si>
    <t>ORD-1227</t>
  </si>
  <si>
    <t>2024-07-22</t>
  </si>
  <si>
    <t>Liam  Anderson</t>
  </si>
  <si>
    <t>ORD-1168</t>
  </si>
  <si>
    <t>2024-12-16</t>
  </si>
  <si>
    <t>sarah malik</t>
  </si>
  <si>
    <t>Chen Farooq</t>
  </si>
  <si>
    <t>ORD-1040</t>
  </si>
  <si>
    <t>2024-09-08</t>
  </si>
  <si>
    <t>Zara Wilson</t>
  </si>
  <si>
    <t>ORD-1159</t>
  </si>
  <si>
    <t xml:space="preserve">Priya Smith </t>
  </si>
  <si>
    <t xml:space="preserve"> 373.94 </t>
  </si>
  <si>
    <t>ORD-1068</t>
  </si>
  <si>
    <t>06-Apr-24</t>
  </si>
  <si>
    <t>Daniel Khan</t>
  </si>
  <si>
    <t xml:space="preserve"> Aisha Tayloris</t>
  </si>
  <si>
    <t>Quantity Blanks</t>
  </si>
  <si>
    <t>UnitPrice Blanks</t>
  </si>
  <si>
    <t>Discount Blanks</t>
  </si>
  <si>
    <t>City Blanks</t>
  </si>
  <si>
    <t>SalesRep Blanks</t>
  </si>
  <si>
    <t>Notes Blanks</t>
  </si>
  <si>
    <t>CustomerName_Clean</t>
  </si>
  <si>
    <t>Region_Clean</t>
  </si>
  <si>
    <t>Category_Clean</t>
  </si>
  <si>
    <t>Channel_Clean</t>
  </si>
  <si>
    <t>PaymentMethod_Clean</t>
  </si>
  <si>
    <t>OrderStatus_Cleaned</t>
  </si>
  <si>
    <t>Quantity_Clean</t>
  </si>
  <si>
    <t>UnitPrice_Clean</t>
  </si>
  <si>
    <t>Discount_Clean</t>
  </si>
  <si>
    <t>Notes_Clean</t>
  </si>
  <si>
    <t>Standard Price</t>
  </si>
  <si>
    <t>HighValueFlag</t>
  </si>
  <si>
    <t>Revenue</t>
  </si>
  <si>
    <t>OrderID_Key</t>
  </si>
  <si>
    <t>OrderNumber</t>
  </si>
  <si>
    <t>MonthLabel</t>
  </si>
  <si>
    <t>OrderDate_Clean</t>
  </si>
  <si>
    <t>MonthEndDate</t>
  </si>
  <si>
    <t>FirstName</t>
  </si>
  <si>
    <t>Chen</t>
  </si>
  <si>
    <t>Grace</t>
  </si>
  <si>
    <t>David</t>
  </si>
  <si>
    <t>UMAR</t>
  </si>
  <si>
    <t>Kevin</t>
  </si>
  <si>
    <t>Liam</t>
  </si>
  <si>
    <t>daniel</t>
  </si>
  <si>
    <t>LIAM</t>
  </si>
  <si>
    <t>Robert</t>
  </si>
  <si>
    <t>EMILY</t>
  </si>
  <si>
    <t>james</t>
  </si>
  <si>
    <t>Sofia</t>
  </si>
  <si>
    <t>GRACE</t>
  </si>
  <si>
    <t>Daniel</t>
  </si>
  <si>
    <t>Emily</t>
  </si>
  <si>
    <t>John</t>
  </si>
  <si>
    <t>DAVID</t>
  </si>
  <si>
    <t>Laura</t>
  </si>
  <si>
    <t>maria</t>
  </si>
  <si>
    <t>HINA</t>
  </si>
  <si>
    <t>zara</t>
  </si>
  <si>
    <t>ROBERT</t>
  </si>
  <si>
    <t>Fatima</t>
  </si>
  <si>
    <t>sarah</t>
  </si>
  <si>
    <t>James</t>
  </si>
  <si>
    <t>Nida</t>
  </si>
  <si>
    <t>Yusuf</t>
  </si>
  <si>
    <t>YUSUF</t>
  </si>
  <si>
    <t>Michael</t>
  </si>
  <si>
    <t>ZARA</t>
  </si>
  <si>
    <t>hina</t>
  </si>
  <si>
    <t>Umar</t>
  </si>
  <si>
    <t>tom</t>
  </si>
  <si>
    <t>Noah</t>
  </si>
  <si>
    <t>Zara</t>
  </si>
  <si>
    <t>Priya</t>
  </si>
  <si>
    <t>SARAH</t>
  </si>
  <si>
    <t>CHEN</t>
  </si>
  <si>
    <t>Aisha</t>
  </si>
  <si>
    <t>Tom</t>
  </si>
  <si>
    <t>SANA</t>
  </si>
  <si>
    <t>Ahmed</t>
  </si>
  <si>
    <t>bilal</t>
  </si>
  <si>
    <t>BILAL</t>
  </si>
  <si>
    <t>Bilal</t>
  </si>
  <si>
    <t>Sana</t>
  </si>
  <si>
    <t>JOHN</t>
  </si>
  <si>
    <t>Kate</t>
  </si>
  <si>
    <t>OLIVIA</t>
  </si>
  <si>
    <t>Sarah</t>
  </si>
  <si>
    <t>Olivia</t>
  </si>
  <si>
    <t>john</t>
  </si>
  <si>
    <t>robert</t>
  </si>
  <si>
    <t>FATIMA</t>
  </si>
  <si>
    <t>Hina</t>
  </si>
  <si>
    <t>aisha</t>
  </si>
  <si>
    <t>nida</t>
  </si>
  <si>
    <t>MARIA</t>
  </si>
  <si>
    <t>olivia</t>
  </si>
  <si>
    <t>MICHAEL</t>
  </si>
  <si>
    <t>chen</t>
  </si>
  <si>
    <t>umar</t>
  </si>
  <si>
    <t>NOAH</t>
  </si>
  <si>
    <t>AISHA</t>
  </si>
  <si>
    <t>michael</t>
  </si>
  <si>
    <t>priya</t>
  </si>
  <si>
    <t>david</t>
  </si>
  <si>
    <t>fatima</t>
  </si>
  <si>
    <t>sofia</t>
  </si>
  <si>
    <t>laura</t>
  </si>
  <si>
    <t>TOM</t>
  </si>
  <si>
    <t>Row Labels</t>
  </si>
  <si>
    <t>Grand Total</t>
  </si>
  <si>
    <t>Column Labels</t>
  </si>
  <si>
    <t>Sum of Revenue</t>
  </si>
  <si>
    <t>tblOrders[OrderID]</t>
  </si>
  <si>
    <t>tblOrders[OrderDate]</t>
  </si>
  <si>
    <t>tblOrders[CustomerName]</t>
  </si>
  <si>
    <t>tblOrders[Region]</t>
  </si>
  <si>
    <t>tblOrders[City]</t>
  </si>
  <si>
    <t>tblOrders[Category]</t>
  </si>
  <si>
    <t>tblOrders[Product]</t>
  </si>
  <si>
    <t>tblOrders[Channel]</t>
  </si>
  <si>
    <t>tblOrders[Quantity]</t>
  </si>
  <si>
    <t>tblOrders[UnitPrice]</t>
  </si>
  <si>
    <t>tblOrders[Discount]</t>
  </si>
  <si>
    <t>tblOrders[PaymentMethod]</t>
  </si>
  <si>
    <t>tblOrders[OrderStatus]</t>
  </si>
  <si>
    <t>tblOrders[SalesRep]</t>
  </si>
  <si>
    <t>tblOrders[Notes]</t>
  </si>
  <si>
    <t>tblOrders[CustomerName_Clean]</t>
  </si>
  <si>
    <t>tblOrders[Region_Clean]</t>
  </si>
  <si>
    <t>tblOrders[Category_Clean]</t>
  </si>
  <si>
    <t>tblOrders[Channel_Clean]</t>
  </si>
  <si>
    <t>tblOrders[PaymentMethod_Clean]</t>
  </si>
  <si>
    <t>tblOrders[OrderStatus_Cleaned]</t>
  </si>
  <si>
    <t>tblOrders[Quantity_Clean]</t>
  </si>
  <si>
    <t>tblOrders[UnitPrice_Clean]</t>
  </si>
  <si>
    <t>tblOrders[OrderDate_Clean]</t>
  </si>
  <si>
    <t>tblOrders[Discount_Clean]</t>
  </si>
  <si>
    <t>tblOrders[Notes_Clean]</t>
  </si>
  <si>
    <t>tblOrders[HighValueFlag]</t>
  </si>
  <si>
    <t>tblOrders[Revenue]</t>
  </si>
  <si>
    <t>tblOrders[OrderID_Key]</t>
  </si>
  <si>
    <t>tblOrders[OrderNumber]</t>
  </si>
  <si>
    <t>tblOrders[MonthLabel]</t>
  </si>
  <si>
    <t>tblOrders[MonthEndDate]</t>
  </si>
  <si>
    <t>tblOrders[FirstName]</t>
  </si>
  <si>
    <t>tblOrders[Column1]</t>
  </si>
  <si>
    <t>8</t>
  </si>
  <si>
    <t>0.1</t>
  </si>
  <si>
    <t>Follow up needed</t>
  </si>
  <si>
    <t>Grace Farooq</t>
  </si>
  <si>
    <t>474.88</t>
  </si>
  <si>
    <t>High Value</t>
  </si>
  <si>
    <t>Dec-2024</t>
  </si>
  <si>
    <t>Bilal Hussain</t>
  </si>
  <si>
    <t>5</t>
  </si>
  <si>
    <t>Credit card</t>
  </si>
  <si>
    <t>330.74</t>
  </si>
  <si>
    <t>0</t>
  </si>
  <si>
    <t/>
  </si>
  <si>
    <t>Mar-2024</t>
  </si>
  <si>
    <t>In-store</t>
  </si>
  <si>
    <t>286.14</t>
  </si>
  <si>
    <t>Review</t>
  </si>
  <si>
    <t>Sep-2024</t>
  </si>
  <si>
    <t>Grace Taylor</t>
  </si>
  <si>
    <t xml:space="preserve"> 6</t>
  </si>
  <si>
    <t>6</t>
  </si>
  <si>
    <t>256.17</t>
  </si>
  <si>
    <t>Feb-2024</t>
  </si>
  <si>
    <t>3</t>
  </si>
  <si>
    <t>Sarah Malik</t>
  </si>
  <si>
    <t>225.78</t>
  </si>
  <si>
    <t>Standard</t>
  </si>
  <si>
    <t>11</t>
  </si>
  <si>
    <t>0.05</t>
  </si>
  <si>
    <t>Maria Anderson</t>
  </si>
  <si>
    <t>205.14</t>
  </si>
  <si>
    <t>Jul-2024</t>
  </si>
  <si>
    <t xml:space="preserve"> 51.06</t>
  </si>
  <si>
    <t>Grace Smith</t>
  </si>
  <si>
    <t>51.06</t>
  </si>
  <si>
    <t>Aug-2024</t>
  </si>
  <si>
    <t xml:space="preserve"> 426.22</t>
  </si>
  <si>
    <t>Leave at front desk</t>
  </si>
  <si>
    <t>Olivia Lewis</t>
  </si>
  <si>
    <t>426.22</t>
  </si>
  <si>
    <t>May-2024</t>
  </si>
  <si>
    <t>495.96</t>
  </si>
  <si>
    <t>450.3</t>
  </si>
  <si>
    <t>Yusuf Sheikh</t>
  </si>
  <si>
    <t>419.35</t>
  </si>
  <si>
    <t>Michael Farooq</t>
  </si>
  <si>
    <t>Grace Hussain</t>
  </si>
  <si>
    <t>415.21</t>
  </si>
  <si>
    <t>0.2</t>
  </si>
  <si>
    <t>402.96</t>
  </si>
  <si>
    <t>Chen Sheikh</t>
  </si>
  <si>
    <t>Nov-2024</t>
  </si>
  <si>
    <t>390.17</t>
  </si>
  <si>
    <t>Daniel Qureshi</t>
  </si>
  <si>
    <t>363.02</t>
  </si>
  <si>
    <t xml:space="preserve">  Customer called twice</t>
  </si>
  <si>
    <t>Michael Clark</t>
  </si>
  <si>
    <t>Customer called twice</t>
  </si>
  <si>
    <t>2</t>
  </si>
  <si>
    <t>338.05</t>
  </si>
  <si>
    <t>Daniel Johnson</t>
  </si>
  <si>
    <t xml:space="preserve"> 9</t>
  </si>
  <si>
    <t>327.81</t>
  </si>
  <si>
    <t>Ahmed Garcia</t>
  </si>
  <si>
    <t>9</t>
  </si>
  <si>
    <t>322.96</t>
  </si>
  <si>
    <t>Daniel Farooq</t>
  </si>
  <si>
    <t xml:space="preserve"> 11</t>
  </si>
  <si>
    <t>299.55</t>
  </si>
  <si>
    <t>Emily Lee</t>
  </si>
  <si>
    <t>265.4</t>
  </si>
  <si>
    <t>Bilal Brown</t>
  </si>
  <si>
    <t>Jan-2024</t>
  </si>
  <si>
    <t>205.17</t>
  </si>
  <si>
    <t>Ahmed Taylor</t>
  </si>
  <si>
    <t>1</t>
  </si>
  <si>
    <t>177.55</t>
  </si>
  <si>
    <t>Umar Farooq</t>
  </si>
  <si>
    <t>Apr-2024</t>
  </si>
  <si>
    <t>4</t>
  </si>
  <si>
    <t>176.35</t>
  </si>
  <si>
    <t>Chen Clark</t>
  </si>
  <si>
    <t>175.79</t>
  </si>
  <si>
    <t>Noah Malik</t>
  </si>
  <si>
    <t>10</t>
  </si>
  <si>
    <t>104.42</t>
  </si>
  <si>
    <t>Maria Smith</t>
  </si>
  <si>
    <t>97.83</t>
  </si>
  <si>
    <t>0.15</t>
  </si>
  <si>
    <t>Fatima Raza</t>
  </si>
  <si>
    <t>Jun-2024</t>
  </si>
  <si>
    <t>92.01</t>
  </si>
  <si>
    <t>63.34</t>
  </si>
  <si>
    <t>Tom Taylor</t>
  </si>
  <si>
    <t>54.99</t>
  </si>
  <si>
    <t>Bilal Ali</t>
  </si>
  <si>
    <t>30.02</t>
  </si>
  <si>
    <t>Aisha Clark</t>
  </si>
  <si>
    <t>13.8</t>
  </si>
  <si>
    <t>7.57</t>
  </si>
  <si>
    <t>Michael Qureshi</t>
  </si>
  <si>
    <t>7</t>
  </si>
  <si>
    <t xml:space="preserve"> 217.67</t>
  </si>
  <si>
    <t>Aisha Tayloris</t>
  </si>
  <si>
    <t>217.67</t>
  </si>
  <si>
    <t>Oct-2024</t>
  </si>
  <si>
    <t>Aisha Taylor</t>
  </si>
  <si>
    <t>464.64</t>
  </si>
  <si>
    <t>Priya Raza</t>
  </si>
  <si>
    <t>366.6</t>
  </si>
  <si>
    <t>Aisha Garcia</t>
  </si>
  <si>
    <t xml:space="preserve"> 3</t>
  </si>
  <si>
    <t>330.15</t>
  </si>
  <si>
    <t>Robert Qureshi</t>
  </si>
  <si>
    <t>Noah Anderson</t>
  </si>
  <si>
    <t>311.61</t>
  </si>
  <si>
    <t>Robert Raza</t>
  </si>
  <si>
    <t>12</t>
  </si>
  <si>
    <t>308.79</t>
  </si>
  <si>
    <t>284.95</t>
  </si>
  <si>
    <t>222.6</t>
  </si>
  <si>
    <t>Aisha Farooq</t>
  </si>
  <si>
    <t>183.76</t>
  </si>
  <si>
    <t>David Wilson</t>
  </si>
  <si>
    <t>Fatima Hussain</t>
  </si>
  <si>
    <t>160.69</t>
  </si>
  <si>
    <t>151.04</t>
  </si>
  <si>
    <t>Liam Clark</t>
  </si>
  <si>
    <t>Emily Ahmed</t>
  </si>
  <si>
    <t xml:space="preserve"> 1</t>
  </si>
  <si>
    <t>114.89</t>
  </si>
  <si>
    <t>54.12</t>
  </si>
  <si>
    <t>Umar Clark</t>
  </si>
  <si>
    <t>22.48</t>
  </si>
  <si>
    <t>Data returned for Sum of Revenue, Groceries (First 1000 rows).</t>
  </si>
  <si>
    <t>Average Order Value</t>
  </si>
  <si>
    <t>Order Count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</si>
  <si>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</si>
  <si>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</si>
  <si>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</si>
  <si>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</si>
  <si>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</si>
  <si>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</si>
  <si>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</si>
  <si>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</si>
  <si>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</si>
  <si>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</si>
  <si>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</si>
  <si>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</si>
  <si>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</si>
  <si>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Discount_Numeric</t>
  </si>
  <si>
    <t>Customer Name</t>
  </si>
  <si>
    <t>Priya Sheikh</t>
  </si>
  <si>
    <t>West In-Store Completed Revenue</t>
  </si>
  <si>
    <t>Orders with Discount &gt; 0.15</t>
  </si>
  <si>
    <t>Average of Discount_Clean</t>
  </si>
  <si>
    <t>(blank)</t>
  </si>
  <si>
    <t>Count of OrderID</t>
  </si>
  <si>
    <t>(Multiple Items)</t>
  </si>
  <si>
    <t>(All)</t>
  </si>
  <si>
    <t>OrderCount</t>
  </si>
  <si>
    <t>Trend</t>
  </si>
  <si>
    <t>Average of Discount_Numeric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</si>
</sst>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4" fontId="2" fillId="0" borderId="0" xfId="0" applyNumberFormat="1" applyFont="1"/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2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0" fillId="0" borderId="0" xfId="0" applyNumberFormat="1"/>
    <xf numFmtId="17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17" fontId="3" fillId="0" borderId="0" xfId="0" applyNumberFormat="1" applyFont="1" applyAlignment="1">
      <alignment vertical="center" wrapText="1"/>
    </xf>
    <xf numFmtId="17" fontId="3" fillId="0" borderId="0" xfId="0" applyNumberFormat="1" applyFont="1"/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bottom" textRotation="0" wrapText="0" indent="0" justifyLastLine="0" shrinkToFit="0" readingOrder="0"/>
    </dxf>
    <dxf>
      <numFmt numFmtId="19" formatCode="m/d/yyyy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[Orders_Working.xlsx]Pivot_RevenueByCategory!PivotTable1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layout>
        <c:manualLayout>
          <c:xMode val="edge"/>
          <c:yMode val="edge"/>
          <c:x val="0.29910439766457769"/>
          <c:y val="4.1297170035637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Pivot_RevenueByCategory!$B$3:$B$4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Pivot_RevenueByCategory!$A$5:$A$10</c:f>
              <c:strCache>
                <c:ptCount val="5"/>
                <c:pt idx="0">
                  <c:v>Furniture</c:v>
                </c:pt>
                <c:pt idx="1">
                  <c:v>Clothing</c:v>
                </c:pt>
                <c:pt idx="2">
                  <c:v>Stationery</c:v>
                </c:pt>
                <c:pt idx="3">
                  <c:v>Groceries</c:v>
                </c:pt>
                <c:pt idx="4">
                  <c:v>Electronics</c:v>
                </c:pt>
              </c:strCache>
            </c:strRef>
          </c:cat>
          <c:val>
            <c:numRef>
              <c:f>Pivot_RevenueByCategory!$B$5:$B$10</c:f>
              <c:numCache>
                <c:formatCode>General</c:formatCode>
                <c:ptCount val="5"/>
                <c:pt idx="0">
                  <c:v>33823.730000000003</c:v>
                </c:pt>
                <c:pt idx="1">
                  <c:v>50919.959999999992</c:v>
                </c:pt>
                <c:pt idx="2">
                  <c:v>35566.629999999997</c:v>
                </c:pt>
                <c:pt idx="3">
                  <c:v>45323.090000000011</c:v>
                </c:pt>
                <c:pt idx="4">
                  <c:v>52611.519999999997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A-4D4B-83CE-2C6605BAF5AA}"/>
            </c:ext>
          </c:extLst>
        </c:ser>
        <c:ser>
          <c:idx val="1"/>
          <c:order val="1"/>
          <c:tx>
            <c:strRef>
              <c:f>Pivot_RevenueByCategory!$C$3:$C$4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Pivot_RevenueByCategory!$A$5:$A$10</c:f>
              <c:strCache>
                <c:ptCount val="5"/>
                <c:pt idx="0">
                  <c:v>Furniture</c:v>
                </c:pt>
                <c:pt idx="1">
                  <c:v>Clothing</c:v>
                </c:pt>
                <c:pt idx="2">
                  <c:v>Stationery</c:v>
                </c:pt>
                <c:pt idx="3">
                  <c:v>Groceries</c:v>
                </c:pt>
                <c:pt idx="4">
                  <c:v>Electronics</c:v>
                </c:pt>
              </c:strCache>
            </c:strRef>
          </c:cat>
          <c:val>
            <c:numRef>
              <c:f>Pivot_RevenueByCategory!$C$5:$C$10</c:f>
              <c:numCache>
                <c:formatCode>General</c:formatCode>
                <c:ptCount val="5"/>
                <c:pt idx="0">
                  <c:v>53959.12999999999</c:v>
                </c:pt>
                <c:pt idx="1">
                  <c:v>29750.89</c:v>
                </c:pt>
                <c:pt idx="2">
                  <c:v>37437.71</c:v>
                </c:pt>
                <c:pt idx="3">
                  <c:v>24164.61</c:v>
                </c:pt>
                <c:pt idx="4">
                  <c:v>16397.650000000001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3A-4D4B-83CE-2C6605BAF5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42663519"/>
        <c:axId val="1073535856"/>
      </c:barChart>
      <c:catAx>
        <c:axId val="114266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535856"/>
        <c:crosses val="autoZero"/>
        <c:auto val="1"/>
        <c:lblAlgn val="ctr"/>
        <c:lblOffset val="100"/>
        <c:noMultiLvlLbl val="0"/>
      </c:catAx>
      <c:valAx>
        <c:axId val="107353585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14266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[Orders_Working.xlsx]Pivot_MonthlyTrend!PivotTable4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Monthly Revenue Trend — 2024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Pivot_MonthlyTrend!$B$3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Pivot_MonthlyTrend!$A$4:$A$17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Pivot_MonthlyTrend!$B$4:$B$17</c:f>
              <c:numCache>
                <c:formatCode>General</c:formatCode>
                <c:ptCount val="12"/>
                <c:pt idx="0">
                  <c:v>17245.77</c:v>
                </c:pt>
                <c:pt idx="1">
                  <c:v>31669.22</c:v>
                </c:pt>
                <c:pt idx="2">
                  <c:v>40626.090000000004</c:v>
                </c:pt>
                <c:pt idx="3">
                  <c:v>24408.01</c:v>
                </c:pt>
                <c:pt idx="4">
                  <c:v>26801.609999999997</c:v>
                </c:pt>
                <c:pt idx="5">
                  <c:v>32460.670000000002</c:v>
                </c:pt>
                <c:pt idx="6">
                  <c:v>42306.64</c:v>
                </c:pt>
                <c:pt idx="7">
                  <c:v>60793.100000000006</c:v>
                </c:pt>
                <c:pt idx="8">
                  <c:v>24267.749999999996</c:v>
                </c:pt>
                <c:pt idx="9">
                  <c:v>24898.749999999996</c:v>
                </c:pt>
                <c:pt idx="10">
                  <c:v>15474.369999999999</c:v>
                </c:pt>
                <c:pt idx="11">
                  <c:v>39002.94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0-42CF-8F9A-E6D2CF4AD368}"/>
            </c:ext>
          </c:extLst>
        </c:ser>
        <c:ser>
          <c:idx val="1"/>
          <c:order val="1"/>
          <c:tx>
            <c:strRef>
              <c:f>Pivot_MonthlyTrend!$C$3</c:f>
              <c:strCache>
                <c:ptCount val="1"/>
                <c:pt idx="0">
                  <c:v>OrderCount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Pivot_MonthlyTrend!$A$4:$A$17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Pivot_MonthlyTrend!$C$4:$C$17</c:f>
              <c:numCache>
                <c:formatCode>General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23</c:v>
                </c:pt>
                <c:pt idx="3">
                  <c:v>20</c:v>
                </c:pt>
                <c:pt idx="4">
                  <c:v>24</c:v>
                </c:pt>
                <c:pt idx="5">
                  <c:v>22</c:v>
                </c:pt>
                <c:pt idx="6">
                  <c:v>23</c:v>
                </c:pt>
                <c:pt idx="7">
                  <c:v>28</c:v>
                </c:pt>
                <c:pt idx="8">
                  <c:v>14</c:v>
                </c:pt>
                <c:pt idx="9">
                  <c:v>23</c:v>
                </c:pt>
                <c:pt idx="10">
                  <c:v>16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00-42CF-8F9A-E6D2CF4AD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881599"/>
        <c:axId val="1011233136"/>
      </c:lineChart>
      <c:catAx>
        <c:axId val="114588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233136"/>
        <c:crosses val="autoZero"/>
        <c:auto val="1"/>
        <c:lblAlgn val="ctr"/>
        <c:lblOffset val="100"/>
        <c:noMultiLvlLbl val="0"/>
      </c:catAx>
      <c:valAx>
        <c:axId val="101123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8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[Orders_Working.xlsx]Pivot_MonthlyTrend!PivotTable4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Pivot_MonthlyTrend!$B$3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Pivot_MonthlyTrend!$A$4:$A$17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Pivot_MonthlyTrend!$B$4:$B$17</c:f>
              <c:numCache>
                <c:formatCode>General</c:formatCode>
                <c:ptCount val="12"/>
                <c:pt idx="0">
                  <c:v>17245.77</c:v>
                </c:pt>
                <c:pt idx="1">
                  <c:v>31669.22</c:v>
                </c:pt>
                <c:pt idx="2">
                  <c:v>40626.090000000004</c:v>
                </c:pt>
                <c:pt idx="3">
                  <c:v>24408.01</c:v>
                </c:pt>
                <c:pt idx="4">
                  <c:v>26801.609999999997</c:v>
                </c:pt>
                <c:pt idx="5">
                  <c:v>32460.670000000002</c:v>
                </c:pt>
                <c:pt idx="6">
                  <c:v>42306.64</c:v>
                </c:pt>
                <c:pt idx="7">
                  <c:v>60793.100000000006</c:v>
                </c:pt>
                <c:pt idx="8">
                  <c:v>24267.749999999996</c:v>
                </c:pt>
                <c:pt idx="9">
                  <c:v>24898.749999999996</c:v>
                </c:pt>
                <c:pt idx="10">
                  <c:v>15474.369999999999</c:v>
                </c:pt>
                <c:pt idx="11">
                  <c:v>39002.94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4-4D6E-89E7-AE4F766CD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975695"/>
        <c:axId val="1759447440"/>
      </c:barChart>
      <c:lineChart>
        <c:grouping val="standard"/>
        <c:varyColors val="0"/>
        <c:ser>
          <c:idx val="1"/>
          <c:order val="1"/>
          <c:tx>
            <c:strRef>
              <c:f>Pivot_MonthlyTrend!$C$3</c:f>
              <c:strCache>
                <c:ptCount val="1"/>
                <c:pt idx="0">
                  <c:v>OrderCount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Pivot_MonthlyTrend!$A$4:$A$17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Pivot_MonthlyTrend!$C$4:$C$17</c:f>
              <c:numCache>
                <c:formatCode>General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23</c:v>
                </c:pt>
                <c:pt idx="3">
                  <c:v>20</c:v>
                </c:pt>
                <c:pt idx="4">
                  <c:v>24</c:v>
                </c:pt>
                <c:pt idx="5">
                  <c:v>22</c:v>
                </c:pt>
                <c:pt idx="6">
                  <c:v>23</c:v>
                </c:pt>
                <c:pt idx="7">
                  <c:v>28</c:v>
                </c:pt>
                <c:pt idx="8">
                  <c:v>14</c:v>
                </c:pt>
                <c:pt idx="9">
                  <c:v>23</c:v>
                </c:pt>
                <c:pt idx="10">
                  <c:v>16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A4-4D6E-89E7-AE4F766CD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3303103"/>
        <c:axId val="1759436880"/>
      </c:lineChart>
      <c:catAx>
        <c:axId val="114697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447440"/>
        <c:crosses val="autoZero"/>
        <c:auto val="1"/>
        <c:lblAlgn val="ctr"/>
        <c:lblOffset val="100"/>
        <c:noMultiLvlLbl val="0"/>
      </c:catAx>
      <c:valAx>
        <c:axId val="17594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975695"/>
        <c:crosses val="autoZero"/>
        <c:crossBetween val="between"/>
      </c:valAx>
      <c:valAx>
        <c:axId val="17594368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03103"/>
        <c:crosses val="max"/>
        <c:crossBetween val="between"/>
      </c:valAx>
      <c:catAx>
        <c:axId val="11533031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594368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[Orders_Working.xlsx]Pivot_SalesRepRevenue!PivotTable2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Total Revenue by SalesRep</a:t>
            </a:r>
            <a:endParaRPr lang="en-US" sz="1200" b="1"/>
          </a:p>
        </c:rich>
      </c:tx>
      <c:layout>
        <c:manualLayout>
          <c:xMode val="edge"/>
          <c:yMode val="edge"/>
          <c:x val="0.32605555555555554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Pivot_SalesRepRevenue!$B$3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Pivot_SalesRepRevenue!$A$4:$A$10</c:f>
              <c:strCache>
                <c:ptCount val="6"/>
                <c:pt idx="0">
                  <c:v>E. Tanaka</c:v>
                </c:pt>
                <c:pt idx="1">
                  <c:v>(blank)</c:v>
                </c:pt>
                <c:pt idx="2">
                  <c:v>C. Osei</c:v>
                </c:pt>
                <c:pt idx="3">
                  <c:v>A. Malik</c:v>
                </c:pt>
                <c:pt idx="4">
                  <c:v>D. Iqbal</c:v>
                </c:pt>
                <c:pt idx="5">
                  <c:v>B. Fernandes</c:v>
                </c:pt>
              </c:strCache>
            </c:strRef>
          </c:cat>
          <c:val>
            <c:numRef>
              <c:f>Pivot_SalesRepRevenue!$B$4:$B$10</c:f>
              <c:numCache>
                <c:formatCode>General</c:formatCode>
                <c:ptCount val="6"/>
                <c:pt idx="0">
                  <c:v>76962.02</c:v>
                </c:pt>
                <c:pt idx="1">
                  <c:v>70422.16</c:v>
                </c:pt>
                <c:pt idx="2">
                  <c:v>65661.72</c:v>
                </c:pt>
                <c:pt idx="3">
                  <c:v>61591.62000000001</c:v>
                </c:pt>
                <c:pt idx="4">
                  <c:v>58939.540000000023</c:v>
                </c:pt>
                <c:pt idx="5">
                  <c:v>46377.859999999993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B-4536-8EC8-9BCF221612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46976623"/>
        <c:axId val="1073530096"/>
      </c:barChart>
      <c:catAx>
        <c:axId val="1146976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530096"/>
        <c:crosses val="autoZero"/>
        <c:auto val="1"/>
        <c:lblAlgn val="ctr"/>
        <c:lblOffset val="100"/>
        <c:noMultiLvlLbl val="0"/>
      </c:catAx>
      <c:valAx>
        <c:axId val="1073530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97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[Orders_Working.xlsx]Pivot_RevenueDiscount!PivotTable4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Pivot_RevenueDiscount!$B$3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Pivot_RevenueDiscount!$A$4:$A$6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Pivot_RevenueDiscount!$B$4:$B$6</c:f>
              <c:numCache>
                <c:formatCode>General</c:formatCode>
                <c:ptCount val="2"/>
                <c:pt idx="0">
                  <c:v>218244.93000000002</c:v>
                </c:pt>
                <c:pt idx="1">
                  <c:v>161709.99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A-4A34-B98E-801B04758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1447696"/>
        <c:axId val="1759443120"/>
      </c:barChart>
      <c:lineChart>
        <c:grouping val="standard"/>
        <c:varyColors val="0"/>
        <c:ser>
          <c:idx val="1"/>
          <c:order val="1"/>
          <c:tx>
            <c:strRef>
              <c:f>Pivot_RevenueDiscount!$C$3</c:f>
              <c:strCache>
                <c:ptCount val="1"/>
                <c:pt idx="0">
                  <c:v>Average of Discount_Numeric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Pivot_RevenueDiscount!$A$4:$A$6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Pivot_RevenueDiscount!$C$4:$C$6</c:f>
              <c:numCache>
                <c:formatCode>General</c:formatCode>
                <c:ptCount val="2"/>
                <c:pt idx="0">
                  <c:v>6.107142857142854E-2</c:v>
                </c:pt>
                <c:pt idx="1">
                  <c:v>6.971153846153845E-2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2A-4A34-B98E-801B04758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466720"/>
        <c:axId val="1759462800"/>
      </c:lineChart>
      <c:catAx>
        <c:axId val="17814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443120"/>
        <c:crosses val="autoZero"/>
        <c:auto val="1"/>
        <c:lblAlgn val="ctr"/>
        <c:lblOffset val="100"/>
        <c:noMultiLvlLbl val="0"/>
      </c:catAx>
      <c:valAx>
        <c:axId val="175944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47696"/>
        <c:crosses val="autoZero"/>
        <c:crossBetween val="between"/>
      </c:valAx>
      <c:valAx>
        <c:axId val="17594628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66720"/>
        <c:crosses val="max"/>
        <c:crossBetween val="between"/>
      </c:valAx>
      <c:catAx>
        <c:axId val="1781466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594628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4</xdr:row>
      <xdr:rowOff>47625</xdr:rowOff>
    </xdr:from>
    <xdr:to>
      <xdr:col>12</xdr:col>
      <xdr:colOff>371475</xdr:colOff>
      <xdr:row>18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E2AE9-9F6C-F6BE-D3B6-2133D3DAD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114299</xdr:colOff>
      <xdr:row>0</xdr:row>
      <xdr:rowOff>180975</xdr:rowOff>
    </xdr:from>
    <xdr:to>
      <xdr:col>16</xdr:col>
      <xdr:colOff>19050</xdr:colOff>
      <xdr:row>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DF73F1-BA80-268A-975A-E4C46D0B2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9</xdr:row>
      <xdr:rowOff>152399</xdr:rowOff>
    </xdr:from>
    <xdr:to>
      <xdr:col>16</xdr:col>
      <xdr:colOff>47625</xdr:colOff>
      <xdr:row>17</xdr:row>
      <xdr:rowOff>71436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91B479-802C-D8BF-1427-E257FD7F5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2</xdr:row>
      <xdr:rowOff>109537</xdr:rowOff>
    </xdr:from>
    <xdr:to>
      <xdr:col>11</xdr:col>
      <xdr:colOff>257175</xdr:colOff>
      <xdr:row>16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22A99-8B0A-0191-1A27-A760B3DBA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3</xdr:row>
      <xdr:rowOff>4762</xdr:rowOff>
    </xdr:from>
    <xdr:to>
      <xdr:col>11</xdr:col>
      <xdr:colOff>133350</xdr:colOff>
      <xdr:row>17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7197CD-328C-8845-6B23-20213AF32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tcl" refreshedDate="46269.607224884261" backgroundQuery="1" createdVersion="8" refreshedVersion="8" minRefreshableVersion="3" recordCount="0" supportSubquery="1" supportAdvancedDrill="1" xr:uid="{FCB6D70E-15C2-4234-B6A7-845D431F3804}">
  <cacheSource type="external" connectionId="2"/>
  <cacheFields count="3">
    <cacheField name="[tblOrders].[Category_Clean].[Category_Clean]" caption="Category_Clean" numFmtId="0" hierarchy="17" level="1">
      <sharedItems count="5">
        <s v="Clothing"/>
        <s v="Electronics"/>
        <s v="Furniture"/>
        <s v="Groceries"/>
        <s v="Stationery"/>
      </sharedItems>
    </cacheField>
    <cacheField name="[tblOrders].[Channel_Clean].[Channel_Clean]" caption="Channel_Clean" numFmtId="0" hierarchy="18" level="1">
      <sharedItems count="2">
        <s v="In-Store"/>
        <s v="Online"/>
      </sharedItems>
    </cacheField>
    <cacheField name="[Measures].[Sum of Revenue]" caption="Sum of Revenue" numFmtId="0" hierarchy="37" level="32767"/>
  </cacheFields>
  <cacheHierarchies count="38">
    <cacheHierarchy uniqueName="[tblOrders].[OrderID]" caption="OrderID" attribute="1" defaultMemberUniqueName="[tblOrders].[OrderID].[All]" allUniqueName="[tblOrders].[OrderID].[All]" dimensionUniqueName="[tblOrders]" displayFolder="" count="0" memberValueDatatype="130" unbalanced="0"/>
    <cacheHierarchy uniqueName="[tblOrders].[OrderDate]" caption="OrderDate" attribute="1" defaultMemberUniqueName="[tblOrders].[OrderDate].[All]" allUniqueName="[tblOrders].[OrderDate].[All]" dimensionUniqueName="[tblOrders]" displayFolder="" count="0" memberValueDatatype="130" unbalanced="0"/>
    <cacheHierarchy uniqueName="[tblOrders].[CustomerName]" caption="CustomerName" attribute="1" defaultMemberUniqueName="[tblOrders].[CustomerName].[All]" allUniqueName="[tblOrders].[CustomerName].[All]" dimensionUniqueName="[tblOrders]" displayFolder="" count="0" memberValueDatatype="130" unbalanced="0"/>
    <cacheHierarchy uniqueName="[tblOrders].[Region]" caption="Region" attribute="1" defaultMemberUniqueName="[tblOrders].[Region].[All]" allUniqueName="[tblOrders].[Region].[All]" dimensionUniqueName="[tblOrders]" displayFolder="" count="0" memberValueDatatype="130" unbalanced="0"/>
    <cacheHierarchy uniqueName="[tblOrders].[City]" caption="City" attribute="1" defaultMemberUniqueName="[tblOrders].[City].[All]" allUniqueName="[tblOrders].[City].[All]" dimensionUniqueName="[tblOrders]" displayFolder="" count="0" memberValueDatatype="130" unbalanced="0"/>
    <cacheHierarchy uniqueName="[tblOrders].[Category]" caption="Category" attribute="1" defaultMemberUniqueName="[tblOrders].[Category].[All]" allUniqueName="[tblOrders].[Category].[All]" dimensionUniqueName="[tblOrders]" displayFolder="" count="0" memberValueDatatype="130" unbalanced="0"/>
    <cacheHierarchy uniqueName="[tblOrders].[Product]" caption="Product" attribute="1" defaultMemberUniqueName="[tblOrders].[Product].[All]" allUniqueName="[tblOrders].[Product].[All]" dimensionUniqueName="[tblOrders]" displayFolder="" count="0" memberValueDatatype="130" unbalanced="0"/>
    <cacheHierarchy uniqueName="[tblOrders].[Channel]" caption="Channel" attribute="1" defaultMemberUniqueName="[tblOrders].[Channel].[All]" allUniqueName="[tblOrders].[Channel].[All]" dimensionUniqueName="[tblOrders]" displayFolder="" count="0" memberValueDatatype="130" unbalanced="0"/>
    <cacheHierarchy uniqueName="[tblOrders].[Quantity]" caption="Quantity" attribute="1" defaultMemberUniqueName="[tblOrders].[Quantity].[All]" allUniqueName="[tblOrders].[Quantity].[All]" dimensionUniqueName="[tblOrders]" displayFolder="" count="0" memberValueDatatype="130" unbalanced="0"/>
    <cacheHierarchy uniqueName="[tblOrders].[UnitPrice]" caption="UnitPrice" attribute="1" defaultMemberUniqueName="[tblOrders].[UnitPrice].[All]" allUniqueName="[tblOrders].[UnitPrice].[All]" dimensionUniqueName="[tblOrders]" displayFolder="" count="0" memberValueDatatype="130" unbalanced="0"/>
    <cacheHierarchy uniqueName="[tblOrders].[Discount]" caption="Discount" attribute="1" defaultMemberUniqueName="[tblOrders].[Discount].[All]" allUniqueName="[tblOrders].[Discount].[All]" dimensionUniqueName="[tblOrders]" displayFolder="" count="0" memberValueDatatype="130" unbalanced="0"/>
    <cacheHierarchy uniqueName="[tblOrders].[PaymentMethod]" caption="PaymentMethod" attribute="1" defaultMemberUniqueName="[tblOrders].[PaymentMethod].[All]" allUniqueName="[tblOrders].[PaymentMethod].[All]" dimensionUniqueName="[tblOrders]" displayFolder="" count="0" memberValueDatatype="130" unbalanced="0"/>
    <cacheHierarchy uniqueName="[tblOrders].[OrderStatus]" caption="OrderStatus" attribute="1" defaultMemberUniqueName="[tblOrders].[OrderStatus].[All]" allUniqueName="[tblOrders].[OrderStatus].[All]" dimensionUniqueName="[tblOrders]" displayFolder="" count="0" memberValueDatatype="130" unbalanced="0"/>
    <cacheHierarchy uniqueName="[tblOrders].[SalesRep]" caption="SalesRep" attribute="1" defaultMemberUniqueName="[tblOrders].[SalesRep].[All]" allUniqueName="[tblOrders].[SalesRep].[All]" dimensionUniqueName="[tblOrders]" displayFolder="" count="0" memberValueDatatype="130" unbalanced="0"/>
    <cacheHierarchy uniqueName="[tblOrders].[Notes]" caption="Notes" attribute="1" defaultMemberUniqueName="[tblOrders].[Notes].[All]" allUniqueName="[tblOrders].[Notes].[All]" dimensionUniqueName="[tblOrders]" displayFolder="" count="0" memberValueDatatype="130" unbalanced="0"/>
    <cacheHierarchy uniqueName="[tblOrders].[CustomerName_Clean]" caption="CustomerName_Clean" attribute="1" defaultMemberUniqueName="[tblOrders].[CustomerName_Clean].[All]" allUniqueName="[tblOrders].[CustomerName_Clean].[All]" dimensionUniqueName="[tblOrders]" displayFolder="" count="0" memberValueDatatype="130" unbalanced="0"/>
    <cacheHierarchy uniqueName="[tblOrders].[Region_Clean]" caption="Region_Clean" attribute="1" defaultMemberUniqueName="[tblOrders].[Region_Clean].[All]" allUniqueName="[tblOrders].[Region_Clean].[All]" dimensionUniqueName="[tblOrders]" displayFolder="" count="0" memberValueDatatype="130" unbalanced="0"/>
    <cacheHierarchy uniqueName="[tblOrders].[Category_Clean]" caption="Category_Clean" attribute="1" defaultMemberUniqueName="[tblOrders].[Category_Clean].[All]" allUniqueName="[tblOrders].[Category_Clean].[All]" dimensionUniqueName="[tblOrders]" displayFolder="" count="2" memberValueDatatype="130" unbalanced="0">
      <fieldsUsage count="2">
        <fieldUsage x="-1"/>
        <fieldUsage x="0"/>
      </fieldsUsage>
    </cacheHierarchy>
    <cacheHierarchy uniqueName="[tblOrders].[Channel_Clean]" caption="Channel_Clean" attribute="1" defaultMemberUniqueName="[tblOrders].[Channel_Clean].[All]" allUniqueName="[tblOrders].[Channel_Clean].[All]" dimensionUniqueName="[tblOrders]" displayFolder="" count="2" memberValueDatatype="130" unbalanced="0">
      <fieldsUsage count="2">
        <fieldUsage x="-1"/>
        <fieldUsage x="1"/>
      </fieldsUsage>
    </cacheHierarchy>
    <cacheHierarchy uniqueName="[tblOrders].[PaymentMethod_Clean]" caption="PaymentMethod_Clean" attribute="1" defaultMemberUniqueName="[tblOrders].[PaymentMethod_Clean].[All]" allUniqueName="[tblOrders].[PaymentMethod_Clean].[All]" dimensionUniqueName="[tblOrders]" displayFolder="" count="0" memberValueDatatype="130" unbalanced="0"/>
    <cacheHierarchy uniqueName="[tblOrders].[OrderStatus_Cleaned]" caption="OrderStatus_Cleaned" attribute="1" defaultMemberUniqueName="[tblOrders].[OrderStatus_Cleaned].[All]" allUniqueName="[tblOrders].[OrderStatus_Cleaned].[All]" dimensionUniqueName="[tblOrders]" displayFolder="" count="0" memberValueDatatype="130" unbalanced="0"/>
    <cacheHierarchy uniqueName="[tblOrders].[Quantity_Clean]" caption="Quantity_Clean" attribute="1" defaultMemberUniqueName="[tblOrders].[Quantity_Clean].[All]" allUniqueName="[tblOrders].[Quantity_Clean].[All]" dimensionUniqueName="[tblOrders]" displayFolder="" count="0" memberValueDatatype="130" unbalanced="0"/>
    <cacheHierarchy uniqueName="[tblOrders].[UnitPrice_Clean]" caption="UnitPrice_Clean" attribute="1" defaultMemberUniqueName="[tblOrders].[UnitPrice_Clean].[All]" allUniqueName="[tblOrders].[UnitPrice_Clean].[All]" dimensionUniqueName="[tblOrders]" displayFolder="" count="0" memberValueDatatype="130" unbalanced="0"/>
    <cacheHierarchy uniqueName="[tblOrders].[OrderDate_Clean]" caption="OrderDate_Clean" attribute="1" time="1" defaultMemberUniqueName="[tblOrders].[OrderDate_Clean].[All]" allUniqueName="[tblOrders].[OrderDate_Clean].[All]" dimensionUniqueName="[tblOrders]" displayFolder="" count="0" memberValueDatatype="7" unbalanced="0"/>
    <cacheHierarchy uniqueName="[tblOrders].[Discount_Clean]" caption="Discount_Clean" attribute="1" defaultMemberUniqueName="[tblOrders].[Discount_Clean].[All]" allUniqueName="[tblOrders].[Discount_Clean].[All]" dimensionUniqueName="[tblOrders]" displayFolder="" count="0" memberValueDatatype="130" unbalanced="0"/>
    <cacheHierarchy uniqueName="[tblOrders].[Notes_Clean]" caption="Notes_Clean" attribute="1" defaultMemberUniqueName="[tblOrders].[Notes_Clean].[All]" allUniqueName="[tblOrders].[Notes_Clean].[All]" dimensionUniqueName="[tblOrders]" displayFolder="" count="0" memberValueDatatype="130" unbalanced="0"/>
    <cacheHierarchy uniqueName="[tblOrders].[HighValueFlag]" caption="HighValueFlag" attribute="1" defaultMemberUniqueName="[tblOrders].[HighValueFlag].[All]" allUniqueName="[tblOrders].[HighValueFlag].[All]" dimensionUniqueName="[tblOrders]" displayFolder="" count="0" memberValueDatatype="130" unbalanced="0"/>
    <cacheHierarchy uniqueName="[tblOrders].[Revenue]" caption="Revenue" attribute="1" defaultMemberUniqueName="[tblOrders].[Revenue].[All]" allUniqueName="[tblOrders].[Revenue].[All]" dimensionUniqueName="[tblOrders]" displayFolder="" count="0" memberValueDatatype="5" unbalanced="0"/>
    <cacheHierarchy uniqueName="[tblOrders].[OrderID_Key]" caption="OrderID_Key" attribute="1" defaultMemberUniqueName="[tblOrders].[OrderID_Key].[All]" allUniqueName="[tblOrders].[OrderID_Key].[All]" dimensionUniqueName="[tblOrders]" displayFolder="" count="0" memberValueDatatype="130" unbalanced="0"/>
    <cacheHierarchy uniqueName="[tblOrders].[OrderNumber]" caption="OrderNumber" attribute="1" defaultMemberUniqueName="[tblOrders].[OrderNumber].[All]" allUniqueName="[tblOrders].[OrderNumber].[All]" dimensionUniqueName="[tblOrders]" displayFolder="" count="0" memberValueDatatype="20" unbalanced="0"/>
    <cacheHierarchy uniqueName="[tblOrders].[MonthLabel]" caption="MonthLabel" attribute="1" defaultMemberUniqueName="[tblOrders].[MonthLabel].[All]" allUniqueName="[tblOrders].[MonthLabel].[All]" dimensionUniqueName="[tblOrders]" displayFolder="" count="0" memberValueDatatype="130" unbalanced="0"/>
    <cacheHierarchy uniqueName="[tblOrders].[MonthEndDate]" caption="MonthEndDate" attribute="1" time="1" defaultMemberUniqueName="[tblOrders].[MonthEndDate].[All]" allUniqueName="[tblOrders].[MonthEndDate].[All]" dimensionUniqueName="[tblOrders]" displayFolder="" count="0" memberValueDatatype="7" unbalanced="0"/>
    <cacheHierarchy uniqueName="[tblOrders].[FirstName]" caption="FirstName" attribute="1" defaultMemberUniqueName="[tblOrders].[FirstName].[All]" allUniqueName="[tblOrders].[FirstName].[All]" dimensionUniqueName="[tblOrders]" displayFolder="" count="0" memberValueDatatype="130" unbalanced="0"/>
    <cacheHierarchy uniqueName="[tblOrders].[Column1]" caption="Column1" attribute="1" defaultMemberUniqueName="[tblOrders].[Column1].[All]" allUniqueName="[tblOrders].[Column1].[All]" dimensionUniqueName="[tblOrders]" displayFolder="" count="0" memberValueDatatype="20" unbalanced="0"/>
    <cacheHierarchy uniqueName="[Measures].[__XL_Count tblOrders]" caption="__XL_Count tblOrders" measure="1" displayFolder="" measureGroup="tblOrders" count="0" hidden="1"/>
    <cacheHierarchy uniqueName="[Measures].[__No measures defined]" caption="__No measures defined" measure="1" displayFolder="" count="0" hidden="1"/>
    <cacheHierarchy uniqueName="[Measures].[Count of Revenue]" caption="Count of Revenue" measure="1" displayFolder="" measureGroup="tblOrder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Revenue]" caption="Sum of Revenue" measure="1" displayFolder="" measureGroup="tbl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2">
    <dimension measure="1" name="Measures" uniqueName="[Measures]" caption="Measures"/>
    <dimension name="tblOrders" uniqueName="[tblOrders]" caption="tblOrders"/>
  </dimensions>
  <measureGroups count="1">
    <measureGroup name="tblOrders" caption="tblOrder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tcl" refreshedDate="46274.779379050924" createdVersion="8" refreshedVersion="8" minRefreshableVersion="3" recordCount="244" xr:uid="{84BA5568-F986-4CE9-84F3-684D9C9015AA}">
  <cacheSource type="worksheet">
    <worksheetSource name="tblOrders"/>
  </cacheSource>
  <cacheFields count="36">
    <cacheField name="OrderID" numFmtId="0">
      <sharedItems/>
    </cacheField>
    <cacheField name="OrderDate" numFmtId="0">
      <sharedItems/>
    </cacheField>
    <cacheField name="CustomerName" numFmtId="0">
      <sharedItems/>
    </cacheField>
    <cacheField name="Region" numFmtId="0">
      <sharedItems/>
    </cacheField>
    <cacheField name="City" numFmtId="0">
      <sharedItems containsBlank="1"/>
    </cacheField>
    <cacheField name="Category" numFmtId="0">
      <sharedItems/>
    </cacheField>
    <cacheField name="Product" numFmtId="0">
      <sharedItems/>
    </cacheField>
    <cacheField name="Channel" numFmtId="0">
      <sharedItems/>
    </cacheField>
    <cacheField name="Quantity" numFmtId="0">
      <sharedItems containsBlank="1" containsMixedTypes="1" containsNumber="1" containsInteger="1" minValue="1" maxValue="12"/>
    </cacheField>
    <cacheField name="UnitPrice" numFmtId="0">
      <sharedItems containsBlank="1" containsMixedTypes="1" containsNumber="1" minValue="7.57" maxValue="499.37"/>
    </cacheField>
    <cacheField name="Discount" numFmtId="0">
      <sharedItems containsBlank="1" containsMixedTypes="1" containsNumber="1" minValue="0" maxValue="0.2"/>
    </cacheField>
    <cacheField name="PaymentMethod" numFmtId="0">
      <sharedItems count="7">
        <s v="Credit card "/>
        <s v="CREDIT CARD"/>
        <s v="Bank Transfer"/>
        <s v="cash"/>
        <s v="CC"/>
        <s v="debit card"/>
        <s v="Cash "/>
      </sharedItems>
    </cacheField>
    <cacheField name="OrderStatus" numFmtId="0">
      <sharedItems/>
    </cacheField>
    <cacheField name="SalesRep" numFmtId="0">
      <sharedItems containsBlank="1" count="6">
        <m/>
        <s v="C. Osei"/>
        <s v="B. Fernandes"/>
        <s v="D. Iqbal"/>
        <s v="A. Malik"/>
        <s v="E. Tanaka"/>
      </sharedItems>
    </cacheField>
    <cacheField name="Notes" numFmtId="0">
      <sharedItems containsBlank="1"/>
    </cacheField>
    <cacheField name="CustomerName_Clean" numFmtId="0">
      <sharedItems/>
    </cacheField>
    <cacheField name="Region_Clean" numFmtId="0">
      <sharedItems count="4">
        <s v="West"/>
        <s v="North"/>
        <s v="South"/>
        <s v="East"/>
      </sharedItems>
    </cacheField>
    <cacheField name="Category_Clean" numFmtId="0">
      <sharedItems count="5">
        <s v="Furniture"/>
        <s v="Clothing"/>
        <s v="Electronics"/>
        <s v="Groceries"/>
        <s v="Stationery"/>
      </sharedItems>
    </cacheField>
    <cacheField name="Channel_Clean" numFmtId="0">
      <sharedItems count="2">
        <s v="In-Store"/>
        <s v="Online"/>
      </sharedItems>
    </cacheField>
    <cacheField name="PaymentMethod_Clean" numFmtId="0">
      <sharedItems/>
    </cacheField>
    <cacheField name="OrderStatus_Cleaned" numFmtId="0">
      <sharedItems count="4">
        <s v="Cancelled"/>
        <s v="Pending"/>
        <s v="Completed"/>
        <s v="Refunded"/>
      </sharedItems>
    </cacheField>
    <cacheField name="Quantity_Clean" numFmtId="0">
      <sharedItems containsMixedTypes="1" containsNumber="1" containsInteger="1" minValue="1" maxValue="12"/>
    </cacheField>
    <cacheField name="UnitPrice_Clean" numFmtId="0">
      <sharedItems containsMixedTypes="1" containsNumber="1" minValue="7.57" maxValue="499.37"/>
    </cacheField>
    <cacheField name="OrderDate_Clean" numFmtId="14">
      <sharedItems containsSemiMixedTypes="0" containsNonDate="0" containsDate="1" containsString="0" minDate="2024-01-01T00:00:00" maxDate="2025-01-01T00:00:00" count="168">
        <d v="2024-10-02T00:00:00"/>
        <d v="2024-03-01T00:00:00"/>
        <d v="2024-01-13T00:00:00"/>
        <d v="2024-03-28T00:00:00"/>
        <d v="2024-02-25T00:00:00"/>
        <d v="2024-05-06T00:00:00"/>
        <d v="2024-07-22T00:00:00"/>
        <d v="2024-10-04T00:00:00"/>
        <d v="2024-09-14T00:00:00"/>
        <d v="2024-07-13T00:00:00"/>
        <d v="2024-08-22T00:00:00"/>
        <d v="2024-02-22T00:00:00"/>
        <d v="2024-06-24T00:00:00"/>
        <d v="2024-07-03T00:00:00"/>
        <d v="2024-08-16T00:00:00"/>
        <d v="2024-06-01T00:00:00"/>
        <d v="2024-04-08T00:00:00"/>
        <d v="2024-06-07T00:00:00"/>
        <d v="2024-03-25T00:00:00"/>
        <d v="2024-08-23T00:00:00"/>
        <d v="2024-12-31T00:00:00"/>
        <d v="2024-10-21T00:00:00"/>
        <d v="2024-04-30T00:00:00"/>
        <d v="2024-01-31T00:00:00"/>
        <d v="2024-04-23T00:00:00"/>
        <d v="2024-10-22T00:00:00"/>
        <d v="2024-05-12T00:00:00"/>
        <d v="2024-03-07T00:00:00"/>
        <d v="2024-06-15T00:00:00"/>
        <d v="2024-02-10T00:00:00"/>
        <d v="2024-02-29T00:00:00"/>
        <d v="2024-12-01T00:00:00"/>
        <d v="2024-08-10T00:00:00"/>
        <d v="2024-06-09T00:00:00"/>
        <d v="2024-06-18T00:00:00"/>
        <d v="2024-07-24T00:00:00"/>
        <d v="2024-05-31T00:00:00"/>
        <d v="2024-07-01T00:00:00"/>
        <d v="2024-03-22T00:00:00"/>
        <d v="2024-05-21T00:00:00"/>
        <d v="2024-01-30T00:00:00"/>
        <d v="2024-10-03T00:00:00"/>
        <d v="2024-08-20T00:00:00"/>
        <d v="2024-10-15T00:00:00"/>
        <d v="2024-03-18T00:00:00"/>
        <d v="2024-07-05T00:00:00"/>
        <d v="2024-05-22T00:00:00"/>
        <d v="2024-06-12T00:00:00"/>
        <d v="2024-12-17T00:00:00"/>
        <d v="2024-07-31T00:00:00"/>
        <d v="2024-05-25T00:00:00"/>
        <d v="2024-12-16T00:00:00"/>
        <d v="2024-09-26T00:00:00"/>
        <d v="2024-11-06T00:00:00"/>
        <d v="2024-02-19T00:00:00"/>
        <d v="2024-12-10T00:00:00"/>
        <d v="2024-08-31T00:00:00"/>
        <d v="2024-08-07T00:00:00"/>
        <d v="2024-12-25T00:00:00"/>
        <d v="2024-04-25T00:00:00"/>
        <d v="2024-09-20T00:00:00"/>
        <d v="2024-09-13T00:00:00"/>
        <d v="2024-02-21T00:00:00"/>
        <d v="2024-12-22T00:00:00"/>
        <d v="2024-09-28T00:00:00"/>
        <d v="2024-02-17T00:00:00"/>
        <d v="2024-03-06T00:00:00"/>
        <d v="2024-04-07T00:00:00"/>
        <d v="2024-12-12T00:00:00"/>
        <d v="2024-12-09T00:00:00"/>
        <d v="2024-10-20T00:00:00"/>
        <d v="2024-04-05T00:00:00"/>
        <d v="2024-12-26T00:00:00"/>
        <d v="2024-03-11T00:00:00"/>
        <d v="2024-07-28T00:00:00"/>
        <d v="2024-06-16T00:00:00"/>
        <d v="2024-01-03T00:00:00"/>
        <d v="2024-04-11T00:00:00"/>
        <d v="2024-04-06T00:00:00"/>
        <d v="2024-09-03T00:00:00"/>
        <d v="2024-12-14T00:00:00"/>
        <d v="2024-11-26T00:00:00"/>
        <d v="2024-04-03T00:00:00"/>
        <d v="2024-10-27T00:00:00"/>
        <d v="2024-03-03T00:00:00"/>
        <d v="2024-08-14T00:00:00"/>
        <d v="2024-08-29T00:00:00"/>
        <d v="2024-09-12T00:00:00"/>
        <d v="2024-03-04T00:00:00"/>
        <d v="2024-08-06T00:00:00"/>
        <d v="2024-10-17T00:00:00"/>
        <d v="2024-12-13T00:00:00"/>
        <d v="2024-08-03T00:00:00"/>
        <d v="2024-08-12T00:00:00"/>
        <d v="2024-08-21T00:00:00"/>
        <d v="2024-10-12T00:00:00"/>
        <d v="2024-06-02T00:00:00"/>
        <d v="2024-10-05T00:00:00"/>
        <d v="2024-09-24T00:00:00"/>
        <d v="2024-05-04T00:00:00"/>
        <d v="2024-10-19T00:00:00"/>
        <d v="2024-05-20T00:00:00"/>
        <d v="2024-06-22T00:00:00"/>
        <d v="2024-02-08T00:00:00"/>
        <d v="2024-12-11T00:00:00"/>
        <d v="2024-11-30T00:00:00"/>
        <d v="2024-01-12T00:00:00"/>
        <d v="2024-05-07T00:00:00"/>
        <d v="2024-05-14T00:00:00"/>
        <d v="2024-12-30T00:00:00"/>
        <d v="2024-04-01T00:00:00"/>
        <d v="2024-03-24T00:00:00"/>
        <d v="2024-09-25T00:00:00"/>
        <d v="2024-02-28T00:00:00"/>
        <d v="2024-07-20T00:00:00"/>
        <d v="2024-08-30T00:00:00"/>
        <d v="2024-05-23T00:00:00"/>
        <d v="2024-02-13T00:00:00"/>
        <d v="2024-11-09T00:00:00"/>
        <d v="2024-08-04T00:00:00"/>
        <d v="2024-03-26T00:00:00"/>
        <d v="2024-11-23T00:00:00"/>
        <d v="2024-01-23T00:00:00"/>
        <d v="2024-03-12T00:00:00"/>
        <d v="2024-04-17T00:00:00"/>
        <d v="2024-08-02T00:00:00"/>
        <d v="2024-11-20T00:00:00"/>
        <d v="2024-11-16T00:00:00"/>
        <d v="2024-07-17T00:00:00"/>
        <d v="2024-11-12T00:00:00"/>
        <d v="2024-11-05T00:00:00"/>
        <d v="2024-04-21T00:00:00"/>
        <d v="2024-10-14T00:00:00"/>
        <d v="2024-12-18T00:00:00"/>
        <d v="2024-04-10T00:00:00"/>
        <d v="2024-07-19T00:00:00"/>
        <d v="2024-05-02T00:00:00"/>
        <d v="2024-08-19T00:00:00"/>
        <d v="2024-04-29T00:00:00"/>
        <d v="2024-08-01T00:00:00"/>
        <d v="2024-01-21T00:00:00"/>
        <d v="2024-09-04T00:00:00"/>
        <d v="2024-06-25T00:00:00"/>
        <d v="2024-02-07T00:00:00"/>
        <d v="2024-03-19T00:00:00"/>
        <d v="2024-10-23T00:00:00"/>
        <d v="2024-05-01T00:00:00"/>
        <d v="2024-07-02T00:00:00"/>
        <d v="2024-05-28T00:00:00"/>
        <d v="2024-10-31T00:00:00"/>
        <d v="2024-10-10T00:00:00"/>
        <d v="2024-07-29T00:00:00"/>
        <d v="2024-10-16T00:00:00"/>
        <d v="2024-04-18T00:00:00"/>
        <d v="2024-11-29T00:00:00"/>
        <d v="2024-03-13T00:00:00"/>
        <d v="2024-01-05T00:00:00"/>
        <d v="2024-09-08T00:00:00"/>
        <d v="2024-01-07T00:00:00"/>
        <d v="2024-01-01T00:00:00"/>
        <d v="2024-03-27T00:00:00"/>
        <d v="2024-02-03T00:00:00"/>
        <d v="2024-09-01T00:00:00"/>
        <d v="2024-11-24T00:00:00"/>
        <d v="2024-05-18T00:00:00"/>
        <d v="2024-11-25T00:00:00"/>
        <d v="2024-06-29T00:00:00"/>
        <d v="2024-12-21T00:00:00"/>
      </sharedItems>
      <fieldGroup par="35"/>
    </cacheField>
    <cacheField name="Discount_Clean" numFmtId="0">
      <sharedItems containsMixedTypes="1" containsNumber="1" minValue="0" maxValue="0.2"/>
    </cacheField>
    <cacheField name="Notes_Clean" numFmtId="0">
      <sharedItems/>
    </cacheField>
    <cacheField name="HighValueFlag" numFmtId="0">
      <sharedItems/>
    </cacheField>
    <cacheField name="Revenue" numFmtId="0">
      <sharedItems containsSemiMixedTypes="0" containsString="0" containsNumber="1" minValue="0" maxValue="5577.4800000000005"/>
    </cacheField>
    <cacheField name="OrderID_Key" numFmtId="0">
      <sharedItems/>
    </cacheField>
    <cacheField name="OrderNumber" numFmtId="0">
      <sharedItems containsSemiMixedTypes="0" containsString="0" containsNumber="1" containsInteger="1" minValue="1001" maxValue="1230"/>
    </cacheField>
    <cacheField name="MonthLabel" numFmtId="0">
      <sharedItems/>
    </cacheField>
    <cacheField name="MonthEndDate" numFmtId="14">
      <sharedItems containsSemiMixedTypes="0" containsNonDate="0" containsDate="1" containsString="0" minDate="2024-01-31T00:00:00" maxDate="2025-01-01T00:00:00"/>
    </cacheField>
    <cacheField name="FirstName" numFmtId="0">
      <sharedItems/>
    </cacheField>
    <cacheField name="Discount_Numeric" numFmtId="0">
      <sharedItems containsSemiMixedTypes="0" containsString="0" containsNumber="1" minValue="0" maxValue="0.2"/>
    </cacheField>
    <cacheField name="Months (OrderDate_Clean)" numFmtId="0" databaseField="0">
      <fieldGroup base="23">
        <rangePr groupBy="months" startDate="2024-01-01T00:00:00" endDate="2025-01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Years (OrderDate_Clean)" numFmtId="0" databaseField="0">
      <fieldGroup base="23">
        <rangePr groupBy="years" startDate="2024-01-01T00:00:00" endDate="2025-01-01T00:00:00"/>
        <groupItems count="4">
          <s v="&lt;1/1/2024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s v="ORD-1109"/>
    <s v="10/02/2024"/>
    <s v=" Chen Malik"/>
    <s v="west"/>
    <s v="Quetta"/>
    <s v=" Furniture"/>
    <s v="Office Chair"/>
    <s v="In-store "/>
    <n v="7"/>
    <s v="$280.86"/>
    <m/>
    <x v="0"/>
    <s v="cancelled"/>
    <x v="0"/>
    <m/>
    <s v="Chen Malik"/>
    <x v="0"/>
    <x v="0"/>
    <x v="0"/>
    <s v="Credit Card"/>
    <x v="0"/>
    <n v="7"/>
    <n v="280.86"/>
    <x v="0"/>
    <n v="0"/>
    <s v=""/>
    <s v="High Value"/>
    <n v="1966.02"/>
    <s v="ORD-1109"/>
    <n v="1109"/>
    <s v="Oct-2024"/>
    <d v="2024-10-31T00:00:00"/>
    <s v="Chen"/>
    <n v="0"/>
  </r>
  <r>
    <s v="ORD-1105"/>
    <s v="03/01/2024"/>
    <s v="Grace Khan"/>
    <s v="west"/>
    <s v="Peshawar"/>
    <s v=" Furniture"/>
    <s v="Bookshelf"/>
    <s v="In Store"/>
    <n v="8"/>
    <n v="453.85"/>
    <s v="20%"/>
    <x v="1"/>
    <s v="PENDING"/>
    <x v="1"/>
    <s v="Bulk order - business account"/>
    <s v="Grace Khan"/>
    <x v="0"/>
    <x v="0"/>
    <x v="0"/>
    <s v="Credit Card"/>
    <x v="1"/>
    <n v="8"/>
    <n v="453.85"/>
    <x v="1"/>
    <s v="20%"/>
    <s v="Bulk order - business account"/>
    <s v="High Value"/>
    <n v="3630.8"/>
    <s v="ORD-1105"/>
    <n v="1105"/>
    <s v="Mar-2024"/>
    <d v="2024-03-31T00:00:00"/>
    <s v="Grace"/>
    <n v="0.2"/>
  </r>
  <r>
    <s v="ORD-1200"/>
    <s v="13/01/2024"/>
    <s v="Grace Smith "/>
    <s v="north"/>
    <s v="Faisalabad"/>
    <s v=" Furniture"/>
    <s v="Office Chair"/>
    <s v="Online "/>
    <n v="9"/>
    <n v="439.93"/>
    <n v="0"/>
    <x v="2"/>
    <s v="PENDING"/>
    <x v="2"/>
    <m/>
    <s v="Grace Smith"/>
    <x v="1"/>
    <x v="0"/>
    <x v="1"/>
    <s v="Bank Transfer"/>
    <x v="1"/>
    <n v="9"/>
    <n v="439.93"/>
    <x v="2"/>
    <n v="0"/>
    <s v=""/>
    <s v="High Value"/>
    <n v="3959.37"/>
    <s v="ORD-1200"/>
    <n v="1200"/>
    <s v="Jan-2024"/>
    <d v="2024-01-31T00:00:00"/>
    <s v="Grace"/>
    <n v="0"/>
  </r>
  <r>
    <s v="ORD-1212"/>
    <s v="03/28/2024"/>
    <s v="David Clark"/>
    <s v="South"/>
    <s v="Karachi"/>
    <s v=" Furniture"/>
    <s v="Sofa Set"/>
    <s v="Online"/>
    <n v="12"/>
    <n v="411.55"/>
    <m/>
    <x v="3"/>
    <s v="cancelled"/>
    <x v="3"/>
    <s v="  "/>
    <s v="David Clark"/>
    <x v="2"/>
    <x v="0"/>
    <x v="1"/>
    <s v="Cash"/>
    <x v="0"/>
    <n v="12"/>
    <n v="411.55"/>
    <x v="3"/>
    <n v="0"/>
    <s v=""/>
    <s v="High Value"/>
    <n v="4938.6000000000004"/>
    <s v="ORD-1212"/>
    <n v="1212"/>
    <s v="Mar-2024"/>
    <d v="2024-03-31T00:00:00"/>
    <s v="David"/>
    <n v="0"/>
  </r>
  <r>
    <s v="ORD-1018"/>
    <s v="25/02/2024"/>
    <s v="UMAR FAROOQ"/>
    <s v="South"/>
    <s v="Karachi"/>
    <s v=" Furniture"/>
    <s v="Office Chair"/>
    <s v="Online"/>
    <n v="12"/>
    <n v="392.28"/>
    <s v="5%"/>
    <x v="4"/>
    <s v="COMPLETED"/>
    <x v="0"/>
    <s v="Gift wrap requested"/>
    <s v="Umar Farooq"/>
    <x v="2"/>
    <x v="0"/>
    <x v="1"/>
    <s v="Credit Card"/>
    <x v="2"/>
    <n v="12"/>
    <n v="392.28"/>
    <x v="4"/>
    <s v="5%"/>
    <s v="Gift wrap requested"/>
    <s v="High Value"/>
    <n v="4707.3599999999997"/>
    <s v="ORD-1018"/>
    <n v="1018"/>
    <s v="Feb-2024"/>
    <d v="2024-02-29T00:00:00"/>
    <s v="UMAR"/>
    <n v="0.05"/>
  </r>
  <r>
    <s v="ORD-1095"/>
    <s v="06-May-24"/>
    <s v=" Kevin Garcia"/>
    <s v=" East"/>
    <s v="Sialkot"/>
    <s v=" Furniture"/>
    <s v="Sofa Set"/>
    <s v="in-store"/>
    <n v="9"/>
    <n v="387.13"/>
    <s v="10%"/>
    <x v="3"/>
    <s v="cancelled"/>
    <x v="2"/>
    <s v="Bulk order - business account"/>
    <s v="Kevin Garcia"/>
    <x v="3"/>
    <x v="0"/>
    <x v="0"/>
    <s v="Cash"/>
    <x v="0"/>
    <n v="9"/>
    <n v="387.13"/>
    <x v="5"/>
    <s v="10%"/>
    <s v="Bulk order - business account"/>
    <s v="High Value"/>
    <n v="3484.17"/>
    <s v="ORD-1095"/>
    <n v="1095"/>
    <s v="May-2024"/>
    <d v="2024-05-31T00:00:00"/>
    <s v="Kevin"/>
    <n v="0.1"/>
  </r>
  <r>
    <s v="ORD-1227"/>
    <s v="2024-07-22"/>
    <s v="Liam  Anderson"/>
    <s v="South"/>
    <s v="Hyderabad"/>
    <s v=" Furniture"/>
    <s v="Filing Cabinet"/>
    <s v="Online"/>
    <n v="11"/>
    <n v="361.68"/>
    <m/>
    <x v="3"/>
    <s v="PENDING"/>
    <x v="4"/>
    <s v="Follow up needed_x0009_"/>
    <s v="Liam Anderson"/>
    <x v="2"/>
    <x v="0"/>
    <x v="1"/>
    <s v="Cash"/>
    <x v="1"/>
    <n v="11"/>
    <n v="361.68"/>
    <x v="6"/>
    <n v="0"/>
    <s v="Follow up needed"/>
    <s v="High Value"/>
    <n v="3978.48"/>
    <s v="ORD-1227"/>
    <n v="1227"/>
    <s v="Jul-2024"/>
    <d v="2024-07-31T00:00:00"/>
    <s v="Liam"/>
    <n v="0"/>
  </r>
  <r>
    <s v="ORD-1147"/>
    <s v="04-Oct-24"/>
    <s v="daniel smith"/>
    <s v="South"/>
    <s v="Hyderabad"/>
    <s v=" Furniture"/>
    <s v="Bookshelf"/>
    <s v="instore"/>
    <n v="4"/>
    <n v="275.55"/>
    <m/>
    <x v="5"/>
    <s v="COMPLETED"/>
    <x v="2"/>
    <s v="Gift wrap requested"/>
    <s v="Daniel Smith"/>
    <x v="2"/>
    <x v="0"/>
    <x v="0"/>
    <s v="Debit Card"/>
    <x v="2"/>
    <n v="4"/>
    <n v="275.55"/>
    <x v="7"/>
    <n v="0"/>
    <s v="Gift wrap requested"/>
    <s v="High Value"/>
    <n v="1102.2"/>
    <s v="ORD-1147"/>
    <n v="1147"/>
    <s v="Oct-2024"/>
    <d v="2024-10-31T00:00:00"/>
    <s v="daniel"/>
    <n v="0"/>
  </r>
  <r>
    <s v="ORD-1045"/>
    <s v="September 14, 2024"/>
    <s v="UMAR FAROOQ"/>
    <s v="west"/>
    <s v="Quetta"/>
    <s v=" Furniture"/>
    <s v="Study Desk"/>
    <s v="In Store"/>
    <n v="1"/>
    <n v="239.12"/>
    <n v="0.05"/>
    <x v="5"/>
    <s v="COMPLETED"/>
    <x v="2"/>
    <m/>
    <s v="Umar Farooq"/>
    <x v="0"/>
    <x v="0"/>
    <x v="0"/>
    <s v="Debit Card"/>
    <x v="2"/>
    <n v="1"/>
    <n v="239.12"/>
    <x v="8"/>
    <n v="0.05"/>
    <s v=""/>
    <s v="Standard"/>
    <n v="239.12"/>
    <s v="ORD-1045"/>
    <n v="1045"/>
    <s v="Sep-2024"/>
    <d v="2024-09-30T00:00:00"/>
    <s v="UMAR"/>
    <n v="0.05"/>
  </r>
  <r>
    <s v="ORD-1046"/>
    <s v="13-Jul-24"/>
    <s v="LIAM ALI"/>
    <s v=" North"/>
    <m/>
    <s v=" Furniture"/>
    <s v="Study Desk"/>
    <s v="Online"/>
    <n v="8"/>
    <n v="136.19"/>
    <n v="0"/>
    <x v="5"/>
    <s v="PENDING"/>
    <x v="5"/>
    <s v="Damaged on arrival - replaced"/>
    <s v="Liam Ali"/>
    <x v="1"/>
    <x v="0"/>
    <x v="1"/>
    <s v="Debit Card"/>
    <x v="1"/>
    <n v="8"/>
    <n v="136.19"/>
    <x v="9"/>
    <n v="0"/>
    <s v="Damaged on arrival - replaced"/>
    <s v="High Value"/>
    <n v="1089.52"/>
    <s v="ORD-1046"/>
    <n v="1046"/>
    <s v="Jul-2024"/>
    <d v="2024-07-31T00:00:00"/>
    <s v="Liam"/>
    <n v="0"/>
  </r>
  <r>
    <s v="ORD-1148"/>
    <s v="2024-08-22"/>
    <s v="Robert Smith "/>
    <s v="west"/>
    <s v="Quetta"/>
    <s v=" Furniture"/>
    <s v="Filing Cabinet"/>
    <s v="Online"/>
    <n v="3"/>
    <n v="51.05"/>
    <n v="0.2"/>
    <x v="5"/>
    <s v="Refunded"/>
    <x v="1"/>
    <s v="  Customer called twice "/>
    <s v="Robert Smith"/>
    <x v="0"/>
    <x v="0"/>
    <x v="1"/>
    <s v="Debit Card"/>
    <x v="3"/>
    <n v="3"/>
    <n v="51.05"/>
    <x v="10"/>
    <n v="0.2"/>
    <s v="Customer called twice"/>
    <s v="Standard"/>
    <n v="153.14999999999998"/>
    <s v="ORD-1148"/>
    <n v="1148"/>
    <s v="Aug-2024"/>
    <d v="2024-08-31T00:00:00"/>
    <s v="Robert"/>
    <n v="0.2"/>
  </r>
  <r>
    <s v="ORD-1080"/>
    <s v="2024-02-22"/>
    <s v="EMILY SHEIKH"/>
    <s v="West "/>
    <s v="Peshawar"/>
    <s v=" Furniture"/>
    <s v="Filing Cabinet"/>
    <s v="in-store"/>
    <n v="9"/>
    <n v="45.89"/>
    <n v="0.05"/>
    <x v="3"/>
    <s v="cancelled"/>
    <x v="1"/>
    <m/>
    <s v="Emily Sheikh"/>
    <x v="0"/>
    <x v="0"/>
    <x v="0"/>
    <s v="Cash"/>
    <x v="0"/>
    <n v="9"/>
    <n v="45.89"/>
    <x v="11"/>
    <n v="0.05"/>
    <s v=""/>
    <s v="Standard"/>
    <n v="413.01"/>
    <s v="ORD-1080"/>
    <n v="1080"/>
    <s v="Feb-2024"/>
    <d v="2024-02-29T00:00:00"/>
    <s v="EMILY"/>
    <n v="0.05"/>
  </r>
  <r>
    <s v="ORD-1137"/>
    <s v="2024-06-24"/>
    <s v="james johnson"/>
    <s v="South"/>
    <s v="Hyderabad"/>
    <s v=" Furniture"/>
    <s v="Office Chair"/>
    <s v="Online"/>
    <n v="1"/>
    <n v="43.58"/>
    <n v="0.15"/>
    <x v="1"/>
    <s v="COMPLETED"/>
    <x v="0"/>
    <s v="  "/>
    <s v="James Johnson"/>
    <x v="2"/>
    <x v="0"/>
    <x v="1"/>
    <s v="Credit Card"/>
    <x v="2"/>
    <n v="1"/>
    <n v="43.58"/>
    <x v="12"/>
    <n v="0.15"/>
    <s v=""/>
    <s v="Standard"/>
    <n v="43.58"/>
    <s v="ORD-1137"/>
    <n v="1137"/>
    <s v="Jun-2024"/>
    <d v="2024-06-30T00:00:00"/>
    <s v="james"/>
    <n v="0.15"/>
  </r>
  <r>
    <s v="ORD-1084"/>
    <s v="July 03, 2024"/>
    <s v="Sofia Lee"/>
    <s v="EAST"/>
    <s v="Multan"/>
    <s v="Cloth ing"/>
    <s v="Denim Jacket"/>
    <s v="Online"/>
    <n v="6"/>
    <s v=" 65.07 "/>
    <m/>
    <x v="2"/>
    <s v="cancelled"/>
    <x v="4"/>
    <m/>
    <s v="Sofia Lee"/>
    <x v="3"/>
    <x v="1"/>
    <x v="1"/>
    <s v="Bank Transfer"/>
    <x v="0"/>
    <n v="6"/>
    <n v="65.069999999999993"/>
    <x v="13"/>
    <n v="0"/>
    <s v=""/>
    <s v="Standard"/>
    <n v="390.41999999999996"/>
    <s v="ORD-1084"/>
    <n v="1084"/>
    <s v="Jul-2024"/>
    <d v="2024-07-31T00:00:00"/>
    <s v="Sofia"/>
    <n v="0"/>
  </r>
  <r>
    <s v="ORD-1198"/>
    <s v="08/16/2024"/>
    <s v="GRACE ANDERSON"/>
    <s v="EAST"/>
    <s v="Multan"/>
    <s v="Cloth ing"/>
    <s v="Formal Shirt"/>
    <s v="Online "/>
    <n v="10"/>
    <n v="498.33"/>
    <n v="0"/>
    <x v="1"/>
    <s v="PENDING"/>
    <x v="1"/>
    <s v="VIP customer"/>
    <s v="Grace Anderson"/>
    <x v="3"/>
    <x v="1"/>
    <x v="1"/>
    <s v="Credit Card"/>
    <x v="1"/>
    <n v="10"/>
    <n v="498.33"/>
    <x v="14"/>
    <n v="0"/>
    <s v="VIP customer"/>
    <s v="High Value"/>
    <n v="4983.3"/>
    <s v="ORD-1198"/>
    <n v="1198"/>
    <s v="Aug-2024"/>
    <d v="2024-08-31T00:00:00"/>
    <s v="Grace"/>
    <n v="0"/>
  </r>
  <r>
    <s v="ORD-1198"/>
    <s v="08/16/2024"/>
    <s v="GRACE ANDERSON"/>
    <s v="EAST"/>
    <s v="Multan"/>
    <s v="Cloth ing"/>
    <s v="Formal Shirt"/>
    <s v="Online "/>
    <n v="10"/>
    <n v="498.33"/>
    <n v="0"/>
    <x v="1"/>
    <s v="PENDING"/>
    <x v="1"/>
    <s v="VIP customer"/>
    <s v="Grace Anderson"/>
    <x v="3"/>
    <x v="1"/>
    <x v="1"/>
    <s v="Credit Card"/>
    <x v="1"/>
    <n v="10"/>
    <n v="498.33"/>
    <x v="14"/>
    <n v="0"/>
    <s v="VIP customer"/>
    <s v="High Value"/>
    <n v="4983.3"/>
    <s v="ORD-1198"/>
    <n v="1198"/>
    <s v="Aug-2024"/>
    <d v="2024-08-31T00:00:00"/>
    <s v="Grace"/>
    <n v="0"/>
  </r>
  <r>
    <s v="ORD-1173"/>
    <s v="06/01/2024"/>
    <s v="Daniel Raza "/>
    <s v="west"/>
    <s v="Quetta"/>
    <s v="Cloth ing"/>
    <s v="Formal Shirt"/>
    <s v="Online"/>
    <s v=" 8 "/>
    <n v="494.24"/>
    <n v="0.1"/>
    <x v="6"/>
    <s v="Refunded"/>
    <x v="0"/>
    <s v="Follow up needed_x0009_"/>
    <s v="Daniel Raza"/>
    <x v="0"/>
    <x v="1"/>
    <x v="1"/>
    <s v="Cash"/>
    <x v="3"/>
    <n v="8"/>
    <n v="494.24"/>
    <x v="15"/>
    <n v="0.1"/>
    <s v="Follow up needed"/>
    <s v="High Value"/>
    <n v="3953.92"/>
    <s v="ORD-1173"/>
    <n v="1173"/>
    <s v="Jun-2024"/>
    <d v="2024-06-30T00:00:00"/>
    <s v="daniel"/>
    <n v="0.1"/>
  </r>
  <r>
    <s v="ORD-1224"/>
    <s v="04/08/2024"/>
    <s v="Emily Johnson "/>
    <s v="west"/>
    <s v="Quetta"/>
    <s v="Cloth ing"/>
    <s v="Running Shoes"/>
    <s v="in-store"/>
    <s v=" 8 "/>
    <n v="383.31"/>
    <n v="0.2"/>
    <x v="1"/>
    <s v="COMPLETED"/>
    <x v="5"/>
    <s v="Bulk order - business account"/>
    <s v="Emily Johnson"/>
    <x v="0"/>
    <x v="1"/>
    <x v="0"/>
    <s v="Credit Card"/>
    <x v="2"/>
    <n v="8"/>
    <n v="383.31"/>
    <x v="16"/>
    <n v="0.2"/>
    <s v="Bulk order - business account"/>
    <s v="High Value"/>
    <n v="3066.48"/>
    <s v="ORD-1224"/>
    <n v="1224"/>
    <s v="Apr-2024"/>
    <d v="2024-04-30T00:00:00"/>
    <s v="EMILY"/>
    <n v="0.2"/>
  </r>
  <r>
    <s v="ORD-1082"/>
    <s v="06/07/2024"/>
    <s v=" John Brown"/>
    <s v="west"/>
    <s v="Quetta"/>
    <s v="Cloth ing"/>
    <s v="Running Shoes"/>
    <s v="Online"/>
    <s v=" 10 "/>
    <n v="227.71"/>
    <n v="0"/>
    <x v="3"/>
    <s v="COMPLETED"/>
    <x v="5"/>
    <m/>
    <s v="John Brown"/>
    <x v="0"/>
    <x v="1"/>
    <x v="1"/>
    <s v="Cash"/>
    <x v="2"/>
    <n v="10"/>
    <n v="227.71"/>
    <x v="17"/>
    <n v="0"/>
    <s v=""/>
    <s v="High Value"/>
    <n v="2277.1"/>
    <s v="ORD-1082"/>
    <n v="1082"/>
    <s v="Jun-2024"/>
    <d v="2024-06-30T00:00:00"/>
    <s v="John"/>
    <n v="0"/>
  </r>
  <r>
    <s v="ORD-1179"/>
    <s v="25/03/2024"/>
    <s v="DAVID ALI"/>
    <s v="EAST"/>
    <s v="Multan"/>
    <s v="Cloth ing"/>
    <s v="Running Shoes"/>
    <s v="In-store "/>
    <n v="10"/>
    <n v="219.66"/>
    <m/>
    <x v="5"/>
    <s v="cancelled"/>
    <x v="2"/>
    <s v="Gift wrap requested"/>
    <s v="David Ali"/>
    <x v="3"/>
    <x v="1"/>
    <x v="0"/>
    <s v="Debit Card"/>
    <x v="0"/>
    <n v="10"/>
    <n v="219.66"/>
    <x v="18"/>
    <n v="0"/>
    <s v="Gift wrap requested"/>
    <s v="High Value"/>
    <n v="2196.6"/>
    <s v="ORD-1179"/>
    <n v="1179"/>
    <s v="Mar-2024"/>
    <d v="2024-03-31T00:00:00"/>
    <s v="David"/>
    <n v="0"/>
  </r>
  <r>
    <s v="ORD-1002"/>
    <s v="August 23, 2024"/>
    <s v=" Laura Lee"/>
    <s v="EAST"/>
    <s v="Multan"/>
    <s v="Cloth ing"/>
    <s v="Denim Jacket"/>
    <s v="Online "/>
    <s v=" 6 "/>
    <n v="193.06"/>
    <m/>
    <x v="4"/>
    <s v="Refunded"/>
    <x v="4"/>
    <s v="  Customer called twice "/>
    <s v="Laura Lee"/>
    <x v="3"/>
    <x v="1"/>
    <x v="1"/>
    <s v="Credit Card"/>
    <x v="3"/>
    <n v="6"/>
    <n v="193.06"/>
    <x v="19"/>
    <n v="0"/>
    <s v="Customer called twice"/>
    <s v="High Value"/>
    <n v="1158.3600000000001"/>
    <s v="ORD-1002"/>
    <n v="1002"/>
    <s v="Aug-2024"/>
    <d v="2024-08-31T00:00:00"/>
    <s v="Laura"/>
    <n v="0"/>
  </r>
  <r>
    <s v="ORD-1096"/>
    <s v="2024-12-31"/>
    <s v="maria ahmed"/>
    <s v="EAST"/>
    <s v="Sialkot"/>
    <s v="Cloth ing"/>
    <s v="Formal Shirt"/>
    <s v="Online"/>
    <n v="10"/>
    <n v="192.95"/>
    <n v="0.05"/>
    <x v="4"/>
    <s v="COMPLETED"/>
    <x v="1"/>
    <m/>
    <s v="Maria Ahmed"/>
    <x v="3"/>
    <x v="1"/>
    <x v="1"/>
    <s v="Credit Card"/>
    <x v="2"/>
    <n v="10"/>
    <n v="192.95"/>
    <x v="20"/>
    <n v="0.05"/>
    <s v=""/>
    <s v="High Value"/>
    <n v="1929.5"/>
    <s v="ORD-1096"/>
    <n v="1096"/>
    <s v="Dec-2024"/>
    <d v="2024-12-31T00:00:00"/>
    <s v="maria"/>
    <n v="0.05"/>
  </r>
  <r>
    <s v="ORD-1049"/>
    <s v="21-Oct-24"/>
    <s v="HINA SMITH"/>
    <s v="EAST"/>
    <s v="Multan"/>
    <s v="Cloth ing"/>
    <s v="Running Shoes"/>
    <s v="in-store"/>
    <n v="8"/>
    <n v="103.61"/>
    <n v="0.05"/>
    <x v="5"/>
    <s v="PENDING"/>
    <x v="1"/>
    <s v="Leave at front desk  "/>
    <s v="Hina Smith"/>
    <x v="3"/>
    <x v="1"/>
    <x v="0"/>
    <s v="Debit Card"/>
    <x v="1"/>
    <n v="8"/>
    <n v="103.61"/>
    <x v="21"/>
    <n v="0.05"/>
    <s v="Leave at front desk"/>
    <s v="Standard"/>
    <n v="828.88"/>
    <s v="ORD-1049"/>
    <n v="1049"/>
    <s v="Oct-2024"/>
    <d v="2024-10-31T00:00:00"/>
    <s v="HINA"/>
    <n v="0.05"/>
  </r>
  <r>
    <s v="ORD-1226"/>
    <s v="April 30, 2024"/>
    <s v="zara taylor"/>
    <s v="South "/>
    <s v="Hyderabad"/>
    <s v="Cloth ing"/>
    <s v="Running Shoes"/>
    <s v="in-store"/>
    <s v=" 8 "/>
    <n v="69.91"/>
    <m/>
    <x v="1"/>
    <s v="Refunded"/>
    <x v="1"/>
    <s v="  "/>
    <s v="Zara Taylor"/>
    <x v="2"/>
    <x v="1"/>
    <x v="0"/>
    <s v="Credit Card"/>
    <x v="3"/>
    <n v="8"/>
    <n v="69.91"/>
    <x v="22"/>
    <n v="0"/>
    <s v=""/>
    <s v="Standard"/>
    <n v="559.28"/>
    <s v="ORD-1226"/>
    <n v="1226"/>
    <s v="Apr-2024"/>
    <d v="2024-04-30T00:00:00"/>
    <s v="zara"/>
    <n v="0"/>
  </r>
  <r>
    <s v="ORD-1059"/>
    <s v="January 31, 2024"/>
    <s v="ROBERT LEE"/>
    <s v="west"/>
    <s v="Peshawar"/>
    <s v="Cloth ing"/>
    <s v="Denim Jacket"/>
    <s v="instore"/>
    <s v=" 2 "/>
    <n v="47.26"/>
    <n v="0.1"/>
    <x v="2"/>
    <s v="COMPLETED"/>
    <x v="5"/>
    <s v="Bulk order - business account"/>
    <s v="Robert Lee"/>
    <x v="0"/>
    <x v="1"/>
    <x v="0"/>
    <s v="Bank Transfer"/>
    <x v="2"/>
    <n v="2"/>
    <n v="47.26"/>
    <x v="23"/>
    <n v="0.1"/>
    <s v="Bulk order - business account"/>
    <s v="Standard"/>
    <n v="94.52"/>
    <s v="ORD-1059"/>
    <n v="1059"/>
    <s v="Jan-2024"/>
    <d v="2024-01-31T00:00:00"/>
    <s v="Robert"/>
    <n v="0.1"/>
  </r>
  <r>
    <s v="ORD-1171"/>
    <s v="04/23/2024"/>
    <s v=" Fatima Iqbal"/>
    <s v="west"/>
    <s v="Peshawar"/>
    <s v="Cloth ing"/>
    <s v="Denim Jacket"/>
    <s v="in-store"/>
    <n v="12"/>
    <m/>
    <m/>
    <x v="3"/>
    <s v="Refunded"/>
    <x v="2"/>
    <s v="VIP customer"/>
    <s v="Fatima Iqbal"/>
    <x v="0"/>
    <x v="1"/>
    <x v="0"/>
    <s v="Cash"/>
    <x v="3"/>
    <n v="12"/>
    <s v=""/>
    <x v="24"/>
    <n v="0"/>
    <s v="VIP customer"/>
    <s v="Review"/>
    <n v="0"/>
    <s v="ORD-1171"/>
    <n v="1171"/>
    <s v="Apr-2024"/>
    <d v="2024-04-30T00:00:00"/>
    <s v="Fatima"/>
    <n v="0"/>
  </r>
  <r>
    <s v="ORD-1228"/>
    <s v="October 22, 2024"/>
    <s v="sarah garcia"/>
    <s v="west"/>
    <s v="Peshawar"/>
    <s v="Cloth ing"/>
    <s v="Formal Shirt"/>
    <s v="In-store "/>
    <n v="9"/>
    <m/>
    <m/>
    <x v="6"/>
    <s v="PENDING"/>
    <x v="2"/>
    <s v="Bulk order - business account"/>
    <s v="Sarah Garcia"/>
    <x v="0"/>
    <x v="1"/>
    <x v="0"/>
    <s v="Cash"/>
    <x v="1"/>
    <n v="9"/>
    <s v=""/>
    <x v="25"/>
    <n v="0"/>
    <s v="Bulk order - business account"/>
    <s v="Review"/>
    <n v="0"/>
    <s v="ORD-1228"/>
    <n v="1228"/>
    <s v="Oct-2024"/>
    <d v="2024-10-31T00:00:00"/>
    <s v="sarah"/>
    <n v="0"/>
  </r>
  <r>
    <s v="ORD-1157"/>
    <s v="05/12/2024"/>
    <s v="Robert  Qureshi"/>
    <s v="South"/>
    <s v="Karachi"/>
    <s v="Clothing"/>
    <s v="Cotton T-Shirt"/>
    <s v="Online"/>
    <n v="10"/>
    <s v="$75.12"/>
    <n v="0.1"/>
    <x v="1"/>
    <s v="cancelled"/>
    <x v="0"/>
    <s v="  Customer called twice "/>
    <s v="Robert Qureshi"/>
    <x v="2"/>
    <x v="1"/>
    <x v="1"/>
    <s v="Credit Card"/>
    <x v="0"/>
    <n v="10"/>
    <n v="75.12"/>
    <x v="26"/>
    <n v="0.1"/>
    <s v="Customer called twice"/>
    <s v="Standard"/>
    <n v="751.2"/>
    <s v="ORD-1157"/>
    <n v="1157"/>
    <s v="May-2024"/>
    <d v="2024-05-31T00:00:00"/>
    <s v="Robert"/>
    <n v="0.1"/>
  </r>
  <r>
    <s v="ORD-1016"/>
    <s v="07-Mar-24"/>
    <s v="James Ali"/>
    <s v="South"/>
    <s v="Hyderabad"/>
    <s v="Clothing"/>
    <s v="Formal Shirt"/>
    <s v="In-store "/>
    <n v="8"/>
    <s v="$454.54"/>
    <s v="10%"/>
    <x v="1"/>
    <s v="COMPLETED"/>
    <x v="1"/>
    <s v="Follow up needed_x0009_"/>
    <s v="James Ali"/>
    <x v="2"/>
    <x v="1"/>
    <x v="0"/>
    <s v="Credit Card"/>
    <x v="2"/>
    <n v="8"/>
    <n v="454.54"/>
    <x v="27"/>
    <s v="10%"/>
    <s v="Follow up needed"/>
    <s v="High Value"/>
    <n v="3636.32"/>
    <s v="ORD-1016"/>
    <n v="1016"/>
    <s v="Mar-2024"/>
    <d v="2024-03-31T00:00:00"/>
    <s v="james"/>
    <n v="0.1"/>
  </r>
  <r>
    <s v="ORD-1047"/>
    <s v="2024-06-15"/>
    <s v="Liam Farooq"/>
    <s v="north"/>
    <s v="Faisalabad"/>
    <s v="Clothing"/>
    <s v="Cotton T-Shirt"/>
    <s v="In Store"/>
    <n v="2"/>
    <s v="$353.43"/>
    <m/>
    <x v="4"/>
    <s v="COMPLETED"/>
    <x v="4"/>
    <s v="Leave at front desk  "/>
    <s v="Liam Farooq"/>
    <x v="1"/>
    <x v="1"/>
    <x v="0"/>
    <s v="Credit Card"/>
    <x v="2"/>
    <n v="2"/>
    <n v="353.43"/>
    <x v="28"/>
    <n v="0"/>
    <s v="Leave at front desk"/>
    <s v="Standard"/>
    <n v="706.86"/>
    <s v="ORD-1047"/>
    <n v="1047"/>
    <s v="Jun-2024"/>
    <d v="2024-06-30T00:00:00"/>
    <s v="Liam"/>
    <n v="0"/>
  </r>
  <r>
    <s v="ORD-1230"/>
    <s v="02/10/2024"/>
    <s v="Robert Raza "/>
    <s v=" East"/>
    <s v="Sialkot"/>
    <s v="Clothing"/>
    <s v="Running Shoes"/>
    <s v="Online"/>
    <n v="3"/>
    <s v=" 66.89 "/>
    <m/>
    <x v="2"/>
    <s v="Refunded"/>
    <x v="0"/>
    <s v="Follow up needed_x0009_"/>
    <s v="Robert Raza"/>
    <x v="3"/>
    <x v="1"/>
    <x v="1"/>
    <s v="Bank Transfer"/>
    <x v="3"/>
    <n v="3"/>
    <n v="66.89"/>
    <x v="29"/>
    <n v="0"/>
    <s v="Follow up needed"/>
    <s v="Standard"/>
    <n v="200.67000000000002"/>
    <s v="ORD-1230"/>
    <n v="1230"/>
    <s v="Feb-2024"/>
    <d v="2024-02-29T00:00:00"/>
    <s v="Robert"/>
    <n v="0"/>
  </r>
  <r>
    <s v="ORD-1103"/>
    <s v="02/29/2024"/>
    <s v="Nida  Garcia"/>
    <s v=" North"/>
    <s v="Lahore"/>
    <s v="Clothing"/>
    <s v="Winter Coat"/>
    <s v="Online"/>
    <n v="1"/>
    <s v=" 451.93 "/>
    <n v="0.05"/>
    <x v="5"/>
    <s v="PENDING"/>
    <x v="3"/>
    <s v="Damaged on arrival - replaced"/>
    <s v="Nida Garcia"/>
    <x v="1"/>
    <x v="1"/>
    <x v="1"/>
    <s v="Debit Card"/>
    <x v="1"/>
    <n v="1"/>
    <n v="451.93"/>
    <x v="30"/>
    <n v="0.05"/>
    <s v="Damaged on arrival - replaced"/>
    <s v="Standard"/>
    <n v="451.93"/>
    <s v="ORD-1103"/>
    <n v="1103"/>
    <s v="Feb-2024"/>
    <d v="2024-02-29T00:00:00"/>
    <s v="Nida"/>
    <n v="0.05"/>
  </r>
  <r>
    <s v="ORD-1093"/>
    <s v="December 01, 2024"/>
    <s v="Chen Qureshi "/>
    <s v="EAST"/>
    <s v="Sialkot"/>
    <s v="Clothing"/>
    <s v="Cotton T-Shirt"/>
    <s v="in-store"/>
    <n v="6"/>
    <n v="490.05"/>
    <n v="0"/>
    <x v="3"/>
    <s v="cancelled"/>
    <x v="1"/>
    <s v="VIP customer"/>
    <s v="Chen Qureshi"/>
    <x v="3"/>
    <x v="1"/>
    <x v="0"/>
    <s v="Cash"/>
    <x v="0"/>
    <n v="6"/>
    <n v="490.05"/>
    <x v="31"/>
    <n v="0"/>
    <s v="VIP customer"/>
    <s v="High Value"/>
    <n v="2940.3"/>
    <s v="ORD-1093"/>
    <n v="1093"/>
    <s v="Dec-2024"/>
    <d v="2024-12-31T00:00:00"/>
    <s v="Chen"/>
    <n v="0"/>
  </r>
  <r>
    <s v="ORD-1102"/>
    <s v="08/10/2024"/>
    <s v="HINA ALI"/>
    <s v="EAST"/>
    <s v="Sialkot"/>
    <s v="Clothing"/>
    <s v="Formal Shirt"/>
    <s v="in-store"/>
    <n v="10"/>
    <n v="478.89"/>
    <n v="0.2"/>
    <x v="5"/>
    <s v="Canceled"/>
    <x v="0"/>
    <s v="Bulk order - business account"/>
    <s v="Hina Ali"/>
    <x v="3"/>
    <x v="1"/>
    <x v="0"/>
    <s v="Debit Card"/>
    <x v="0"/>
    <n v="10"/>
    <n v="478.89"/>
    <x v="32"/>
    <n v="0.2"/>
    <s v="Bulk order - business account"/>
    <s v="High Value"/>
    <n v="4788.8999999999996"/>
    <s v="ORD-1102"/>
    <n v="1102"/>
    <s v="Aug-2024"/>
    <d v="2024-08-31T00:00:00"/>
    <s v="HINA"/>
    <n v="0.2"/>
  </r>
  <r>
    <s v="ORD-1102"/>
    <s v="08/10/2024"/>
    <s v="HINA ALI"/>
    <s v="EAST"/>
    <s v="Sialkot"/>
    <s v="Clothing"/>
    <s v="Formal Shirt"/>
    <s v="in-store"/>
    <n v="10"/>
    <n v="478.89"/>
    <n v="0.2"/>
    <x v="5"/>
    <s v="Canceled"/>
    <x v="0"/>
    <s v="Bulk order - business account"/>
    <s v="Hina Ali"/>
    <x v="3"/>
    <x v="1"/>
    <x v="0"/>
    <s v="Debit Card"/>
    <x v="0"/>
    <n v="10"/>
    <n v="478.89"/>
    <x v="32"/>
    <n v="0.2"/>
    <s v="Bulk order - business account"/>
    <s v="High Value"/>
    <n v="4788.8999999999996"/>
    <s v="ORD-1102"/>
    <n v="1102"/>
    <s v="Aug-2024"/>
    <d v="2024-08-31T00:00:00"/>
    <s v="HINA"/>
    <n v="0.2"/>
  </r>
  <r>
    <s v="ORD-1102"/>
    <s v="08/10/2024"/>
    <s v="HINA ALI"/>
    <s v="EAST"/>
    <s v="Sialkot"/>
    <s v="Clothing"/>
    <s v="Formal Shirt"/>
    <s v="in-store"/>
    <n v="10"/>
    <n v="478.89"/>
    <n v="0.2"/>
    <x v="5"/>
    <s v="Canceled"/>
    <x v="0"/>
    <s v="Bulk order - business account"/>
    <s v="Hina Ali"/>
    <x v="3"/>
    <x v="1"/>
    <x v="0"/>
    <s v="Debit Card"/>
    <x v="0"/>
    <n v="10"/>
    <n v="478.89"/>
    <x v="32"/>
    <n v="0.2"/>
    <s v="Bulk order - business account"/>
    <s v="High Value"/>
    <n v="4788.8999999999996"/>
    <s v="ORD-1102"/>
    <n v="1102"/>
    <s v="Aug-2024"/>
    <d v="2024-08-31T00:00:00"/>
    <s v="HINA"/>
    <n v="0.2"/>
  </r>
  <r>
    <s v="ORD-1089"/>
    <s v="06/09/2024"/>
    <s v=" David Sheikh"/>
    <s v="north"/>
    <s v="Islamabad"/>
    <s v="Clothing"/>
    <s v="Denim Jacket"/>
    <s v="Online"/>
    <m/>
    <n v="472.97"/>
    <n v="0.05"/>
    <x v="5"/>
    <s v="PENDING"/>
    <x v="0"/>
    <s v="Follow up needed_x0009_"/>
    <s v="David Sheikh"/>
    <x v="1"/>
    <x v="1"/>
    <x v="1"/>
    <s v="Debit Card"/>
    <x v="1"/>
    <s v=""/>
    <n v="472.97"/>
    <x v="33"/>
    <n v="0.05"/>
    <s v="Follow up needed"/>
    <s v="Review"/>
    <n v="0"/>
    <s v="ORD-1089"/>
    <n v="1089"/>
    <s v="Jun-2024"/>
    <d v="2024-06-30T00:00:00"/>
    <s v="David"/>
    <n v="0.05"/>
  </r>
  <r>
    <s v="ORD-1117"/>
    <s v="18/06/2024"/>
    <s v="Yusuf Johnson "/>
    <s v="EAST"/>
    <s v="Multan"/>
    <s v="Clothing"/>
    <s v="Denim Jacket"/>
    <s v="Online"/>
    <n v="12"/>
    <n v="464.79"/>
    <s v="20%"/>
    <x v="5"/>
    <s v="PENDING"/>
    <x v="5"/>
    <s v="Follow up needed_x0009_"/>
    <s v="Yusuf Johnson"/>
    <x v="3"/>
    <x v="1"/>
    <x v="1"/>
    <s v="Debit Card"/>
    <x v="1"/>
    <n v="12"/>
    <n v="464.79"/>
    <x v="34"/>
    <s v="20%"/>
    <s v="Follow up needed"/>
    <s v="High Value"/>
    <n v="5577.4800000000005"/>
    <s v="ORD-1117"/>
    <n v="1117"/>
    <s v="Jun-2024"/>
    <d v="2024-06-30T00:00:00"/>
    <s v="Yusuf"/>
    <n v="0.2"/>
  </r>
  <r>
    <s v="ORD-1061"/>
    <s v="2024-07-24"/>
    <s v=" Nida Hussain"/>
    <s v=" North"/>
    <s v="Faisalabad"/>
    <s v="Clothing"/>
    <s v="Denim Jacket"/>
    <s v="in-store"/>
    <n v="12"/>
    <n v="461.16"/>
    <m/>
    <x v="1"/>
    <s v="PENDING"/>
    <x v="0"/>
    <s v="Follow up needed_x0009_"/>
    <s v="Nida Hussain"/>
    <x v="1"/>
    <x v="1"/>
    <x v="0"/>
    <s v="Credit Card"/>
    <x v="1"/>
    <n v="12"/>
    <n v="461.16"/>
    <x v="35"/>
    <n v="0"/>
    <s v="Follow up needed"/>
    <s v="High Value"/>
    <n v="5533.92"/>
    <s v="ORD-1061"/>
    <n v="1061"/>
    <s v="Jul-2024"/>
    <d v="2024-07-31T00:00:00"/>
    <s v="Nida"/>
    <n v="0"/>
  </r>
  <r>
    <s v="ORD-1075"/>
    <s v="2024-02-10"/>
    <s v="Kevin  Sheikh"/>
    <s v="west"/>
    <s v="Peshawar"/>
    <s v="Clothing"/>
    <s v="Formal Shirt"/>
    <s v="Online"/>
    <m/>
    <n v="459.11"/>
    <n v="0.15"/>
    <x v="5"/>
    <s v="PENDING"/>
    <x v="4"/>
    <s v="Leave at front desk  "/>
    <s v="Kevin Sheikh"/>
    <x v="0"/>
    <x v="1"/>
    <x v="1"/>
    <s v="Debit Card"/>
    <x v="1"/>
    <s v=""/>
    <n v="459.11"/>
    <x v="29"/>
    <n v="0.15"/>
    <s v="Leave at front desk"/>
    <s v="Review"/>
    <n v="0"/>
    <s v="ORD-1075"/>
    <n v="1075"/>
    <s v="Feb-2024"/>
    <d v="2024-02-29T00:00:00"/>
    <s v="Kevin"/>
    <n v="0.15"/>
  </r>
  <r>
    <s v="ORD-1051"/>
    <s v="31-May-24"/>
    <s v="Nida Lee"/>
    <s v="EAST"/>
    <s v="Multan"/>
    <s v="Clothing"/>
    <s v="Denim Jacket"/>
    <s v="Online "/>
    <n v="3"/>
    <n v="438.85"/>
    <n v="0.1"/>
    <x v="1"/>
    <s v="cancelled"/>
    <x v="3"/>
    <s v="  Customer called twice "/>
    <s v="Nida Lee"/>
    <x v="3"/>
    <x v="1"/>
    <x v="1"/>
    <s v="Credit Card"/>
    <x v="0"/>
    <n v="3"/>
    <n v="438.85"/>
    <x v="36"/>
    <n v="0.1"/>
    <s v="Customer called twice"/>
    <s v="High Value"/>
    <n v="1316.5500000000002"/>
    <s v="ORD-1051"/>
    <n v="1051"/>
    <s v="May-2024"/>
    <d v="2024-05-31T00:00:00"/>
    <s v="Nida"/>
    <n v="0.1"/>
  </r>
  <r>
    <s v="ORD-1223"/>
    <s v="07/01/2024"/>
    <s v="YUSUF MALIK"/>
    <s v="EAST"/>
    <s v="Multan"/>
    <s v="Clothing"/>
    <s v="Denim Jacket"/>
    <s v="instore"/>
    <s v=" 12 "/>
    <n v="369.04"/>
    <m/>
    <x v="0"/>
    <s v="Complete"/>
    <x v="5"/>
    <s v="  Customer called twice "/>
    <s v="Yusuf Malik"/>
    <x v="3"/>
    <x v="1"/>
    <x v="0"/>
    <s v="Credit Card"/>
    <x v="2"/>
    <n v="12"/>
    <n v="369.04"/>
    <x v="37"/>
    <n v="0"/>
    <s v="Customer called twice"/>
    <s v="High Value"/>
    <n v="4428.4800000000005"/>
    <s v="ORD-1223"/>
    <n v="1223"/>
    <s v="Jul-2024"/>
    <d v="2024-07-31T00:00:00"/>
    <s v="Yusuf"/>
    <n v="0"/>
  </r>
  <r>
    <s v="ORD-1197"/>
    <s v="22/03/2024"/>
    <s v="sarah brown"/>
    <s v="North "/>
    <s v="Faisalabad"/>
    <s v="Clothing"/>
    <s v="Winter Coat"/>
    <s v="In-store "/>
    <s v=" 6 "/>
    <n v="355.3"/>
    <n v="0.2"/>
    <x v="1"/>
    <s v="Refunded"/>
    <x v="5"/>
    <s v="Bulk order - business account"/>
    <s v="Sarah Brown"/>
    <x v="1"/>
    <x v="1"/>
    <x v="0"/>
    <s v="Credit Card"/>
    <x v="3"/>
    <n v="6"/>
    <n v="355.3"/>
    <x v="38"/>
    <n v="0.2"/>
    <s v="Bulk order - business account"/>
    <s v="High Value"/>
    <n v="2131.8000000000002"/>
    <s v="ORD-1197"/>
    <n v="1197"/>
    <s v="Mar-2024"/>
    <d v="2024-03-31T00:00:00"/>
    <s v="sarah"/>
    <n v="0.2"/>
  </r>
  <r>
    <s v="ORD-1034"/>
    <s v="May 21, 2024"/>
    <s v="Fatima Hussain "/>
    <s v="EAST"/>
    <s v="Sialkot"/>
    <s v="Clothing"/>
    <s v="Cotton T-Shirt"/>
    <s v="Online "/>
    <s v=" 6 "/>
    <n v="270.25"/>
    <m/>
    <x v="0"/>
    <s v="Refunded"/>
    <x v="3"/>
    <s v="Bulk order - business account"/>
    <s v="Fatima Hussain"/>
    <x v="3"/>
    <x v="1"/>
    <x v="1"/>
    <s v="Credit Card"/>
    <x v="3"/>
    <n v="6"/>
    <n v="270.25"/>
    <x v="39"/>
    <n v="0"/>
    <s v="Bulk order - business account"/>
    <s v="High Value"/>
    <n v="1621.5"/>
    <s v="ORD-1034"/>
    <n v="1034"/>
    <s v="May-2024"/>
    <d v="2024-05-31T00:00:00"/>
    <s v="Fatima"/>
    <n v="0"/>
  </r>
  <r>
    <s v="ORD-1218"/>
    <s v="01/30/2024"/>
    <s v="Chen Smith"/>
    <s v="South "/>
    <s v="Hyderabad"/>
    <s v="Clothing"/>
    <s v="Formal Shirt"/>
    <s v="Online"/>
    <m/>
    <n v="195.24"/>
    <s v="20%"/>
    <x v="4"/>
    <s v="Refunded"/>
    <x v="5"/>
    <s v="Damaged on arrival - replaced"/>
    <s v="Chen Smith"/>
    <x v="2"/>
    <x v="1"/>
    <x v="1"/>
    <s v="Credit Card"/>
    <x v="3"/>
    <s v=""/>
    <n v="195.24"/>
    <x v="40"/>
    <s v="20%"/>
    <s v="Damaged on arrival - replaced"/>
    <s v="Review"/>
    <n v="0"/>
    <s v="ORD-1218"/>
    <n v="1218"/>
    <s v="Jan-2024"/>
    <d v="2024-01-31T00:00:00"/>
    <s v="Chen"/>
    <n v="0.2"/>
  </r>
  <r>
    <s v="ORD-1028"/>
    <s v="2024-10-03"/>
    <s v="Michael  Hussain"/>
    <s v="west"/>
    <s v="Quetta"/>
    <s v="Clothing"/>
    <s v="Running Shoes"/>
    <s v="in-store"/>
    <n v="6"/>
    <n v="192.67"/>
    <n v="0.1"/>
    <x v="1"/>
    <s v="cancelled"/>
    <x v="4"/>
    <m/>
    <s v="Michael Hussain"/>
    <x v="0"/>
    <x v="1"/>
    <x v="0"/>
    <s v="Credit Card"/>
    <x v="0"/>
    <n v="6"/>
    <n v="192.67"/>
    <x v="41"/>
    <n v="0.1"/>
    <s v=""/>
    <s v="High Value"/>
    <n v="1156.02"/>
    <s v="ORD-1028"/>
    <n v="1028"/>
    <s v="Oct-2024"/>
    <d v="2024-10-31T00:00:00"/>
    <s v="Michael"/>
    <n v="0.1"/>
  </r>
  <r>
    <s v="ORD-1071"/>
    <s v="2024-05-31"/>
    <s v="Chen  Taylor"/>
    <s v="North "/>
    <s v="Faisalabad"/>
    <s v="Clothing"/>
    <s v="Formal Shirt"/>
    <s v="in-store"/>
    <n v="3"/>
    <n v="174.16"/>
    <m/>
    <x v="1"/>
    <s v="COMPLETED"/>
    <x v="4"/>
    <s v="Bulk order - business account"/>
    <s v="Chen Taylor"/>
    <x v="1"/>
    <x v="1"/>
    <x v="0"/>
    <s v="Credit Card"/>
    <x v="2"/>
    <n v="3"/>
    <n v="174.16"/>
    <x v="36"/>
    <n v="0"/>
    <s v="Bulk order - business account"/>
    <s v="Standard"/>
    <n v="522.48"/>
    <s v="ORD-1071"/>
    <n v="1071"/>
    <s v="May-2024"/>
    <d v="2024-05-31T00:00:00"/>
    <s v="Chen"/>
    <n v="0"/>
  </r>
  <r>
    <s v="ORD-1053"/>
    <s v="20-Aug-24"/>
    <s v="Robert  Qureshi"/>
    <s v="North "/>
    <s v="Lahore"/>
    <s v="Clothing"/>
    <s v="Cotton T-Shirt"/>
    <s v="Online"/>
    <n v="1"/>
    <n v="155.66"/>
    <m/>
    <x v="3"/>
    <s v="COMPLETED"/>
    <x v="3"/>
    <s v="Bulk order - business account"/>
    <s v="Robert Qureshi"/>
    <x v="1"/>
    <x v="1"/>
    <x v="1"/>
    <s v="Cash"/>
    <x v="2"/>
    <n v="1"/>
    <n v="155.66"/>
    <x v="42"/>
    <n v="0"/>
    <s v="Bulk order - business account"/>
    <s v="Standard"/>
    <n v="155.66"/>
    <s v="ORD-1053"/>
    <n v="1053"/>
    <s v="Aug-2024"/>
    <d v="2024-08-31T00:00:00"/>
    <s v="Robert"/>
    <n v="0"/>
  </r>
  <r>
    <s v="ORD-1014"/>
    <s v="2024-10-15"/>
    <s v="ZARA JOHNSON"/>
    <s v="EAST"/>
    <s v="Multan"/>
    <s v="Clothing"/>
    <s v="Formal Shirt"/>
    <s v="In Store"/>
    <n v="3"/>
    <n v="153.5"/>
    <n v="0"/>
    <x v="1"/>
    <s v="cancelled"/>
    <x v="5"/>
    <s v="  Customer called twice "/>
    <s v="Zara Johnson"/>
    <x v="3"/>
    <x v="1"/>
    <x v="0"/>
    <s v="Credit Card"/>
    <x v="0"/>
    <n v="3"/>
    <n v="153.5"/>
    <x v="43"/>
    <n v="0"/>
    <s v="Customer called twice"/>
    <s v="Standard"/>
    <n v="460.5"/>
    <s v="ORD-1014"/>
    <n v="1014"/>
    <s v="Oct-2024"/>
    <d v="2024-10-31T00:00:00"/>
    <s v="zara"/>
    <n v="0"/>
  </r>
  <r>
    <s v="ORD-1014"/>
    <s v="2024-10-15"/>
    <s v="ZARA JOHNSON"/>
    <s v="EAST"/>
    <s v="Multan"/>
    <s v="Clothing"/>
    <s v="Formal Shirt"/>
    <s v="In Store"/>
    <n v="3"/>
    <n v="153.5"/>
    <n v="0"/>
    <x v="1"/>
    <s v="cancelled"/>
    <x v="5"/>
    <s v="  Customer called twice "/>
    <s v="Zara Johnson"/>
    <x v="3"/>
    <x v="1"/>
    <x v="0"/>
    <s v="Credit Card"/>
    <x v="0"/>
    <n v="3"/>
    <n v="153.5"/>
    <x v="43"/>
    <n v="0"/>
    <s v="Customer called twice"/>
    <s v="Standard"/>
    <n v="460.5"/>
    <s v="ORD-1014"/>
    <n v="1014"/>
    <s v="Oct-2024"/>
    <d v="2024-10-31T00:00:00"/>
    <s v="zara"/>
    <n v="0"/>
  </r>
  <r>
    <s v="ORD-1025"/>
    <s v="03/18/2024"/>
    <s v="Sofia Malik "/>
    <s v="West "/>
    <s v="Peshawar"/>
    <s v="Clothing"/>
    <s v="Denim Jacket"/>
    <s v="in-store"/>
    <s v=" 8 "/>
    <n v="146.44"/>
    <m/>
    <x v="3"/>
    <s v="COMPLETED"/>
    <x v="2"/>
    <s v="  "/>
    <s v="Sofia Malik"/>
    <x v="0"/>
    <x v="1"/>
    <x v="0"/>
    <s v="Cash"/>
    <x v="2"/>
    <n v="8"/>
    <n v="146.44"/>
    <x v="44"/>
    <n v="0"/>
    <s v=""/>
    <s v="High Value"/>
    <n v="1171.52"/>
    <s v="ORD-1025"/>
    <n v="1025"/>
    <s v="Mar-2024"/>
    <d v="2024-03-31T00:00:00"/>
    <s v="Sofia"/>
    <n v="0"/>
  </r>
  <r>
    <s v="ORD-1025"/>
    <s v="03/18/2024"/>
    <s v="Sofia Malik "/>
    <s v="West "/>
    <s v="Peshawar"/>
    <s v="Clothing"/>
    <s v="Denim Jacket"/>
    <s v="in-store"/>
    <s v=" 8 "/>
    <n v="146.44"/>
    <m/>
    <x v="3"/>
    <s v="COMPLETED"/>
    <x v="2"/>
    <s v="  "/>
    <s v="Sofia Malik"/>
    <x v="0"/>
    <x v="1"/>
    <x v="0"/>
    <s v="Cash"/>
    <x v="2"/>
    <n v="8"/>
    <n v="146.44"/>
    <x v="44"/>
    <n v="0"/>
    <s v=""/>
    <s v="High Value"/>
    <n v="1171.52"/>
    <s v="ORD-1025"/>
    <n v="1025"/>
    <s v="Mar-2024"/>
    <d v="2024-03-31T00:00:00"/>
    <s v="Sofia"/>
    <n v="0"/>
  </r>
  <r>
    <s v="ORD-1081"/>
    <s v="July 05, 2024"/>
    <s v="hina raza"/>
    <s v="West "/>
    <s v="Quetta"/>
    <s v="Clothing"/>
    <s v="Cotton T-Shirt"/>
    <s v="in-store"/>
    <n v="10"/>
    <n v="140.9"/>
    <n v="0"/>
    <x v="6"/>
    <s v="PENDING"/>
    <x v="3"/>
    <s v="Follow up needed_x0009_"/>
    <s v="Hina Raza"/>
    <x v="0"/>
    <x v="1"/>
    <x v="0"/>
    <s v="Cash"/>
    <x v="1"/>
    <n v="10"/>
    <n v="140.9"/>
    <x v="45"/>
    <n v="0"/>
    <s v="Follow up needed"/>
    <s v="High Value"/>
    <n v="1409"/>
    <s v="ORD-1081"/>
    <n v="1081"/>
    <s v="Jul-2024"/>
    <d v="2024-07-31T00:00:00"/>
    <s v="HINA"/>
    <n v="0"/>
  </r>
  <r>
    <s v="ORD-1134"/>
    <s v="22-May-24"/>
    <s v="Umar Hussain"/>
    <s v="EAST"/>
    <s v="Multan"/>
    <s v="Clothing"/>
    <s v="Running Shoes"/>
    <s v="instore"/>
    <n v="3"/>
    <n v="138.01"/>
    <n v="0"/>
    <x v="5"/>
    <s v="PENDING"/>
    <x v="0"/>
    <s v="Damaged on arrival - replaced"/>
    <s v="Umar Hussain"/>
    <x v="3"/>
    <x v="1"/>
    <x v="0"/>
    <s v="Debit Card"/>
    <x v="1"/>
    <n v="3"/>
    <n v="138.01"/>
    <x v="46"/>
    <n v="0"/>
    <s v="Damaged on arrival - replaced"/>
    <s v="Standard"/>
    <n v="414.03"/>
    <s v="ORD-1134"/>
    <n v="1134"/>
    <s v="May-2024"/>
    <d v="2024-05-31T00:00:00"/>
    <s v="UMAR"/>
    <n v="0"/>
  </r>
  <r>
    <s v="ORD-1111"/>
    <s v="06/12/2024"/>
    <s v="Yusuf Ahmed "/>
    <s v="South "/>
    <s v="Karachi"/>
    <s v="Clothing"/>
    <s v="Running Shoes"/>
    <s v="In-store "/>
    <n v="11"/>
    <n v="134.47"/>
    <n v="0"/>
    <x v="2"/>
    <s v="Refunded"/>
    <x v="3"/>
    <m/>
    <s v="Yusuf Ahmed"/>
    <x v="2"/>
    <x v="1"/>
    <x v="0"/>
    <s v="Bank Transfer"/>
    <x v="3"/>
    <n v="11"/>
    <n v="134.47"/>
    <x v="47"/>
    <n v="0"/>
    <s v=""/>
    <s v="High Value"/>
    <n v="1479.17"/>
    <s v="ORD-1111"/>
    <n v="1111"/>
    <s v="Jun-2024"/>
    <d v="2024-06-30T00:00:00"/>
    <s v="Yusuf"/>
    <n v="0"/>
  </r>
  <r>
    <s v="ORD-1150"/>
    <s v="17-Dec-24"/>
    <s v="Umar Lewis"/>
    <s v="South"/>
    <s v="Karachi"/>
    <s v="Clothing"/>
    <s v="Cotton T-Shirt"/>
    <s v="In-store "/>
    <n v="6"/>
    <n v="107.78"/>
    <m/>
    <x v="1"/>
    <s v="COMPLETED"/>
    <x v="2"/>
    <s v="Gift wrap requested"/>
    <s v="Umar Lewis"/>
    <x v="2"/>
    <x v="1"/>
    <x v="0"/>
    <s v="Credit Card"/>
    <x v="2"/>
    <n v="6"/>
    <n v="107.78"/>
    <x v="48"/>
    <n v="0"/>
    <s v="Gift wrap requested"/>
    <s v="Standard"/>
    <n v="646.68000000000006"/>
    <s v="ORD-1150"/>
    <n v="1150"/>
    <s v="Dec-2024"/>
    <d v="2024-12-31T00:00:00"/>
    <s v="UMAR"/>
    <n v="0"/>
  </r>
  <r>
    <s v="ORD-1074"/>
    <s v="2024-07-31"/>
    <s v="tom iqbal"/>
    <s v="North "/>
    <s v="Faisalabad"/>
    <s v="Clothing"/>
    <s v="Denim Jacket"/>
    <s v="in-store"/>
    <n v="8"/>
    <n v="77.94"/>
    <n v="0.05"/>
    <x v="5"/>
    <s v="cancelled"/>
    <x v="4"/>
    <s v="  "/>
    <s v="Tom Iqbal"/>
    <x v="1"/>
    <x v="1"/>
    <x v="0"/>
    <s v="Debit Card"/>
    <x v="0"/>
    <n v="8"/>
    <n v="77.94"/>
    <x v="49"/>
    <n v="0.05"/>
    <s v=""/>
    <s v="Standard"/>
    <n v="623.52"/>
    <s v="ORD-1074"/>
    <n v="1074"/>
    <s v="Jul-2024"/>
    <d v="2024-07-31T00:00:00"/>
    <s v="tom"/>
    <n v="0.05"/>
  </r>
  <r>
    <s v="ORD-1065"/>
    <s v="10/02/2024"/>
    <s v="Noah Anderson "/>
    <s v="west"/>
    <s v="Quetta"/>
    <s v="Clothing"/>
    <s v="Winter Coat"/>
    <s v="instore"/>
    <n v="12"/>
    <n v="48.62"/>
    <m/>
    <x v="3"/>
    <s v="Canceled"/>
    <x v="5"/>
    <s v="Leave at front desk  "/>
    <s v="Noah Anderson"/>
    <x v="0"/>
    <x v="1"/>
    <x v="0"/>
    <s v="Cash"/>
    <x v="0"/>
    <n v="12"/>
    <n v="48.62"/>
    <x v="0"/>
    <n v="0"/>
    <s v="Leave at front desk"/>
    <s v="Standard"/>
    <n v="583.43999999999994"/>
    <s v="ORD-1065"/>
    <n v="1065"/>
    <s v="Oct-2024"/>
    <d v="2024-10-31T00:00:00"/>
    <s v="Noah"/>
    <n v="0"/>
  </r>
  <r>
    <s v="ORD-1144"/>
    <s v="2024-07-03"/>
    <s v="Kevin Clark "/>
    <s v="EAST"/>
    <s v="Sialkot"/>
    <s v="Clothing"/>
    <s v="Cotton T-Shirt"/>
    <s v="in-store"/>
    <n v="7"/>
    <n v="36.619999999999997"/>
    <s v="0%"/>
    <x v="5"/>
    <s v="cancelled"/>
    <x v="5"/>
    <s v="Damaged on arrival - replaced"/>
    <s v="Kevin Clark"/>
    <x v="3"/>
    <x v="1"/>
    <x v="0"/>
    <s v="Debit Card"/>
    <x v="0"/>
    <n v="7"/>
    <n v="36.619999999999997"/>
    <x v="13"/>
    <s v="0%"/>
    <s v="Damaged on arrival - replaced"/>
    <s v="Standard"/>
    <n v="256.33999999999997"/>
    <s v="ORD-1144"/>
    <n v="1144"/>
    <s v="Jul-2024"/>
    <d v="2024-07-31T00:00:00"/>
    <s v="Kevin"/>
    <n v="0"/>
  </r>
  <r>
    <s v="ORD-1035"/>
    <s v="25/05/2024"/>
    <s v="Zara Raza"/>
    <s v="South"/>
    <s v="Karachi"/>
    <s v="Clothing"/>
    <s v="Winter Coat"/>
    <s v="Online"/>
    <m/>
    <n v="31.99"/>
    <n v="0.15"/>
    <x v="1"/>
    <s v="COMPLETED"/>
    <x v="5"/>
    <s v="Damaged on arrival - replaced"/>
    <s v="Zara Raza"/>
    <x v="2"/>
    <x v="1"/>
    <x v="1"/>
    <s v="Credit Card"/>
    <x v="2"/>
    <s v=""/>
    <n v="31.99"/>
    <x v="50"/>
    <n v="0.15"/>
    <s v="Damaged on arrival - replaced"/>
    <s v="Review"/>
    <n v="0"/>
    <s v="ORD-1035"/>
    <n v="1035"/>
    <s v="May-2024"/>
    <d v="2024-05-31T00:00:00"/>
    <s v="zara"/>
    <n v="0.15"/>
  </r>
  <r>
    <s v="ORD-1168"/>
    <s v="2024-12-16"/>
    <s v="sarah malik"/>
    <s v="west"/>
    <m/>
    <s v="Clothing"/>
    <s v="Cotton T-Shirt"/>
    <s v="instore"/>
    <n v="5"/>
    <n v="15.02"/>
    <m/>
    <x v="4"/>
    <s v="cancelled"/>
    <x v="0"/>
    <s v="VIP customer"/>
    <s v="Sarah Malik"/>
    <x v="0"/>
    <x v="1"/>
    <x v="0"/>
    <s v="Credit Card"/>
    <x v="0"/>
    <n v="5"/>
    <n v="15.02"/>
    <x v="51"/>
    <n v="0"/>
    <s v="VIP customer"/>
    <s v="Standard"/>
    <n v="75.099999999999994"/>
    <s v="ORD-1168"/>
    <n v="1168"/>
    <s v="Dec-2024"/>
    <d v="2024-12-31T00:00:00"/>
    <s v="sarah"/>
    <n v="0"/>
  </r>
  <r>
    <s v="ORD-1156"/>
    <s v="26/09/2024"/>
    <s v=" Priya Ahmed"/>
    <s v="EAST"/>
    <s v="Multan"/>
    <s v="Clothing"/>
    <s v="Winter Coat"/>
    <s v="Online "/>
    <n v="8"/>
    <m/>
    <m/>
    <x v="3"/>
    <s v="Complete"/>
    <x v="4"/>
    <s v="Gift wrap requested"/>
    <s v="Priya Ahmed"/>
    <x v="3"/>
    <x v="1"/>
    <x v="1"/>
    <s v="Cash"/>
    <x v="2"/>
    <n v="8"/>
    <s v=""/>
    <x v="52"/>
    <n v="0"/>
    <s v="Gift wrap requested"/>
    <s v="Review"/>
    <n v="0"/>
    <s v="ORD-1156"/>
    <n v="1156"/>
    <s v="Sep-2024"/>
    <d v="2024-09-30T00:00:00"/>
    <s v="Priya"/>
    <n v="0"/>
  </r>
  <r>
    <s v="ORD-1213"/>
    <s v="2024-11-06"/>
    <s v=" Zara Brown"/>
    <s v=" South"/>
    <s v="Hyderabad"/>
    <s v="Clothing"/>
    <s v="Winter Coat"/>
    <s v="Online"/>
    <n v="4"/>
    <m/>
    <n v="0.2"/>
    <x v="6"/>
    <s v="Canceled"/>
    <x v="2"/>
    <s v="Follow up needed_x0009_"/>
    <s v="Zara Brown"/>
    <x v="2"/>
    <x v="1"/>
    <x v="1"/>
    <s v="Cash"/>
    <x v="0"/>
    <n v="4"/>
    <s v=""/>
    <x v="53"/>
    <n v="0.2"/>
    <s v="Follow up needed"/>
    <s v="Review"/>
    <n v="0"/>
    <s v="ORD-1213"/>
    <n v="1213"/>
    <s v="Nov-2024"/>
    <d v="2024-11-30T00:00:00"/>
    <s v="zara"/>
    <n v="0.2"/>
  </r>
  <r>
    <s v="ORD-1199"/>
    <s v="02/19/2024"/>
    <s v="SARAH TAYLOR"/>
    <s v="Nort"/>
    <s v="Lahore"/>
    <s v="Clothing"/>
    <s v="Winter Coat"/>
    <s v="in-store"/>
    <n v="9"/>
    <m/>
    <n v="0.05"/>
    <x v="5"/>
    <s v="PENDING"/>
    <x v="4"/>
    <s v="Bulk order - business account"/>
    <s v="Sarah Taylor"/>
    <x v="1"/>
    <x v="1"/>
    <x v="0"/>
    <s v="Debit Card"/>
    <x v="1"/>
    <n v="9"/>
    <s v=""/>
    <x v="54"/>
    <n v="0.05"/>
    <s v="Bulk order - business account"/>
    <s v="Review"/>
    <n v="0"/>
    <s v="ORD-1199"/>
    <n v="1199"/>
    <s v="Feb-2024"/>
    <d v="2024-02-29T00:00:00"/>
    <s v="sarah"/>
    <n v="0.05"/>
  </r>
  <r>
    <s v="ORD-1036"/>
    <s v="12/10/2024"/>
    <s v="Daniel  Taylor"/>
    <s v="north"/>
    <s v="Lahore"/>
    <s v="Electronic"/>
    <s v="LED Monitor"/>
    <s v="Online"/>
    <n v="10"/>
    <s v="$31.54"/>
    <s v="10%"/>
    <x v="1"/>
    <s v="Complete"/>
    <x v="4"/>
    <s v="VIP customer"/>
    <s v="Daniel Taylor"/>
    <x v="1"/>
    <x v="2"/>
    <x v="1"/>
    <s v="Credit Card"/>
    <x v="2"/>
    <n v="10"/>
    <n v="31.54"/>
    <x v="55"/>
    <s v="10%"/>
    <s v="VIP customer"/>
    <s v="Standard"/>
    <n v="315.39999999999998"/>
    <s v="ORD-1036"/>
    <n v="1036"/>
    <s v="Dec-2024"/>
    <d v="2024-12-31T00:00:00"/>
    <s v="daniel"/>
    <n v="0.1"/>
  </r>
  <r>
    <s v="ORD-1116"/>
    <s v="31-Aug-24"/>
    <s v="CHEN FAROOQ"/>
    <s v="North "/>
    <s v="Islamabad"/>
    <s v="Electronic"/>
    <s v="LED Monitor"/>
    <s v="in-store"/>
    <n v="10"/>
    <n v="487.05"/>
    <n v="0.05"/>
    <x v="0"/>
    <s v="Refunded"/>
    <x v="5"/>
    <s v="Gift wrap requested"/>
    <s v="Chen Farooq"/>
    <x v="1"/>
    <x v="2"/>
    <x v="0"/>
    <s v="Credit Card"/>
    <x v="3"/>
    <n v="10"/>
    <n v="487.05"/>
    <x v="56"/>
    <n v="0.05"/>
    <s v="Gift wrap requested"/>
    <s v="High Value"/>
    <n v="4870.5"/>
    <s v="ORD-1116"/>
    <n v="1116"/>
    <s v="Aug-2024"/>
    <d v="2024-08-31T00:00:00"/>
    <s v="Chen"/>
    <n v="0.05"/>
  </r>
  <r>
    <s v="ORD-1214"/>
    <s v="08/07/2024"/>
    <s v=" Aisha Qureshi"/>
    <s v=" North"/>
    <s v="Faisalabad"/>
    <s v="Electronic"/>
    <s v="USB-C Cable"/>
    <s v="In-store "/>
    <n v="1"/>
    <n v="388.56"/>
    <n v="0.1"/>
    <x v="1"/>
    <s v="Refunded"/>
    <x v="5"/>
    <s v="Damaged on arrival - replaced"/>
    <s v="Aisha Qureshi"/>
    <x v="1"/>
    <x v="2"/>
    <x v="0"/>
    <s v="Credit Card"/>
    <x v="3"/>
    <n v="1"/>
    <n v="388.56"/>
    <x v="57"/>
    <n v="0.1"/>
    <s v="Damaged on arrival - replaced"/>
    <s v="Standard"/>
    <n v="388.56"/>
    <s v="ORD-1214"/>
    <n v="1214"/>
    <s v="Aug-2024"/>
    <d v="2024-08-31T00:00:00"/>
    <s v="Aisha"/>
    <n v="0.1"/>
  </r>
  <r>
    <s v="ORD-1124"/>
    <s v="December 25, 2024"/>
    <s v="Tom  Raza"/>
    <s v="EAST"/>
    <s v="Sialkot"/>
    <s v="Electronic"/>
    <s v="Power Bank"/>
    <s v="instore"/>
    <n v="10"/>
    <n v="255.77"/>
    <s v="20%"/>
    <x v="1"/>
    <s v="Refunded"/>
    <x v="1"/>
    <s v="  Customer called twice "/>
    <s v="Tom Raza"/>
    <x v="3"/>
    <x v="2"/>
    <x v="0"/>
    <s v="Credit Card"/>
    <x v="3"/>
    <n v="10"/>
    <n v="255.77"/>
    <x v="58"/>
    <s v="20%"/>
    <s v="Customer called twice"/>
    <s v="High Value"/>
    <n v="2557.7000000000003"/>
    <s v="ORD-1124"/>
    <n v="1124"/>
    <s v="Dec-2024"/>
    <d v="2024-12-31T00:00:00"/>
    <s v="tom"/>
    <n v="0.2"/>
  </r>
  <r>
    <s v="ORD-1195"/>
    <s v="25-Apr-24"/>
    <s v="SANA FAROOQ"/>
    <s v=" South"/>
    <s v="Hyderabad"/>
    <s v="Electronic"/>
    <s v="LED Monitor"/>
    <s v="In Store"/>
    <n v="11"/>
    <m/>
    <m/>
    <x v="3"/>
    <s v="Refunded"/>
    <x v="3"/>
    <s v="Bulk order - business account"/>
    <s v="Sana Farooq"/>
    <x v="2"/>
    <x v="2"/>
    <x v="0"/>
    <s v="Cash"/>
    <x v="3"/>
    <n v="11"/>
    <s v=""/>
    <x v="59"/>
    <n v="0"/>
    <s v="Bulk order - business account"/>
    <s v="Review"/>
    <n v="0"/>
    <s v="ORD-1195"/>
    <n v="1195"/>
    <s v="Apr-2024"/>
    <d v="2024-04-30T00:00:00"/>
    <s v="SANA"/>
    <n v="0"/>
  </r>
  <r>
    <s v="ORD-1076"/>
    <s v="September 20, 2024"/>
    <s v=" Ahmed Brown"/>
    <s v="west"/>
    <s v="Peshawar"/>
    <s v="Electronics"/>
    <s v="USB-C Cable"/>
    <s v="In Store"/>
    <n v="11"/>
    <s v="$231.27"/>
    <n v="0.2"/>
    <x v="3"/>
    <s v="COMPLETED"/>
    <x v="0"/>
    <s v="VIP customer"/>
    <s v="Ahmed Brown"/>
    <x v="0"/>
    <x v="2"/>
    <x v="0"/>
    <s v="Cash"/>
    <x v="2"/>
    <n v="11"/>
    <n v="231.27"/>
    <x v="60"/>
    <n v="0.2"/>
    <s v="VIP customer"/>
    <s v="High Value"/>
    <n v="2543.9700000000003"/>
    <s v="ORD-1076"/>
    <n v="1076"/>
    <s v="Sep-2024"/>
    <d v="2024-09-30T00:00:00"/>
    <s v="Ahmed"/>
    <n v="0.2"/>
  </r>
  <r>
    <s v="ORD-1202"/>
    <s v="05/31/2024"/>
    <s v="bilal johnson"/>
    <s v="north"/>
    <s v="Faisalabad"/>
    <s v="Electronics"/>
    <s v="LED Monitor"/>
    <s v="In Store"/>
    <n v="7"/>
    <s v="$20.26"/>
    <m/>
    <x v="2"/>
    <s v="Canceled"/>
    <x v="5"/>
    <s v="Leave at front desk  "/>
    <s v="Bilal Johnson"/>
    <x v="1"/>
    <x v="2"/>
    <x v="0"/>
    <s v="Bank Transfer"/>
    <x v="0"/>
    <n v="7"/>
    <n v="20.260000000000002"/>
    <x v="36"/>
    <n v="0"/>
    <s v="Leave at front desk"/>
    <s v="Standard"/>
    <n v="141.82000000000002"/>
    <s v="ORD-1202"/>
    <n v="1202"/>
    <s v="May-2024"/>
    <d v="2024-05-31T00:00:00"/>
    <s v="bilal"/>
    <n v="0"/>
  </r>
  <r>
    <s v="ORD-1006"/>
    <s v="09/13/2024"/>
    <s v="ZARA JOHNSON"/>
    <s v="West "/>
    <s v="Peshawar"/>
    <s v="Electronics"/>
    <s v="Power Bank"/>
    <s v="in-store"/>
    <n v="11"/>
    <s v="$150.28"/>
    <m/>
    <x v="2"/>
    <s v="Refunded"/>
    <x v="1"/>
    <s v="Bulk order - business account"/>
    <s v="Zara Johnson"/>
    <x v="0"/>
    <x v="2"/>
    <x v="0"/>
    <s v="Bank Transfer"/>
    <x v="3"/>
    <n v="11"/>
    <n v="150.28"/>
    <x v="61"/>
    <n v="0"/>
    <s v="Bulk order - business account"/>
    <s v="High Value"/>
    <n v="1653.08"/>
    <s v="ORD-1006"/>
    <n v="1006"/>
    <s v="Sep-2024"/>
    <d v="2024-09-30T00:00:00"/>
    <s v="zara"/>
    <n v="0"/>
  </r>
  <r>
    <s v="ORD-1023"/>
    <s v="2024-12-01"/>
    <s v="Michael Ahmed "/>
    <s v="EAST"/>
    <s v="Multan"/>
    <s v="Electronics"/>
    <s v="LED Monitor"/>
    <s v="Online"/>
    <n v="8"/>
    <s v=" 316.73 "/>
    <s v="15%"/>
    <x v="5"/>
    <s v="Complete"/>
    <x v="2"/>
    <s v="  Customer called twice "/>
    <s v="Michael Ahmed"/>
    <x v="3"/>
    <x v="2"/>
    <x v="1"/>
    <s v="Debit Card"/>
    <x v="2"/>
    <n v="8"/>
    <n v="316.73"/>
    <x v="31"/>
    <s v="15%"/>
    <s v="Customer called twice"/>
    <s v="High Value"/>
    <n v="2533.84"/>
    <s v="ORD-1023"/>
    <n v="1023"/>
    <s v="Dec-2024"/>
    <d v="2024-12-31T00:00:00"/>
    <s v="Michael"/>
    <n v="0.15"/>
  </r>
  <r>
    <s v="ORD-1160"/>
    <s v="21/02/2024"/>
    <s v="John  Wilson"/>
    <s v="South"/>
    <s v="Hyderabad"/>
    <s v="Electronics"/>
    <s v="Wireless Mouse"/>
    <s v="In Store"/>
    <n v="8"/>
    <n v="484.71"/>
    <n v="0.15"/>
    <x v="5"/>
    <s v="PENDING"/>
    <x v="3"/>
    <s v="VIP customer"/>
    <s v="John Wilson"/>
    <x v="2"/>
    <x v="2"/>
    <x v="0"/>
    <s v="Debit Card"/>
    <x v="1"/>
    <n v="8"/>
    <n v="484.71"/>
    <x v="62"/>
    <n v="0.15"/>
    <s v="VIP customer"/>
    <s v="High Value"/>
    <n v="3877.68"/>
    <s v="ORD-1160"/>
    <n v="1160"/>
    <s v="Feb-2024"/>
    <d v="2024-02-29T00:00:00"/>
    <s v="John"/>
    <n v="0.15"/>
  </r>
  <r>
    <s v="ORD-1126"/>
    <s v="22/12/2024"/>
    <s v="David Sheikh"/>
    <s v="west"/>
    <s v="Peshawar"/>
    <s v="Electronics"/>
    <s v="USB-C Cable"/>
    <s v="in-store"/>
    <n v="5"/>
    <n v="393.21"/>
    <m/>
    <x v="1"/>
    <s v="cancelled"/>
    <x v="0"/>
    <m/>
    <s v="David Sheikh"/>
    <x v="0"/>
    <x v="2"/>
    <x v="0"/>
    <s v="Credit Card"/>
    <x v="0"/>
    <n v="5"/>
    <n v="393.21"/>
    <x v="63"/>
    <n v="0"/>
    <s v=""/>
    <s v="High Value"/>
    <n v="1966.05"/>
    <s v="ORD-1126"/>
    <n v="1126"/>
    <s v="Dec-2024"/>
    <d v="2024-12-31T00:00:00"/>
    <s v="David"/>
    <n v="0"/>
  </r>
  <r>
    <s v="ORD-1138"/>
    <s v="September 28, 2024"/>
    <s v="BILAL BROWN"/>
    <s v="north"/>
    <s v="Lahore"/>
    <s v="Electronics"/>
    <s v="Bluetooth Speaker"/>
    <s v="in-store"/>
    <s v=" 5 "/>
    <n v="387.86"/>
    <m/>
    <x v="6"/>
    <s v="COMPLETED"/>
    <x v="4"/>
    <s v="Gift wrap requested"/>
    <s v="Bilal Brown"/>
    <x v="1"/>
    <x v="2"/>
    <x v="0"/>
    <s v="Cash"/>
    <x v="2"/>
    <n v="5"/>
    <n v="387.86"/>
    <x v="64"/>
    <n v="0"/>
    <s v="Gift wrap requested"/>
    <s v="High Value"/>
    <n v="1939.3000000000002"/>
    <s v="ORD-1138"/>
    <n v="1138"/>
    <s v="Sep-2024"/>
    <d v="2024-09-30T00:00:00"/>
    <s v="bilal"/>
    <n v="0"/>
  </r>
  <r>
    <s v="ORD-1115"/>
    <s v="17/02/2024"/>
    <s v=" Laura Garcia"/>
    <s v="EAST"/>
    <s v="Sialkot"/>
    <s v="Electronics"/>
    <s v="LED Monitor"/>
    <s v="instore"/>
    <n v="10"/>
    <n v="350.13"/>
    <n v="0"/>
    <x v="6"/>
    <s v="PENDING"/>
    <x v="4"/>
    <s v="  "/>
    <s v="Laura Garcia"/>
    <x v="3"/>
    <x v="2"/>
    <x v="0"/>
    <s v="Cash"/>
    <x v="1"/>
    <n v="10"/>
    <n v="350.13"/>
    <x v="65"/>
    <n v="0"/>
    <s v=""/>
    <s v="High Value"/>
    <n v="3501.3"/>
    <s v="ORD-1115"/>
    <n v="1115"/>
    <s v="Feb-2024"/>
    <d v="2024-02-29T00:00:00"/>
    <s v="Laura"/>
    <n v="0"/>
  </r>
  <r>
    <s v="ORD-1211"/>
    <s v="March 06, 2024"/>
    <s v="Kevin  Wilson"/>
    <s v="South"/>
    <s v="Karachi"/>
    <s v="Electronics"/>
    <s v="LED Monitor"/>
    <s v="in-store"/>
    <s v=" 12 "/>
    <n v="339.24"/>
    <s v="15%"/>
    <x v="1"/>
    <s v="Complete"/>
    <x v="4"/>
    <s v="Follow up needed_x0009_"/>
    <s v="Kevin Wilson"/>
    <x v="2"/>
    <x v="2"/>
    <x v="0"/>
    <s v="Credit Card"/>
    <x v="2"/>
    <n v="12"/>
    <n v="339.24"/>
    <x v="66"/>
    <s v="15%"/>
    <s v="Follow up needed"/>
    <s v="High Value"/>
    <n v="4070.88"/>
    <s v="ORD-1211"/>
    <n v="1211"/>
    <s v="Mar-2024"/>
    <d v="2024-03-31T00:00:00"/>
    <s v="Kevin"/>
    <n v="0.15"/>
  </r>
  <r>
    <s v="ORD-1189"/>
    <s v="2024-04-23"/>
    <s v=" Sofia Clark"/>
    <s v="South "/>
    <s v="Hyderabad"/>
    <s v="Electronics"/>
    <s v="LED Monitor"/>
    <s v="in-store"/>
    <n v="9"/>
    <n v="301.98"/>
    <n v="0.15"/>
    <x v="1"/>
    <s v="COMPLETED"/>
    <x v="0"/>
    <m/>
    <s v="Sofia Clark"/>
    <x v="2"/>
    <x v="2"/>
    <x v="0"/>
    <s v="Credit Card"/>
    <x v="2"/>
    <n v="9"/>
    <n v="301.98"/>
    <x v="24"/>
    <n v="0.15"/>
    <s v=""/>
    <s v="High Value"/>
    <n v="2717.82"/>
    <s v="ORD-1189"/>
    <n v="1189"/>
    <s v="Apr-2024"/>
    <d v="2024-04-30T00:00:00"/>
    <s v="Sofia"/>
    <n v="0.15"/>
  </r>
  <r>
    <s v="ORD-1185"/>
    <s v="07/03/2024"/>
    <s v="BILAL IQBAL"/>
    <s v="South"/>
    <s v="Karachi"/>
    <s v="Electronics"/>
    <s v="Wireless Mouse"/>
    <s v="In Store"/>
    <n v="10"/>
    <n v="286.63"/>
    <s v="10%"/>
    <x v="3"/>
    <s v="COMPLETED"/>
    <x v="0"/>
    <s v="Damaged on arrival - replaced"/>
    <s v="Bilal Iqbal"/>
    <x v="2"/>
    <x v="2"/>
    <x v="0"/>
    <s v="Cash"/>
    <x v="2"/>
    <n v="10"/>
    <n v="286.63"/>
    <x v="13"/>
    <s v="10%"/>
    <s v="Damaged on arrival - replaced"/>
    <s v="High Value"/>
    <n v="2866.3"/>
    <s v="ORD-1185"/>
    <n v="1185"/>
    <s v="Jul-2024"/>
    <d v="2024-07-31T00:00:00"/>
    <s v="bilal"/>
    <n v="0.1"/>
  </r>
  <r>
    <s v="ORD-1079"/>
    <s v="01-Dec-24"/>
    <s v="Bilal Lee"/>
    <s v="EAST"/>
    <s v="Multan"/>
    <s v="Electronics"/>
    <s v="Bluetooth Speaker"/>
    <s v="In-store "/>
    <n v="7"/>
    <n v="273.8"/>
    <n v="0.05"/>
    <x v="4"/>
    <s v="cancelled"/>
    <x v="4"/>
    <s v="Leave at front desk  "/>
    <s v="Bilal Lee"/>
    <x v="3"/>
    <x v="2"/>
    <x v="0"/>
    <s v="Credit Card"/>
    <x v="0"/>
    <n v="7"/>
    <n v="273.8"/>
    <x v="31"/>
    <n v="0.05"/>
    <s v="Leave at front desk"/>
    <s v="High Value"/>
    <n v="1916.6000000000001"/>
    <s v="ORD-1079"/>
    <n v="1079"/>
    <s v="Dec-2024"/>
    <d v="2024-12-31T00:00:00"/>
    <s v="bilal"/>
    <n v="0.05"/>
  </r>
  <r>
    <s v="ORD-1196"/>
    <s v="18/06/2024"/>
    <s v="SANA  QURESHI"/>
    <s v="South"/>
    <s v="Hyderabad"/>
    <s v="Electronics"/>
    <s v="USB-C Cable"/>
    <s v="In-store "/>
    <n v="2"/>
    <n v="217.11"/>
    <m/>
    <x v="3"/>
    <s v="cancelled"/>
    <x v="4"/>
    <s v="Follow up needed_x0009_"/>
    <s v="Sana Qureshi"/>
    <x v="2"/>
    <x v="2"/>
    <x v="0"/>
    <s v="Cash"/>
    <x v="0"/>
    <n v="2"/>
    <n v="217.11"/>
    <x v="34"/>
    <n v="0"/>
    <s v="Follow up needed"/>
    <s v="Standard"/>
    <n v="434.22"/>
    <s v="ORD-1196"/>
    <n v="1196"/>
    <s v="Jun-2024"/>
    <d v="2024-06-30T00:00:00"/>
    <s v="SANA"/>
    <n v="0"/>
  </r>
  <r>
    <s v="ORD-1196"/>
    <s v="18/06/2024"/>
    <s v="Sana  Qureshi"/>
    <s v="South"/>
    <s v="Hyderabad"/>
    <s v="Electronics"/>
    <s v="USB-C Cable"/>
    <s v="In-store "/>
    <n v="2"/>
    <n v="217.11"/>
    <m/>
    <x v="3"/>
    <s v="cancelled"/>
    <x v="4"/>
    <s v="Follow up needed_x0009_"/>
    <s v="Sana Qureshi"/>
    <x v="2"/>
    <x v="2"/>
    <x v="0"/>
    <s v="Cash"/>
    <x v="0"/>
    <n v="2"/>
    <n v="217.11"/>
    <x v="34"/>
    <n v="0"/>
    <s v="Follow up needed"/>
    <s v="Standard"/>
    <n v="434.22"/>
    <s v="ORD-1196"/>
    <n v="1196"/>
    <s v="Jun-2024"/>
    <d v="2024-06-30T00:00:00"/>
    <s v="SANA"/>
    <n v="0"/>
  </r>
  <r>
    <s v="ORD-1043"/>
    <s v="April 07, 2024"/>
    <s v="JOHN FAROOQ"/>
    <s v="north"/>
    <s v="Islamabad"/>
    <s v="Electronics"/>
    <s v="LED Monitor"/>
    <s v="in-store"/>
    <n v="9"/>
    <n v="210.67"/>
    <n v="0.15"/>
    <x v="3"/>
    <s v="COMPLETED"/>
    <x v="3"/>
    <s v="Bulk order - business account"/>
    <s v="John Farooq"/>
    <x v="1"/>
    <x v="2"/>
    <x v="0"/>
    <s v="Cash"/>
    <x v="2"/>
    <n v="9"/>
    <n v="210.67"/>
    <x v="67"/>
    <n v="0.15"/>
    <s v="Bulk order - business account"/>
    <s v="High Value"/>
    <n v="1896.03"/>
    <s v="ORD-1043"/>
    <n v="1043"/>
    <s v="Apr-2024"/>
    <d v="2024-04-30T00:00:00"/>
    <s v="John"/>
    <n v="0.15"/>
  </r>
  <r>
    <s v="ORD-1021"/>
    <s v="12/12/2024"/>
    <s v="hina garcia"/>
    <s v="west"/>
    <s v="Peshawar"/>
    <s v="Electronics"/>
    <s v="Power Bank"/>
    <s v="in-store"/>
    <n v="11"/>
    <n v="204.19"/>
    <m/>
    <x v="5"/>
    <s v="PENDING"/>
    <x v="3"/>
    <s v="Leave at front desk  "/>
    <s v="Hina Garcia"/>
    <x v="0"/>
    <x v="2"/>
    <x v="0"/>
    <s v="Debit Card"/>
    <x v="1"/>
    <n v="11"/>
    <n v="204.19"/>
    <x v="68"/>
    <n v="0"/>
    <s v="Leave at front desk"/>
    <s v="High Value"/>
    <n v="2246.09"/>
    <s v="ORD-1021"/>
    <n v="1021"/>
    <s v="Dec-2024"/>
    <d v="2024-12-31T00:00:00"/>
    <s v="HINA"/>
    <n v="0"/>
  </r>
  <r>
    <s v="ORD-1003"/>
    <s v="09-Dec-24"/>
    <s v="Yusuf Anderson"/>
    <s v="EAST"/>
    <s v="Multan"/>
    <s v="Electronics"/>
    <s v="Bluetooth Speaker"/>
    <s v="Online"/>
    <n v="4"/>
    <n v="193.16"/>
    <n v="0.05"/>
    <x v="5"/>
    <s v="cancelled"/>
    <x v="2"/>
    <s v="  Customer called twice "/>
    <s v="Yusuf Anderson"/>
    <x v="3"/>
    <x v="2"/>
    <x v="1"/>
    <s v="Debit Card"/>
    <x v="0"/>
    <n v="4"/>
    <n v="193.16"/>
    <x v="69"/>
    <n v="0.05"/>
    <s v="Customer called twice"/>
    <s v="Standard"/>
    <n v="772.64"/>
    <s v="ORD-1003"/>
    <n v="1003"/>
    <s v="Dec-2024"/>
    <d v="2024-12-31T00:00:00"/>
    <s v="Yusuf"/>
    <n v="0.05"/>
  </r>
  <r>
    <s v="ORD-1183"/>
    <s v="03-Jul-24"/>
    <s v="Kate Lewis "/>
    <s v="west"/>
    <s v="Quetta"/>
    <s v="Electronics"/>
    <s v="Bluetooth Speaker"/>
    <s v="Online "/>
    <n v="8"/>
    <n v="151.53"/>
    <m/>
    <x v="1"/>
    <s v="COMPLETED"/>
    <x v="1"/>
    <s v="  "/>
    <s v="Kate Lewis"/>
    <x v="0"/>
    <x v="2"/>
    <x v="1"/>
    <s v="Credit Card"/>
    <x v="2"/>
    <n v="8"/>
    <n v="151.53"/>
    <x v="13"/>
    <n v="0"/>
    <s v=""/>
    <s v="High Value"/>
    <n v="1212.24"/>
    <s v="ORD-1183"/>
    <n v="1183"/>
    <s v="Jul-2024"/>
    <d v="2024-07-31T00:00:00"/>
    <s v="Kate"/>
    <n v="0"/>
  </r>
  <r>
    <s v="ORD-1131"/>
    <s v="2024-10-20"/>
    <s v="OLIVIA IQBAL"/>
    <s v="West "/>
    <s v="Quetta"/>
    <s v="Electronics"/>
    <s v="Bluetooth Speaker"/>
    <s v="Online"/>
    <n v="5"/>
    <n v="147.88999999999999"/>
    <s v="15%"/>
    <x v="3"/>
    <s v="PENDING"/>
    <x v="4"/>
    <s v="Leave at front desk  "/>
    <s v="Olivia Iqbal"/>
    <x v="0"/>
    <x v="2"/>
    <x v="1"/>
    <s v="Cash"/>
    <x v="1"/>
    <n v="5"/>
    <n v="147.88999999999999"/>
    <x v="70"/>
    <s v="15%"/>
    <s v="Leave at front desk"/>
    <s v="Standard"/>
    <n v="739.44999999999993"/>
    <s v="ORD-1131"/>
    <n v="1131"/>
    <s v="Oct-2024"/>
    <d v="2024-10-31T00:00:00"/>
    <s v="OLIVIA"/>
    <n v="0.15"/>
  </r>
  <r>
    <s v="ORD-1118"/>
    <s v="April 05, 2024"/>
    <s v=" Nida Johnson"/>
    <s v="EAST"/>
    <s v="Multan"/>
    <s v="Electronics"/>
    <s v="Power Bank"/>
    <s v="In Store"/>
    <m/>
    <n v="140.30000000000001"/>
    <n v="0.1"/>
    <x v="3"/>
    <s v="Canceled"/>
    <x v="3"/>
    <s v="  "/>
    <s v="Nida Johnson"/>
    <x v="3"/>
    <x v="2"/>
    <x v="0"/>
    <s v="Cash"/>
    <x v="0"/>
    <s v=""/>
    <n v="140.30000000000001"/>
    <x v="71"/>
    <n v="0.1"/>
    <s v=""/>
    <s v="Review"/>
    <n v="0"/>
    <s v="ORD-1118"/>
    <n v="1118"/>
    <s v="Apr-2024"/>
    <d v="2024-04-30T00:00:00"/>
    <s v="Nida"/>
    <n v="0.1"/>
  </r>
  <r>
    <s v="ORD-1107"/>
    <s v="21-Oct-24"/>
    <s v="Laura Garcia"/>
    <s v=" North"/>
    <s v="Islamabad"/>
    <s v="Electronics"/>
    <s v="Wireless Mouse"/>
    <s v="In Store"/>
    <n v="8"/>
    <n v="112.55"/>
    <m/>
    <x v="3"/>
    <s v="cancelled"/>
    <x v="2"/>
    <m/>
    <s v="Laura Garcia"/>
    <x v="1"/>
    <x v="2"/>
    <x v="0"/>
    <s v="Cash"/>
    <x v="0"/>
    <n v="8"/>
    <n v="112.55"/>
    <x v="21"/>
    <n v="0"/>
    <s v=""/>
    <s v="Standard"/>
    <n v="900.4"/>
    <s v="ORD-1107"/>
    <n v="1107"/>
    <s v="Oct-2024"/>
    <d v="2024-10-31T00:00:00"/>
    <s v="Laura"/>
    <n v="0"/>
  </r>
  <r>
    <s v="ORD-1161"/>
    <s v="2024-12-26"/>
    <s v="Priya Lee"/>
    <s v="north"/>
    <s v="Islamabad"/>
    <s v="Electronics"/>
    <s v="Bluetooth Speaker"/>
    <s v="Online"/>
    <s v=" 7 "/>
    <n v="42.13"/>
    <n v="0.1"/>
    <x v="3"/>
    <s v="PENDING"/>
    <x v="3"/>
    <s v="  "/>
    <s v="Priya Lee"/>
    <x v="1"/>
    <x v="2"/>
    <x v="1"/>
    <s v="Cash"/>
    <x v="1"/>
    <n v="7"/>
    <n v="42.13"/>
    <x v="72"/>
    <n v="0.1"/>
    <s v=""/>
    <s v="Standard"/>
    <n v="294.91000000000003"/>
    <s v="ORD-1161"/>
    <n v="1161"/>
    <s v="Dec-2024"/>
    <d v="2024-12-31T00:00:00"/>
    <s v="Priya"/>
    <n v="0.1"/>
  </r>
  <r>
    <s v="ORD-1063"/>
    <s v="11-Mar-24"/>
    <s v="ZARA LEE"/>
    <s v="EAST"/>
    <s v="Multan"/>
    <s v="Electronics"/>
    <s v="Power Bank"/>
    <s v="instore"/>
    <n v="9"/>
    <n v="27.48"/>
    <s v="0%"/>
    <x v="0"/>
    <s v="cancelled"/>
    <x v="2"/>
    <s v="Leave at front desk  "/>
    <s v="Zara Lee"/>
    <x v="3"/>
    <x v="2"/>
    <x v="0"/>
    <s v="Credit Card"/>
    <x v="0"/>
    <n v="9"/>
    <n v="27.48"/>
    <x v="73"/>
    <s v="0%"/>
    <s v="Leave at front desk"/>
    <s v="Standard"/>
    <n v="247.32"/>
    <s v="ORD-1063"/>
    <n v="1063"/>
    <s v="Mar-2024"/>
    <d v="2024-03-31T00:00:00"/>
    <s v="zara"/>
    <n v="0"/>
  </r>
  <r>
    <s v="ORD-1069"/>
    <s v="28-Jul-24"/>
    <s v="Kevin Brown"/>
    <s v="west"/>
    <s v="Peshawar"/>
    <s v="Electronics "/>
    <s v="USB-C Cable"/>
    <s v="Online"/>
    <n v="4"/>
    <n v="495.54"/>
    <s v="10%"/>
    <x v="5"/>
    <s v="cancelled"/>
    <x v="3"/>
    <s v="Gift wrap requested"/>
    <s v="Kevin Brown"/>
    <x v="0"/>
    <x v="2"/>
    <x v="1"/>
    <s v="Debit Card"/>
    <x v="0"/>
    <n v="4"/>
    <n v="495.54"/>
    <x v="74"/>
    <s v="10%"/>
    <s v="Gift wrap requested"/>
    <s v="High Value"/>
    <n v="1982.16"/>
    <s v="ORD-1069"/>
    <n v="1069"/>
    <s v="Jul-2024"/>
    <d v="2024-07-31T00:00:00"/>
    <s v="Kevin"/>
    <n v="0.1"/>
  </r>
  <r>
    <s v="ORD-1146"/>
    <s v="2024-06-16"/>
    <s v="ROBERT AHMED"/>
    <s v="EAST"/>
    <s v="Multan"/>
    <s v="Electronics "/>
    <s v="Wireless Mouse"/>
    <s v="Online"/>
    <n v="4"/>
    <n v="490.8"/>
    <m/>
    <x v="5"/>
    <s v="cancelled"/>
    <x v="1"/>
    <s v="Bulk order - business account"/>
    <s v="Robert Ahmed"/>
    <x v="3"/>
    <x v="2"/>
    <x v="1"/>
    <s v="Debit Card"/>
    <x v="0"/>
    <n v="4"/>
    <n v="490.8"/>
    <x v="75"/>
    <n v="0"/>
    <s v="Bulk order - business account"/>
    <s v="High Value"/>
    <n v="1963.2"/>
    <s v="ORD-1146"/>
    <n v="1146"/>
    <s v="Jun-2024"/>
    <d v="2024-06-30T00:00:00"/>
    <s v="Robert"/>
    <n v="0"/>
  </r>
  <r>
    <s v="ORD-1220"/>
    <s v="03-Jan-24"/>
    <s v=" Noah Garcia"/>
    <s v="North "/>
    <s v="Faisalabad"/>
    <s v="Electronics "/>
    <s v="Bluetooth Speaker"/>
    <s v="In-store "/>
    <n v="10"/>
    <n v="481.83"/>
    <s v="5%"/>
    <x v="5"/>
    <s v="Canceled"/>
    <x v="5"/>
    <s v="Follow up needed_x0009_"/>
    <s v="Noah Garcia"/>
    <x v="1"/>
    <x v="2"/>
    <x v="0"/>
    <s v="Debit Card"/>
    <x v="0"/>
    <n v="10"/>
    <n v="481.83"/>
    <x v="76"/>
    <s v="5%"/>
    <s v="Follow up needed"/>
    <s v="High Value"/>
    <n v="4818.3"/>
    <s v="ORD-1220"/>
    <n v="1220"/>
    <s v="Jan-2024"/>
    <d v="2024-01-31T00:00:00"/>
    <s v="Noah"/>
    <n v="0.05"/>
  </r>
  <r>
    <s v="ORD-1066"/>
    <s v="04/11/2024"/>
    <s v="Sana  Taylor"/>
    <s v="EAST"/>
    <s v="Multan"/>
    <s v="Electronics "/>
    <s v="Power Bank"/>
    <s v="Online "/>
    <n v="6"/>
    <n v="479.32"/>
    <m/>
    <x v="1"/>
    <s v="COMPLETED"/>
    <x v="1"/>
    <s v="Follow up needed_x0009_"/>
    <s v="Sana Taylor"/>
    <x v="3"/>
    <x v="2"/>
    <x v="1"/>
    <s v="Credit Card"/>
    <x v="2"/>
    <n v="6"/>
    <n v="479.32"/>
    <x v="77"/>
    <n v="0"/>
    <s v="Follow up needed"/>
    <s v="High Value"/>
    <n v="2875.92"/>
    <s v="ORD-1066"/>
    <n v="1066"/>
    <s v="Apr-2024"/>
    <d v="2024-04-30T00:00:00"/>
    <s v="SANA"/>
    <n v="0"/>
  </r>
  <r>
    <s v="ORD-1068"/>
    <s v="06-Apr-24"/>
    <s v="Daniel Khan"/>
    <s v="EAST"/>
    <s v="Multan"/>
    <s v="Electronics "/>
    <s v="Power Bank"/>
    <s v="In-store "/>
    <n v="7"/>
    <n v="279.39"/>
    <n v="0.15"/>
    <x v="2"/>
    <s v="PENDING"/>
    <x v="0"/>
    <s v="Damaged on arrival - replaced"/>
    <s v="Daniel Khan"/>
    <x v="3"/>
    <x v="2"/>
    <x v="0"/>
    <s v="Bank Transfer"/>
    <x v="1"/>
    <n v="7"/>
    <n v="279.39"/>
    <x v="78"/>
    <n v="0.15"/>
    <s v="Damaged on arrival - replaced"/>
    <s v="High Value"/>
    <n v="1955.73"/>
    <s v="ORD-1068"/>
    <n v="1068"/>
    <s v="Apr-2024"/>
    <d v="2024-04-30T00:00:00"/>
    <s v="daniel"/>
    <n v="0.15"/>
  </r>
  <r>
    <s v="ORD-1186"/>
    <s v="03-Sep-24"/>
    <s v="EMILY HUSSAIN"/>
    <s v="north"/>
    <s v="Lahore"/>
    <s v="Electronics "/>
    <s v="Power Bank"/>
    <s v="Online "/>
    <n v="11"/>
    <n v="261.95"/>
    <s v="15%"/>
    <x v="6"/>
    <s v="Refunded"/>
    <x v="2"/>
    <s v="  "/>
    <s v="Emily Hussain"/>
    <x v="1"/>
    <x v="2"/>
    <x v="1"/>
    <s v="Cash"/>
    <x v="3"/>
    <n v="11"/>
    <n v="261.95"/>
    <x v="79"/>
    <s v="15%"/>
    <s v=""/>
    <s v="High Value"/>
    <n v="2881.45"/>
    <s v="ORD-1186"/>
    <n v="1186"/>
    <s v="Sep-2024"/>
    <d v="2024-09-30T00:00:00"/>
    <s v="EMILY"/>
    <n v="0.15"/>
  </r>
  <r>
    <s v="ORD-1191"/>
    <s v="2024-03-06"/>
    <s v="Sarah Lewis"/>
    <s v="West "/>
    <s v="Quetta"/>
    <s v="Electronics "/>
    <s v="Wireless Mouse"/>
    <s v="In-store "/>
    <n v="7"/>
    <n v="244.05"/>
    <n v="0.05"/>
    <x v="2"/>
    <s v="PENDING"/>
    <x v="2"/>
    <s v="  "/>
    <s v="Sarah Lewis"/>
    <x v="0"/>
    <x v="2"/>
    <x v="0"/>
    <s v="Bank Transfer"/>
    <x v="1"/>
    <n v="7"/>
    <n v="244.05"/>
    <x v="66"/>
    <n v="0.05"/>
    <s v=""/>
    <s v="High Value"/>
    <n v="1708.3500000000001"/>
    <s v="ORD-1191"/>
    <n v="1191"/>
    <s v="Mar-2024"/>
    <d v="2024-03-31T00:00:00"/>
    <s v="sarah"/>
    <n v="0.05"/>
  </r>
  <r>
    <s v="ORD-1221"/>
    <s v="14/12/2024"/>
    <s v="Olivia Clark"/>
    <s v=" North"/>
    <s v="Lahore"/>
    <s v="Electronics "/>
    <s v="Bluetooth Speaker"/>
    <s v="In-store "/>
    <n v="10"/>
    <n v="224.17"/>
    <n v="0.05"/>
    <x v="2"/>
    <s v="cancelled"/>
    <x v="3"/>
    <s v="Gift wrap requested"/>
    <s v="Olivia Clark"/>
    <x v="1"/>
    <x v="2"/>
    <x v="0"/>
    <s v="Bank Transfer"/>
    <x v="0"/>
    <n v="10"/>
    <n v="224.17"/>
    <x v="80"/>
    <n v="0.05"/>
    <s v="Gift wrap requested"/>
    <s v="High Value"/>
    <n v="2241.6999999999998"/>
    <s v="ORD-1221"/>
    <n v="1221"/>
    <s v="Dec-2024"/>
    <d v="2024-12-31T00:00:00"/>
    <s v="OLIVIA"/>
    <n v="0.05"/>
  </r>
  <r>
    <s v="ORD-1050"/>
    <s v="2024-11-26"/>
    <s v="john anderson"/>
    <s v=" North"/>
    <s v="Faisalabad"/>
    <s v="Electronics "/>
    <s v="LED Monitor"/>
    <s v="in-store"/>
    <n v="4"/>
    <n v="179.4"/>
    <s v="5%"/>
    <x v="6"/>
    <s v="COMPLETED"/>
    <x v="0"/>
    <s v="Leave at front desk  "/>
    <s v="John Anderson"/>
    <x v="1"/>
    <x v="2"/>
    <x v="0"/>
    <s v="Cash"/>
    <x v="2"/>
    <n v="4"/>
    <n v="179.4"/>
    <x v="81"/>
    <s v="5%"/>
    <s v="Leave at front desk"/>
    <s v="Standard"/>
    <n v="717.6"/>
    <s v="ORD-1050"/>
    <n v="1050"/>
    <s v="Nov-2024"/>
    <d v="2024-11-30T00:00:00"/>
    <s v="John"/>
    <n v="0.05"/>
  </r>
  <r>
    <s v="ORD-1078"/>
    <s v="04/03/2024"/>
    <s v="james smith"/>
    <s v="north"/>
    <s v="Islamabad"/>
    <s v="Electronics "/>
    <s v="Bluetooth Speaker"/>
    <s v="Online"/>
    <n v="1"/>
    <n v="172.58"/>
    <n v="0.15"/>
    <x v="2"/>
    <s v="cancelled"/>
    <x v="0"/>
    <s v="  Customer called twice "/>
    <s v="James Smith"/>
    <x v="1"/>
    <x v="2"/>
    <x v="1"/>
    <s v="Bank Transfer"/>
    <x v="0"/>
    <n v="1"/>
    <n v="172.58"/>
    <x v="82"/>
    <n v="0.15"/>
    <s v="Customer called twice"/>
    <s v="Standard"/>
    <n v="172.58"/>
    <s v="ORD-1078"/>
    <n v="1078"/>
    <s v="Apr-2024"/>
    <d v="2024-04-30T00:00:00"/>
    <s v="james"/>
    <n v="0.15"/>
  </r>
  <r>
    <s v="ORD-1001"/>
    <s v="December 25, 2024"/>
    <s v="Tom Ali"/>
    <s v="EAST"/>
    <s v="Multan"/>
    <s v="Electronics "/>
    <s v="Wireless Mouse"/>
    <s v="In Store"/>
    <m/>
    <n v="113.23"/>
    <m/>
    <x v="0"/>
    <s v="Refunded"/>
    <x v="0"/>
    <s v="  "/>
    <s v="Tom Ali"/>
    <x v="3"/>
    <x v="2"/>
    <x v="0"/>
    <s v="Credit Card"/>
    <x v="3"/>
    <s v=""/>
    <n v="113.23"/>
    <x v="58"/>
    <n v="0"/>
    <s v=""/>
    <s v="Review"/>
    <n v="0"/>
    <s v="ORD-1001"/>
    <n v="1001"/>
    <s v="Dec-2024"/>
    <d v="2024-12-31T00:00:00"/>
    <s v="tom"/>
    <n v="0"/>
  </r>
  <r>
    <s v="ORD-1029"/>
    <s v="November 06, 2024"/>
    <s v="Laura Johnson "/>
    <s v="north"/>
    <s v="Islamabad"/>
    <s v="Electronics "/>
    <s v="USB-C Cable"/>
    <s v="Online "/>
    <n v="3"/>
    <n v="61.62"/>
    <n v="0.1"/>
    <x v="2"/>
    <s v="cancelled"/>
    <x v="2"/>
    <s v="  Customer called twice "/>
    <s v="Laura Johnson"/>
    <x v="1"/>
    <x v="2"/>
    <x v="1"/>
    <s v="Bank Transfer"/>
    <x v="0"/>
    <n v="3"/>
    <n v="61.62"/>
    <x v="53"/>
    <n v="0.1"/>
    <s v="Customer called twice"/>
    <s v="Standard"/>
    <n v="184.85999999999999"/>
    <s v="ORD-1029"/>
    <n v="1029"/>
    <s v="Nov-2024"/>
    <d v="2024-11-30T00:00:00"/>
    <s v="Laura"/>
    <n v="0.1"/>
  </r>
  <r>
    <s v="ORD-1142"/>
    <s v="2024-10-27"/>
    <s v="YUSUF KHAN"/>
    <s v=" East"/>
    <s v="Sialkot"/>
    <s v="Electronics "/>
    <s v="Power Bank"/>
    <s v="Online"/>
    <s v=" 5 "/>
    <n v="44.12"/>
    <n v="0.05"/>
    <x v="3"/>
    <s v="cancelled"/>
    <x v="3"/>
    <s v="Leave at front desk  "/>
    <s v="Yusuf Khan"/>
    <x v="3"/>
    <x v="2"/>
    <x v="1"/>
    <s v="Cash"/>
    <x v="0"/>
    <n v="5"/>
    <n v="44.12"/>
    <x v="83"/>
    <n v="0.05"/>
    <s v="Leave at front desk"/>
    <s v="Standard"/>
    <n v="220.6"/>
    <s v="ORD-1142"/>
    <n v="1142"/>
    <s v="Oct-2024"/>
    <d v="2024-10-31T00:00:00"/>
    <s v="Yusuf"/>
    <n v="0.05"/>
  </r>
  <r>
    <s v="ORD-1091"/>
    <s v="03/01/2024"/>
    <s v="Sofia Wilson "/>
    <s v=" East"/>
    <s v="Sialkot"/>
    <s v="Electronics "/>
    <s v="Power Bank"/>
    <s v="Online "/>
    <n v="6"/>
    <n v="41.4"/>
    <n v="0.1"/>
    <x v="3"/>
    <s v="PENDING"/>
    <x v="5"/>
    <s v="  Customer called twice "/>
    <s v="Sofia Wilson"/>
    <x v="3"/>
    <x v="2"/>
    <x v="1"/>
    <s v="Cash"/>
    <x v="1"/>
    <n v="6"/>
    <n v="41.4"/>
    <x v="1"/>
    <n v="0.1"/>
    <s v="Customer called twice"/>
    <s v="Standard"/>
    <n v="248.39999999999998"/>
    <s v="ORD-1091"/>
    <n v="1091"/>
    <s v="Mar-2024"/>
    <d v="2024-03-31T00:00:00"/>
    <s v="Sofia"/>
    <n v="0.1"/>
  </r>
  <r>
    <s v="ORD-1152"/>
    <s v="2024-03-03"/>
    <s v="Sarah  Ahmed"/>
    <s v="South "/>
    <s v="Hyderabad"/>
    <s v="Electronics "/>
    <s v="Power Bank"/>
    <s v="in-store"/>
    <m/>
    <n v="36.909999999999997"/>
    <n v="0.05"/>
    <x v="1"/>
    <s v="Refunded"/>
    <x v="1"/>
    <s v="Damaged on arrival - replaced"/>
    <s v="Sarah Ahmed"/>
    <x v="2"/>
    <x v="2"/>
    <x v="0"/>
    <s v="Credit Card"/>
    <x v="3"/>
    <s v=""/>
    <n v="36.909999999999997"/>
    <x v="84"/>
    <n v="0.05"/>
    <s v="Damaged on arrival - replaced"/>
    <s v="Review"/>
    <n v="0"/>
    <s v="ORD-1152"/>
    <n v="1152"/>
    <s v="Mar-2024"/>
    <d v="2024-03-31T00:00:00"/>
    <s v="sarah"/>
    <n v="0.05"/>
  </r>
  <r>
    <s v="ORD-1062"/>
    <s v="14/08/2024"/>
    <s v="Sana Smith"/>
    <s v="South "/>
    <s v="Hyderabad"/>
    <s v="FURNITURE"/>
    <s v="Bookshelf"/>
    <s v="in-store"/>
    <n v="10"/>
    <s v="$442.25"/>
    <n v="0"/>
    <x v="6"/>
    <s v="COMPLETED"/>
    <x v="1"/>
    <s v="Damaged on arrival - replaced"/>
    <s v="Sana Smith"/>
    <x v="2"/>
    <x v="0"/>
    <x v="0"/>
    <s v="Cash"/>
    <x v="2"/>
    <n v="10"/>
    <n v="442.25"/>
    <x v="85"/>
    <n v="0"/>
    <s v="Damaged on arrival - replaced"/>
    <s v="High Value"/>
    <n v="4422.5"/>
    <s v="ORD-1062"/>
    <n v="1062"/>
    <s v="Aug-2024"/>
    <d v="2024-08-31T00:00:00"/>
    <s v="SANA"/>
    <n v="0"/>
  </r>
  <r>
    <s v="ORD-1177"/>
    <s v="March 07, 2024"/>
    <s v="David Taylor "/>
    <s v="South"/>
    <s v="Hyderabad"/>
    <s v="FURNITURE"/>
    <s v="Office Chair"/>
    <s v="Online"/>
    <n v="8"/>
    <s v="$381.79"/>
    <n v="0.15"/>
    <x v="2"/>
    <s v="Refunded"/>
    <x v="4"/>
    <s v="  "/>
    <s v="David Taylor"/>
    <x v="2"/>
    <x v="0"/>
    <x v="1"/>
    <s v="Bank Transfer"/>
    <x v="3"/>
    <n v="8"/>
    <n v="381.79"/>
    <x v="27"/>
    <n v="0.15"/>
    <s v=""/>
    <s v="High Value"/>
    <n v="3054.32"/>
    <s v="ORD-1177"/>
    <n v="1177"/>
    <s v="Mar-2024"/>
    <d v="2024-03-31T00:00:00"/>
    <s v="David"/>
    <n v="0.15"/>
  </r>
  <r>
    <s v="ORD-1042"/>
    <s v="22-Mar-24"/>
    <s v=" Sarah Garcia"/>
    <s v=" East"/>
    <s v="Sialkot"/>
    <s v="FURNITURE"/>
    <s v="Sofa Set"/>
    <s v="Online"/>
    <n v="5"/>
    <s v="$350.63"/>
    <n v="0.2"/>
    <x v="2"/>
    <s v="Complete"/>
    <x v="0"/>
    <s v="Bulk order - business account"/>
    <s v="Sarah Garcia"/>
    <x v="3"/>
    <x v="0"/>
    <x v="1"/>
    <s v="Bank Transfer"/>
    <x v="2"/>
    <n v="5"/>
    <n v="350.63"/>
    <x v="38"/>
    <n v="0.2"/>
    <s v="Bulk order - business account"/>
    <s v="High Value"/>
    <n v="1753.15"/>
    <s v="ORD-1042"/>
    <n v="1042"/>
    <s v="Mar-2024"/>
    <d v="2024-03-31T00:00:00"/>
    <s v="sarah"/>
    <n v="0.2"/>
  </r>
  <r>
    <s v="ORD-1094"/>
    <s v="2024-08-29"/>
    <s v=" Sana Khan"/>
    <s v="west"/>
    <s v="Peshawar"/>
    <s v="FURNITURE"/>
    <s v="Sofa Set"/>
    <s v="Online"/>
    <m/>
    <s v="$160.28"/>
    <s v="15%"/>
    <x v="3"/>
    <s v="Refunded"/>
    <x v="5"/>
    <s v="Follow up needed_x0009_"/>
    <s v="Sana Khan"/>
    <x v="0"/>
    <x v="0"/>
    <x v="1"/>
    <s v="Cash"/>
    <x v="3"/>
    <s v=""/>
    <n v="160.28"/>
    <x v="86"/>
    <s v="15%"/>
    <s v="Follow up needed"/>
    <s v="Review"/>
    <n v="0"/>
    <s v="ORD-1094"/>
    <n v="1094"/>
    <s v="Aug-2024"/>
    <d v="2024-08-31T00:00:00"/>
    <s v="SANA"/>
    <n v="0.15"/>
  </r>
  <r>
    <s v="ORD-1128"/>
    <s v="09/12/2024"/>
    <s v="John  Qureshi"/>
    <s v="West "/>
    <m/>
    <s v="FURNITURE"/>
    <s v="Bookshelf"/>
    <s v="Online"/>
    <s v=" 10 "/>
    <s v=" 436.63 "/>
    <m/>
    <x v="5"/>
    <s v="COMPLETED"/>
    <x v="1"/>
    <s v="Bulk order - business account"/>
    <s v="John Qureshi"/>
    <x v="0"/>
    <x v="0"/>
    <x v="1"/>
    <s v="Debit Card"/>
    <x v="2"/>
    <n v="10"/>
    <n v="436.63"/>
    <x v="87"/>
    <n v="0"/>
    <s v="Bulk order - business account"/>
    <s v="High Value"/>
    <n v="4366.3"/>
    <s v="ORD-1128"/>
    <n v="1128"/>
    <s v="Sep-2024"/>
    <d v="2024-09-30T00:00:00"/>
    <s v="John"/>
    <n v="0"/>
  </r>
  <r>
    <s v="ORD-1170"/>
    <s v="2024-03-04"/>
    <s v=" Chen Brown"/>
    <s v="north"/>
    <s v="Islamabad"/>
    <s v="FURNITURE"/>
    <s v="Study Desk"/>
    <s v="Online"/>
    <m/>
    <s v=" 183.39 "/>
    <n v="0.15"/>
    <x v="3"/>
    <s v="Canceled"/>
    <x v="0"/>
    <s v="VIP customer"/>
    <s v="Chen Brown"/>
    <x v="1"/>
    <x v="0"/>
    <x v="1"/>
    <s v="Cash"/>
    <x v="0"/>
    <s v=""/>
    <n v="183.39"/>
    <x v="88"/>
    <n v="0.15"/>
    <s v="VIP customer"/>
    <s v="Review"/>
    <n v="0"/>
    <s v="ORD-1170"/>
    <n v="1170"/>
    <s v="Mar-2024"/>
    <d v="2024-03-31T00:00:00"/>
    <s v="Chen"/>
    <n v="0.15"/>
  </r>
  <r>
    <s v="ORD-1024"/>
    <s v="August 06, 2024"/>
    <s v="Umar  Hussain"/>
    <s v=" South"/>
    <s v="Hyderabad"/>
    <s v="FURNITURE"/>
    <s v="Filing Cabinet"/>
    <s v="Online"/>
    <n v="8"/>
    <n v="494.01"/>
    <n v="0.15"/>
    <x v="3"/>
    <s v="Refunded"/>
    <x v="5"/>
    <s v="Damaged on arrival - replaced"/>
    <s v="Umar Hussain"/>
    <x v="2"/>
    <x v="0"/>
    <x v="1"/>
    <s v="Cash"/>
    <x v="3"/>
    <n v="8"/>
    <n v="494.01"/>
    <x v="89"/>
    <n v="0.15"/>
    <s v="Damaged on arrival - replaced"/>
    <s v="High Value"/>
    <n v="3952.08"/>
    <s v="ORD-1024"/>
    <n v="1024"/>
    <s v="Aug-2024"/>
    <d v="2024-08-31T00:00:00"/>
    <s v="UMAR"/>
    <n v="0.15"/>
  </r>
  <r>
    <s v="ORD-1007"/>
    <s v="2024-10-17"/>
    <s v="YUSUF ALI"/>
    <s v="EAST"/>
    <s v="Multan"/>
    <s v="FURNITURE"/>
    <s v="Sofa Set"/>
    <s v="in-store"/>
    <m/>
    <n v="464.9"/>
    <n v="0.1"/>
    <x v="0"/>
    <s v="COMPLETED"/>
    <x v="2"/>
    <s v="  Customer called twice "/>
    <s v="Yusuf Ali"/>
    <x v="3"/>
    <x v="0"/>
    <x v="0"/>
    <s v="Credit Card"/>
    <x v="2"/>
    <s v=""/>
    <n v="464.9"/>
    <x v="90"/>
    <n v="0.1"/>
    <s v="Customer called twice"/>
    <s v="Review"/>
    <n v="0"/>
    <s v="ORD-1007"/>
    <n v="1007"/>
    <s v="Oct-2024"/>
    <d v="2024-10-31T00:00:00"/>
    <s v="Yusuf"/>
    <n v="0.1"/>
  </r>
  <r>
    <s v="ORD-1007"/>
    <s v="2024-10-17"/>
    <s v="Yusuf Ali "/>
    <s v="EAST"/>
    <s v="Multan"/>
    <s v="FURNITURE"/>
    <s v="Sofa Set"/>
    <s v="in-store"/>
    <m/>
    <n v="464.9"/>
    <n v="0.1"/>
    <x v="0"/>
    <s v="COMPLETED"/>
    <x v="2"/>
    <s v="  Customer called twice "/>
    <s v="Yusuf Ali"/>
    <x v="3"/>
    <x v="0"/>
    <x v="0"/>
    <s v="Credit Card"/>
    <x v="2"/>
    <s v=""/>
    <n v="464.9"/>
    <x v="90"/>
    <n v="0.1"/>
    <s v="Customer called twice"/>
    <s v="Review"/>
    <n v="0"/>
    <s v="ORD-1007"/>
    <n v="1007"/>
    <s v="Oct-2024"/>
    <d v="2024-10-31T00:00:00"/>
    <s v="Yusuf"/>
    <n v="0.1"/>
  </r>
  <r>
    <s v="ORD-1038"/>
    <s v="04/25/2024"/>
    <s v="Michael Malik"/>
    <s v="West "/>
    <s v="Peshawar"/>
    <s v="FURNITURE"/>
    <s v="Bookshelf"/>
    <s v="instore"/>
    <n v="2"/>
    <n v="462.34"/>
    <s v="5%"/>
    <x v="5"/>
    <s v="COMPLETED"/>
    <x v="5"/>
    <s v="Leave at front desk  "/>
    <s v="Michael Malik"/>
    <x v="0"/>
    <x v="0"/>
    <x v="0"/>
    <s v="Debit Card"/>
    <x v="2"/>
    <n v="2"/>
    <n v="462.34"/>
    <x v="59"/>
    <s v="5%"/>
    <s v="Leave at front desk"/>
    <s v="Standard"/>
    <n v="924.68"/>
    <s v="ORD-1038"/>
    <n v="1038"/>
    <s v="Apr-2024"/>
    <d v="2024-04-30T00:00:00"/>
    <s v="Michael"/>
    <n v="0.05"/>
  </r>
  <r>
    <s v="ORD-1019"/>
    <s v="December 13, 2024"/>
    <s v="Liam  Iqbal"/>
    <s v="South "/>
    <s v="Hyderabad"/>
    <s v="FURNITURE"/>
    <s v="Office Chair"/>
    <s v="Online "/>
    <n v="7"/>
    <n v="432.85"/>
    <m/>
    <x v="6"/>
    <s v="PENDING"/>
    <x v="3"/>
    <m/>
    <s v="Liam Iqbal"/>
    <x v="2"/>
    <x v="0"/>
    <x v="1"/>
    <s v="Cash"/>
    <x v="1"/>
    <n v="7"/>
    <n v="432.85"/>
    <x v="91"/>
    <n v="0"/>
    <s v=""/>
    <s v="High Value"/>
    <n v="3029.9500000000003"/>
    <s v="ORD-1019"/>
    <n v="1019"/>
    <s v="Dec-2024"/>
    <d v="2024-12-31T00:00:00"/>
    <s v="Liam"/>
    <n v="0"/>
  </r>
  <r>
    <s v="ORD-1172"/>
    <s v="23-Aug-24"/>
    <s v=" James Hussain"/>
    <s v="North "/>
    <s v="Islamabad"/>
    <s v="FURNITURE"/>
    <s v="Sofa Set"/>
    <s v="Online"/>
    <n v="4"/>
    <n v="403.52"/>
    <n v="0.1"/>
    <x v="5"/>
    <s v="Canceled"/>
    <x v="1"/>
    <s v="VIP customer"/>
    <s v="James Hussain"/>
    <x v="1"/>
    <x v="0"/>
    <x v="1"/>
    <s v="Debit Card"/>
    <x v="0"/>
    <n v="4"/>
    <n v="403.52"/>
    <x v="19"/>
    <n v="0.1"/>
    <s v="VIP customer"/>
    <s v="High Value"/>
    <n v="1614.08"/>
    <s v="ORD-1172"/>
    <n v="1172"/>
    <s v="Aug-2024"/>
    <d v="2024-08-31T00:00:00"/>
    <s v="james"/>
    <n v="0.1"/>
  </r>
  <r>
    <s v="ORD-1056"/>
    <s v="August 03, 2024"/>
    <s v="Nida Qureshi"/>
    <s v="EAST"/>
    <s v="Multan"/>
    <s v="FURNITURE"/>
    <s v="Office Chair"/>
    <s v="Online"/>
    <n v="1"/>
    <n v="395.27"/>
    <m/>
    <x v="4"/>
    <s v="COMPLETED"/>
    <x v="2"/>
    <s v="  Customer called twice "/>
    <s v="Nida Qureshi"/>
    <x v="3"/>
    <x v="0"/>
    <x v="1"/>
    <s v="Credit Card"/>
    <x v="2"/>
    <n v="1"/>
    <n v="395.27"/>
    <x v="92"/>
    <n v="0"/>
    <s v="Customer called twice"/>
    <s v="Standard"/>
    <n v="395.27"/>
    <s v="ORD-1056"/>
    <n v="1056"/>
    <s v="Aug-2024"/>
    <d v="2024-08-31T00:00:00"/>
    <s v="Nida"/>
    <n v="0"/>
  </r>
  <r>
    <s v="ORD-1008"/>
    <s v="August 12, 2024"/>
    <s v="Sana Iqbal"/>
    <s v="South"/>
    <s v="Hyderabad"/>
    <s v="FURNITURE"/>
    <s v="Sofa Set"/>
    <s v="In Store"/>
    <n v="4"/>
    <n v="378.86"/>
    <n v="0.15"/>
    <x v="6"/>
    <s v="PENDING"/>
    <x v="1"/>
    <s v="Damaged on arrival - replaced"/>
    <s v="Sana Iqbal"/>
    <x v="2"/>
    <x v="0"/>
    <x v="0"/>
    <s v="Cash"/>
    <x v="1"/>
    <n v="4"/>
    <n v="378.86"/>
    <x v="93"/>
    <n v="0.15"/>
    <s v="Damaged on arrival - replaced"/>
    <s v="High Value"/>
    <n v="1515.44"/>
    <s v="ORD-1008"/>
    <n v="1008"/>
    <s v="Aug-2024"/>
    <d v="2024-08-31T00:00:00"/>
    <s v="SANA"/>
    <n v="0.15"/>
  </r>
  <r>
    <s v="ORD-1184"/>
    <s v="21-Aug-24"/>
    <s v="Sana Ali"/>
    <s v="north"/>
    <s v="Islamabad"/>
    <s v="FURNITURE"/>
    <s v="Bookshelf"/>
    <s v="instore"/>
    <n v="10"/>
    <n v="367.87"/>
    <m/>
    <x v="1"/>
    <s v="Canceled"/>
    <x v="3"/>
    <s v="  "/>
    <s v="Sana Ali"/>
    <x v="1"/>
    <x v="0"/>
    <x v="0"/>
    <s v="Credit Card"/>
    <x v="0"/>
    <n v="10"/>
    <n v="367.87"/>
    <x v="94"/>
    <n v="0"/>
    <s v=""/>
    <s v="High Value"/>
    <n v="3678.7"/>
    <s v="ORD-1184"/>
    <n v="1184"/>
    <s v="Aug-2024"/>
    <d v="2024-08-31T00:00:00"/>
    <s v="SANA"/>
    <n v="0"/>
  </r>
  <r>
    <s v="ORD-1123"/>
    <s v="10/12/2024"/>
    <s v="robert anderson"/>
    <s v="west"/>
    <s v="Quetta"/>
    <s v="FURNITURE"/>
    <s v="Sofa Set"/>
    <s v="Online"/>
    <n v="12"/>
    <n v="355.64"/>
    <m/>
    <x v="2"/>
    <s v="COMPLETED"/>
    <x v="3"/>
    <s v="Follow up needed_x0009_"/>
    <s v="Robert Anderson"/>
    <x v="0"/>
    <x v="0"/>
    <x v="1"/>
    <s v="Bank Transfer"/>
    <x v="2"/>
    <n v="12"/>
    <n v="355.64"/>
    <x v="95"/>
    <n v="0"/>
    <s v="Follow up needed"/>
    <s v="High Value"/>
    <n v="4267.68"/>
    <s v="ORD-1123"/>
    <n v="1123"/>
    <s v="Oct-2024"/>
    <d v="2024-10-31T00:00:00"/>
    <s v="Robert"/>
    <n v="0"/>
  </r>
  <r>
    <s v="ORD-1015"/>
    <s v="2024-06-02"/>
    <s v=" Grace Garcia"/>
    <s v="EAST"/>
    <s v="Sialkot"/>
    <s v="FURNITURE"/>
    <s v="Bookshelf"/>
    <s v="Online"/>
    <n v="8"/>
    <n v="353.25"/>
    <n v="0.2"/>
    <x v="1"/>
    <s v="PENDING"/>
    <x v="5"/>
    <s v="Follow up needed_x0009_"/>
    <s v="Grace Garcia"/>
    <x v="3"/>
    <x v="0"/>
    <x v="1"/>
    <s v="Credit Card"/>
    <x v="1"/>
    <n v="8"/>
    <n v="353.25"/>
    <x v="96"/>
    <n v="0.2"/>
    <s v="Follow up needed"/>
    <s v="High Value"/>
    <n v="2826"/>
    <s v="ORD-1015"/>
    <n v="1015"/>
    <s v="Jun-2024"/>
    <d v="2024-06-30T00:00:00"/>
    <s v="Grace"/>
    <n v="0.2"/>
  </r>
  <r>
    <s v="ORD-1048"/>
    <s v="10/05/2024"/>
    <s v="FATIMA SHEIKH"/>
    <s v="South"/>
    <s v="Hyderabad"/>
    <s v="FURNITURE"/>
    <s v="Study Desk"/>
    <s v="Online"/>
    <n v="10"/>
    <n v="311.76"/>
    <n v="0.05"/>
    <x v="0"/>
    <s v="cancelled"/>
    <x v="0"/>
    <s v="Leave at front desk  "/>
    <s v="Fatima Sheikh"/>
    <x v="2"/>
    <x v="0"/>
    <x v="1"/>
    <s v="Credit Card"/>
    <x v="0"/>
    <n v="10"/>
    <n v="311.76"/>
    <x v="97"/>
    <n v="0.05"/>
    <s v="Leave at front desk"/>
    <s v="High Value"/>
    <n v="3117.6"/>
    <s v="ORD-1048"/>
    <n v="1048"/>
    <s v="Oct-2024"/>
    <d v="2024-10-31T00:00:00"/>
    <s v="Fatima"/>
    <n v="0.05"/>
  </r>
  <r>
    <s v="ORD-1193"/>
    <s v="2024-09-24"/>
    <s v=" Ahmed Garcia"/>
    <s v="EAST"/>
    <s v="Multan"/>
    <s v="FURNITURE"/>
    <s v="Office Chair"/>
    <s v="in-store"/>
    <n v="9"/>
    <n v="287.47000000000003"/>
    <n v="0.2"/>
    <x v="4"/>
    <s v="Canceled"/>
    <x v="4"/>
    <s v="Gift wrap requested"/>
    <s v="Ahmed Garcia"/>
    <x v="3"/>
    <x v="0"/>
    <x v="0"/>
    <s v="Credit Card"/>
    <x v="0"/>
    <n v="9"/>
    <n v="287.47000000000003"/>
    <x v="98"/>
    <n v="0.2"/>
    <s v="Gift wrap requested"/>
    <s v="High Value"/>
    <n v="2587.2300000000005"/>
    <s v="ORD-1193"/>
    <n v="1193"/>
    <s v="Sep-2024"/>
    <d v="2024-09-30T00:00:00"/>
    <s v="Ahmed"/>
    <n v="0.2"/>
  </r>
  <r>
    <s v="ORD-1127"/>
    <s v="05/04/2024"/>
    <s v="Michael Raza"/>
    <s v="north"/>
    <s v="Lahore"/>
    <s v="FURNITURE"/>
    <s v="Sofa Set"/>
    <s v="Online"/>
    <s v=" 9 "/>
    <n v="282.13"/>
    <m/>
    <x v="5"/>
    <s v="PENDING"/>
    <x v="2"/>
    <s v="  "/>
    <s v="Michael Raza"/>
    <x v="1"/>
    <x v="0"/>
    <x v="1"/>
    <s v="Debit Card"/>
    <x v="1"/>
    <n v="9"/>
    <n v="282.13"/>
    <x v="99"/>
    <n v="0"/>
    <s v=""/>
    <s v="High Value"/>
    <n v="2539.17"/>
    <s v="ORD-1127"/>
    <n v="1127"/>
    <s v="May-2024"/>
    <d v="2024-05-31T00:00:00"/>
    <s v="Michael"/>
    <n v="0"/>
  </r>
  <r>
    <s v="ORD-1162"/>
    <s v="October 19, 2024"/>
    <s v=" Tom Malik"/>
    <s v="west"/>
    <s v="Quetta"/>
    <s v="FURNITURE"/>
    <s v="Filing Cabinet"/>
    <s v="In-store "/>
    <n v="12"/>
    <n v="272.36"/>
    <m/>
    <x v="1"/>
    <s v="COMPLETED"/>
    <x v="3"/>
    <s v="Damaged on arrival - replaced"/>
    <s v="Tom Malik"/>
    <x v="0"/>
    <x v="0"/>
    <x v="0"/>
    <s v="Credit Card"/>
    <x v="2"/>
    <n v="12"/>
    <n v="272.36"/>
    <x v="100"/>
    <n v="0"/>
    <s v="Damaged on arrival - replaced"/>
    <s v="High Value"/>
    <n v="3268.32"/>
    <s v="ORD-1162"/>
    <n v="1162"/>
    <s v="Oct-2024"/>
    <d v="2024-10-31T00:00:00"/>
    <s v="tom"/>
    <n v="0"/>
  </r>
  <r>
    <s v="ORD-1133"/>
    <s v="2024-12-13"/>
    <s v="Liam Qureshi "/>
    <s v="west"/>
    <s v="Quetta"/>
    <s v="FURNITURE"/>
    <s v="Sofa Set"/>
    <s v="in-store"/>
    <n v="9"/>
    <n v="271.69"/>
    <n v="0.1"/>
    <x v="3"/>
    <s v="cancelled"/>
    <x v="5"/>
    <s v="Follow up needed_x0009_"/>
    <s v="Liam Qureshi"/>
    <x v="0"/>
    <x v="0"/>
    <x v="0"/>
    <s v="Cash"/>
    <x v="0"/>
    <n v="9"/>
    <n v="271.69"/>
    <x v="91"/>
    <n v="0.1"/>
    <s v="Follow up needed"/>
    <s v="High Value"/>
    <n v="2445.21"/>
    <s v="ORD-1133"/>
    <n v="1133"/>
    <s v="Dec-2024"/>
    <d v="2024-12-31T00:00:00"/>
    <s v="Liam"/>
    <n v="0.1"/>
  </r>
  <r>
    <s v="ORD-1086"/>
    <s v="05/20/2024"/>
    <s v="UMAR BROWN"/>
    <s v="north"/>
    <s v="Faisalabad"/>
    <s v="FURNITURE"/>
    <s v="Bookshelf"/>
    <s v="Online "/>
    <n v="6"/>
    <n v="261.85000000000002"/>
    <m/>
    <x v="0"/>
    <s v="PENDING"/>
    <x v="5"/>
    <s v="Leave at front desk  "/>
    <s v="Umar Brown"/>
    <x v="1"/>
    <x v="0"/>
    <x v="1"/>
    <s v="Credit Card"/>
    <x v="1"/>
    <n v="6"/>
    <n v="261.85000000000002"/>
    <x v="101"/>
    <n v="0"/>
    <s v="Leave at front desk"/>
    <s v="High Value"/>
    <n v="1571.1000000000001"/>
    <s v="ORD-1086"/>
    <n v="1086"/>
    <s v="May-2024"/>
    <d v="2024-05-31T00:00:00"/>
    <s v="UMAR"/>
    <n v="0"/>
  </r>
  <r>
    <s v="ORD-1010"/>
    <s v="2024-06-22"/>
    <s v="Grace Brown "/>
    <s v="west"/>
    <s v="Peshawar"/>
    <s v="FURNITURE"/>
    <s v="Office Chair"/>
    <s v="In Store"/>
    <n v="6"/>
    <n v="236.18"/>
    <s v="0%"/>
    <x v="1"/>
    <s v="Canceled"/>
    <x v="0"/>
    <s v="VIP customer"/>
    <s v="Grace Brown"/>
    <x v="0"/>
    <x v="0"/>
    <x v="0"/>
    <s v="Credit Card"/>
    <x v="0"/>
    <n v="6"/>
    <n v="236.18"/>
    <x v="102"/>
    <s v="0%"/>
    <s v="VIP customer"/>
    <s v="High Value"/>
    <n v="1417.08"/>
    <s v="ORD-1010"/>
    <n v="1010"/>
    <s v="Jun-2024"/>
    <d v="2024-06-30T00:00:00"/>
    <s v="Grace"/>
    <n v="0"/>
  </r>
  <r>
    <s v="ORD-1149"/>
    <s v="02/08/2024"/>
    <s v="Kevin Brown "/>
    <s v="west"/>
    <s v="Quetta"/>
    <s v="FURNITURE"/>
    <s v="Bookshelf"/>
    <s v="in-store"/>
    <n v="6"/>
    <n v="199.51"/>
    <m/>
    <x v="5"/>
    <s v="cancelled"/>
    <x v="2"/>
    <s v="Follow up needed_x0009_"/>
    <s v="Kevin Brown"/>
    <x v="0"/>
    <x v="0"/>
    <x v="0"/>
    <s v="Debit Card"/>
    <x v="0"/>
    <n v="6"/>
    <n v="199.51"/>
    <x v="103"/>
    <n v="0"/>
    <s v="Follow up needed"/>
    <s v="High Value"/>
    <n v="1197.06"/>
    <s v="ORD-1149"/>
    <n v="1149"/>
    <s v="Feb-2024"/>
    <d v="2024-02-29T00:00:00"/>
    <s v="Kevin"/>
    <n v="0"/>
  </r>
  <r>
    <s v="ORD-1194"/>
    <s v="December 11, 2024"/>
    <s v="Chen Brown"/>
    <s v="north"/>
    <s v="Lahore"/>
    <s v="FURNITURE"/>
    <s v="Bookshelf"/>
    <s v="Online"/>
    <n v="1"/>
    <n v="151.09"/>
    <m/>
    <x v="5"/>
    <s v="COMPLETED"/>
    <x v="5"/>
    <s v="VIP customer"/>
    <s v="Chen Brown"/>
    <x v="1"/>
    <x v="0"/>
    <x v="1"/>
    <s v="Debit Card"/>
    <x v="2"/>
    <n v="1"/>
    <n v="151.09"/>
    <x v="104"/>
    <n v="0"/>
    <s v="VIP customer"/>
    <s v="Standard"/>
    <n v="151.09"/>
    <s v="ORD-1194"/>
    <n v="1194"/>
    <s v="Dec-2024"/>
    <d v="2024-12-31T00:00:00"/>
    <s v="Chen"/>
    <n v="0"/>
  </r>
  <r>
    <s v="ORD-1101"/>
    <s v="07/03/2024"/>
    <s v="Michael Anderson "/>
    <s v="north"/>
    <s v="Islamabad"/>
    <s v="FURNITURE"/>
    <s v="Bookshelf"/>
    <s v="In Store"/>
    <n v="4"/>
    <n v="137.16"/>
    <s v="20%"/>
    <x v="1"/>
    <s v="cancelled"/>
    <x v="0"/>
    <s v="Gift wrap requested"/>
    <s v="Michael Anderson"/>
    <x v="1"/>
    <x v="0"/>
    <x v="0"/>
    <s v="Credit Card"/>
    <x v="0"/>
    <n v="4"/>
    <n v="137.16"/>
    <x v="13"/>
    <s v="20%"/>
    <s v="Gift wrap requested"/>
    <s v="Standard"/>
    <n v="548.64"/>
    <s v="ORD-1101"/>
    <n v="1101"/>
    <s v="Jul-2024"/>
    <d v="2024-07-31T00:00:00"/>
    <s v="Michael"/>
    <n v="0.2"/>
  </r>
  <r>
    <s v="ORD-1180"/>
    <s v="2024-11-30"/>
    <s v="Laura Ahmed "/>
    <s v="South"/>
    <s v="Karachi"/>
    <s v="FURNITURE"/>
    <s v="Bookshelf"/>
    <s v="Online"/>
    <n v="7"/>
    <n v="131.62"/>
    <m/>
    <x v="1"/>
    <s v="PENDING"/>
    <x v="4"/>
    <s v="Gift wrap requested"/>
    <s v="Laura Ahmed"/>
    <x v="2"/>
    <x v="0"/>
    <x v="1"/>
    <s v="Credit Card"/>
    <x v="1"/>
    <n v="7"/>
    <n v="131.62"/>
    <x v="105"/>
    <n v="0"/>
    <s v="Gift wrap requested"/>
    <s v="Standard"/>
    <n v="921.34"/>
    <s v="ORD-1180"/>
    <n v="1180"/>
    <s v="Nov-2024"/>
    <d v="2024-11-30T00:00:00"/>
    <s v="Laura"/>
    <n v="0"/>
  </r>
  <r>
    <s v="ORD-1009"/>
    <s v="08/12/2024"/>
    <s v="Emily  Ahmed"/>
    <s v="north"/>
    <s v="Islamabad"/>
    <s v="FURNITURE"/>
    <s v="Office Chair"/>
    <s v="Online"/>
    <n v="12"/>
    <n v="118.33"/>
    <n v="0"/>
    <x v="3"/>
    <s v="Complete"/>
    <x v="1"/>
    <s v="VIP customer"/>
    <s v="Emily Ahmed"/>
    <x v="1"/>
    <x v="0"/>
    <x v="1"/>
    <s v="Cash"/>
    <x v="2"/>
    <n v="12"/>
    <n v="118.33"/>
    <x v="93"/>
    <n v="0"/>
    <s v="VIP customer"/>
    <s v="High Value"/>
    <n v="1419.96"/>
    <s v="ORD-1009"/>
    <n v="1009"/>
    <s v="Aug-2024"/>
    <d v="2024-08-31T00:00:00"/>
    <s v="EMILY"/>
    <n v="0"/>
  </r>
  <r>
    <s v="ORD-1192"/>
    <s v="June 09, 2024"/>
    <s v=" Hina Qureshi"/>
    <s v=" East"/>
    <s v="Sialkot"/>
    <s v="FURNITURE"/>
    <s v="Filing Cabinet"/>
    <s v="in-store"/>
    <n v="5"/>
    <n v="71.02"/>
    <n v="0.2"/>
    <x v="4"/>
    <s v="Refunded"/>
    <x v="5"/>
    <s v="VIP customer"/>
    <s v="Hina Qureshi"/>
    <x v="3"/>
    <x v="0"/>
    <x v="0"/>
    <s v="Credit Card"/>
    <x v="3"/>
    <n v="5"/>
    <n v="71.02"/>
    <x v="33"/>
    <n v="0.2"/>
    <s v="VIP customer"/>
    <s v="Standard"/>
    <n v="355.09999999999997"/>
    <s v="ORD-1192"/>
    <n v="1192"/>
    <s v="Jun-2024"/>
    <d v="2024-06-30T00:00:00"/>
    <s v="HINA"/>
    <n v="0.2"/>
  </r>
  <r>
    <s v="ORD-1167"/>
    <s v="01/12/2024"/>
    <s v=" Liam Wilson"/>
    <s v="west"/>
    <s v="Peshawar"/>
    <s v="FURNITURE"/>
    <s v="Sofa Set"/>
    <s v="Online"/>
    <n v="2"/>
    <n v="54.99"/>
    <n v="0.1"/>
    <x v="5"/>
    <s v="cancelled"/>
    <x v="3"/>
    <s v="Damaged on arrival - replaced"/>
    <s v="Liam Wilson"/>
    <x v="0"/>
    <x v="0"/>
    <x v="1"/>
    <s v="Debit Card"/>
    <x v="0"/>
    <n v="2"/>
    <n v="54.99"/>
    <x v="106"/>
    <n v="0.1"/>
    <s v="Damaged on arrival - replaced"/>
    <s v="Standard"/>
    <n v="109.98"/>
    <s v="ORD-1167"/>
    <n v="1167"/>
    <s v="Jan-2024"/>
    <d v="2024-01-31T00:00:00"/>
    <s v="Liam"/>
    <n v="0.1"/>
  </r>
  <r>
    <s v="ORD-1017"/>
    <s v="2024-05-07"/>
    <s v=" Sana Lee"/>
    <s v="west"/>
    <s v="Quetta"/>
    <s v="FURNITURE"/>
    <s v="Bookshelf"/>
    <s v="In-store "/>
    <n v="3"/>
    <n v="25.71"/>
    <n v="0"/>
    <x v="5"/>
    <s v="Complete"/>
    <x v="0"/>
    <m/>
    <s v="Sana Lee"/>
    <x v="0"/>
    <x v="0"/>
    <x v="0"/>
    <s v="Debit Card"/>
    <x v="2"/>
    <n v="3"/>
    <n v="25.71"/>
    <x v="107"/>
    <n v="0"/>
    <s v=""/>
    <s v="Standard"/>
    <n v="77.13"/>
    <s v="ORD-1017"/>
    <n v="1017"/>
    <s v="May-2024"/>
    <d v="2024-05-31T00:00:00"/>
    <s v="SANA"/>
    <n v="0"/>
  </r>
  <r>
    <s v="ORD-1017"/>
    <s v="2024-05-07"/>
    <s v=" Sana Lee"/>
    <s v="west"/>
    <s v="Quetta"/>
    <s v="FURNITURE"/>
    <s v="Bookshelf"/>
    <s v="In-store "/>
    <n v="3"/>
    <n v="25.71"/>
    <n v="0"/>
    <x v="5"/>
    <s v="Complete"/>
    <x v="0"/>
    <m/>
    <s v="Sana Lee"/>
    <x v="0"/>
    <x v="0"/>
    <x v="0"/>
    <s v="Debit Card"/>
    <x v="2"/>
    <n v="3"/>
    <n v="25.71"/>
    <x v="107"/>
    <n v="0"/>
    <s v=""/>
    <s v="Standard"/>
    <n v="77.13"/>
    <s v="ORD-1017"/>
    <n v="1017"/>
    <s v="May-2024"/>
    <d v="2024-05-31T00:00:00"/>
    <s v="SANA"/>
    <n v="0"/>
  </r>
  <r>
    <s v="ORD-1209"/>
    <s v="May 14, 2024"/>
    <s v="Umar  Iqbal"/>
    <s v="north"/>
    <s v="Lahore"/>
    <s v="FURNITURE"/>
    <s v="Filing Cabinet"/>
    <s v="instore"/>
    <n v="8"/>
    <n v="24.75"/>
    <m/>
    <x v="3"/>
    <s v="PENDING"/>
    <x v="1"/>
    <s v="Bulk order - business account"/>
    <s v="Umar Iqbal"/>
    <x v="1"/>
    <x v="0"/>
    <x v="0"/>
    <s v="Cash"/>
    <x v="1"/>
    <n v="8"/>
    <n v="24.75"/>
    <x v="108"/>
    <n v="0"/>
    <s v="Bulk order - business account"/>
    <s v="Standard"/>
    <n v="198"/>
    <s v="ORD-1209"/>
    <n v="1209"/>
    <s v="May-2024"/>
    <d v="2024-05-31T00:00:00"/>
    <s v="UMAR"/>
    <n v="0"/>
  </r>
  <r>
    <s v="ORD-1057"/>
    <s v="30/12/2024"/>
    <s v="SANA JOHNSON"/>
    <s v="west"/>
    <s v="Quetta"/>
    <s v="FURNITURE"/>
    <s v="Sofa Set"/>
    <s v="in-store"/>
    <n v="8"/>
    <n v="20.420000000000002"/>
    <n v="0.15"/>
    <x v="6"/>
    <s v="COMPLETED"/>
    <x v="3"/>
    <s v="  Customer called twice "/>
    <s v="Sana Johnson"/>
    <x v="0"/>
    <x v="0"/>
    <x v="0"/>
    <s v="Cash"/>
    <x v="2"/>
    <n v="8"/>
    <n v="20.420000000000002"/>
    <x v="109"/>
    <n v="0.15"/>
    <s v="Customer called twice"/>
    <s v="Standard"/>
    <n v="163.36000000000001"/>
    <s v="ORD-1057"/>
    <n v="1057"/>
    <s v="Dec-2024"/>
    <d v="2024-12-31T00:00:00"/>
    <s v="SANA"/>
    <n v="0.15"/>
  </r>
  <r>
    <s v="ORD-1222"/>
    <s v="2024-06-24"/>
    <s v="aisha ali"/>
    <s v="Nort"/>
    <s v="Faisalabad"/>
    <s v="FURNITURE"/>
    <s v="Bookshelf"/>
    <s v="In Store"/>
    <n v="6"/>
    <n v="9.81"/>
    <m/>
    <x v="1"/>
    <s v="Canceled"/>
    <x v="0"/>
    <s v="Bulk order - business account"/>
    <s v="Aisha Ali"/>
    <x v="1"/>
    <x v="0"/>
    <x v="0"/>
    <s v="Credit Card"/>
    <x v="0"/>
    <n v="6"/>
    <n v="9.81"/>
    <x v="12"/>
    <n v="0"/>
    <s v="Bulk order - business account"/>
    <s v="Standard"/>
    <n v="58.86"/>
    <s v="ORD-1222"/>
    <n v="1222"/>
    <s v="Jun-2024"/>
    <d v="2024-06-30T00:00:00"/>
    <s v="Aisha"/>
    <n v="0"/>
  </r>
  <r>
    <s v="ORD-1215"/>
    <s v="04/01/2024"/>
    <s v="nida anderson"/>
    <s v="Nort"/>
    <s v="Islamabad"/>
    <s v="FURNITURE"/>
    <s v="Bookshelf"/>
    <s v="In-store "/>
    <n v="7"/>
    <n v="7.71"/>
    <m/>
    <x v="3"/>
    <s v="COMPLETED"/>
    <x v="5"/>
    <s v="VIP customer"/>
    <s v="Nida Anderson"/>
    <x v="1"/>
    <x v="0"/>
    <x v="0"/>
    <s v="Cash"/>
    <x v="2"/>
    <n v="7"/>
    <n v="7.71"/>
    <x v="110"/>
    <n v="0"/>
    <s v="VIP customer"/>
    <s v="Standard"/>
    <n v="53.97"/>
    <s v="ORD-1215"/>
    <n v="1215"/>
    <s v="Apr-2024"/>
    <d v="2024-04-30T00:00:00"/>
    <s v="Nida"/>
    <n v="0"/>
  </r>
  <r>
    <s v="ORD-1217"/>
    <s v="2024-12-22"/>
    <s v="GRACE FAROOQ"/>
    <s v="EAST"/>
    <s v="Sialkot"/>
    <s v="groceries"/>
    <s v="Basmati Rice 5kg"/>
    <s v="Online "/>
    <n v="8"/>
    <s v="$474.88"/>
    <n v="0.1"/>
    <x v="2"/>
    <s v="PENDING"/>
    <x v="5"/>
    <s v="Follow up needed_x0009_"/>
    <s v="Grace Farooq"/>
    <x v="3"/>
    <x v="3"/>
    <x v="1"/>
    <s v="Bank Transfer"/>
    <x v="1"/>
    <n v="8"/>
    <n v="474.88"/>
    <x v="63"/>
    <n v="0.1"/>
    <s v="Follow up needed"/>
    <s v="High Value"/>
    <n v="3799.04"/>
    <s v="ORD-1217"/>
    <n v="1217"/>
    <s v="Dec-2024"/>
    <d v="2024-12-31T00:00:00"/>
    <s v="Grace"/>
    <n v="0.1"/>
  </r>
  <r>
    <s v="ORD-1143"/>
    <s v="24/03/2024"/>
    <s v="Bilal Hussain "/>
    <s v="South"/>
    <s v="Karachi"/>
    <s v="groceries"/>
    <s v="Almonds 500g"/>
    <s v="Online"/>
    <n v="5"/>
    <s v="$330.74"/>
    <m/>
    <x v="1"/>
    <s v="Refunded"/>
    <x v="4"/>
    <m/>
    <s v="Bilal Hussain"/>
    <x v="2"/>
    <x v="3"/>
    <x v="1"/>
    <s v="Credit Card"/>
    <x v="3"/>
    <n v="5"/>
    <n v="330.74"/>
    <x v="111"/>
    <n v="0"/>
    <s v=""/>
    <s v="High Value"/>
    <n v="1653.7"/>
    <s v="ORD-1143"/>
    <n v="1143"/>
    <s v="Mar-2024"/>
    <d v="2024-03-31T00:00:00"/>
    <s v="bilal"/>
    <n v="0"/>
  </r>
  <r>
    <s v="ORD-1099"/>
    <s v="25/09/2024"/>
    <s v="Grace  Khan"/>
    <s v="west"/>
    <s v="Quetta"/>
    <s v="groceries"/>
    <s v="Olive Oil 1L"/>
    <s v="in-store"/>
    <m/>
    <s v="$286.14"/>
    <n v="0.1"/>
    <x v="5"/>
    <s v="PENDING"/>
    <x v="5"/>
    <s v="Follow up needed_x0009_"/>
    <s v="Grace Khan"/>
    <x v="0"/>
    <x v="3"/>
    <x v="0"/>
    <s v="Debit Card"/>
    <x v="1"/>
    <s v=""/>
    <n v="286.14"/>
    <x v="112"/>
    <n v="0.1"/>
    <s v="Follow up needed"/>
    <s v="Review"/>
    <n v="0"/>
    <s v="ORD-1099"/>
    <n v="1099"/>
    <s v="Sep-2024"/>
    <d v="2024-09-30T00:00:00"/>
    <s v="Grace"/>
    <n v="0.1"/>
  </r>
  <r>
    <s v="ORD-1060"/>
    <s v="28-Feb-24"/>
    <s v="Grace Taylor "/>
    <s v="Nort"/>
    <s v="Lahore"/>
    <s v="groceries"/>
    <s v="Green Tea Pack"/>
    <s v="in-store"/>
    <s v=" 6 "/>
    <s v="$256.17"/>
    <n v="0"/>
    <x v="5"/>
    <s v="PENDING"/>
    <x v="1"/>
    <s v="VIP customer"/>
    <s v="Grace Taylor"/>
    <x v="1"/>
    <x v="3"/>
    <x v="0"/>
    <s v="Debit Card"/>
    <x v="1"/>
    <n v="6"/>
    <n v="256.17"/>
    <x v="113"/>
    <n v="0"/>
    <s v="VIP customer"/>
    <s v="High Value"/>
    <n v="1537.02"/>
    <s v="ORD-1060"/>
    <n v="1060"/>
    <s v="Feb-2024"/>
    <d v="2024-02-29T00:00:00"/>
    <s v="Grace"/>
    <n v="0"/>
  </r>
  <r>
    <s v="ORD-1153"/>
    <s v="12/09/2024"/>
    <s v=" Sarah Malik"/>
    <s v="West "/>
    <m/>
    <s v="groceries"/>
    <s v="Green Tea Pack"/>
    <s v="Online "/>
    <n v="3"/>
    <s v="$225.78"/>
    <s v="20%"/>
    <x v="0"/>
    <s v="PENDING"/>
    <x v="1"/>
    <s v="Bulk order - business account"/>
    <s v="Sarah Malik"/>
    <x v="0"/>
    <x v="3"/>
    <x v="1"/>
    <s v="Credit Card"/>
    <x v="1"/>
    <n v="3"/>
    <n v="225.78"/>
    <x v="69"/>
    <s v="20%"/>
    <s v="Bulk order - business account"/>
    <s v="Standard"/>
    <n v="677.34"/>
    <s v="ORD-1153"/>
    <n v="1153"/>
    <s v="Dec-2024"/>
    <d v="2024-12-31T00:00:00"/>
    <s v="sarah"/>
    <n v="0.2"/>
  </r>
  <r>
    <s v="ORD-1027"/>
    <s v="July 20, 2024"/>
    <s v="MARIA ANDERSON"/>
    <s v="South "/>
    <s v="Karachi"/>
    <s v="groceries"/>
    <s v="Almonds 500g"/>
    <s v="in-store"/>
    <n v="11"/>
    <s v="$205.14"/>
    <n v="0.05"/>
    <x v="3"/>
    <s v="PENDING"/>
    <x v="4"/>
    <s v="Gift wrap requested"/>
    <s v="Maria Anderson"/>
    <x v="2"/>
    <x v="3"/>
    <x v="0"/>
    <s v="Cash"/>
    <x v="1"/>
    <n v="11"/>
    <n v="205.14"/>
    <x v="114"/>
    <n v="0.05"/>
    <s v="Gift wrap requested"/>
    <s v="High Value"/>
    <n v="2256.54"/>
    <s v="ORD-1027"/>
    <n v="1027"/>
    <s v="Jul-2024"/>
    <d v="2024-07-31T00:00:00"/>
    <s v="maria"/>
    <n v="0.05"/>
  </r>
  <r>
    <s v="ORD-1027"/>
    <s v="July 20, 2024"/>
    <s v="MARIA ANDERSON"/>
    <s v="South "/>
    <s v="Karachi"/>
    <s v="groceries"/>
    <s v="Almonds 500g"/>
    <s v="in-store"/>
    <n v="11"/>
    <s v="$205.14"/>
    <n v="0.05"/>
    <x v="3"/>
    <s v="PENDING"/>
    <x v="4"/>
    <s v="Gift wrap requested"/>
    <s v="Maria Anderson"/>
    <x v="2"/>
    <x v="3"/>
    <x v="0"/>
    <s v="Cash"/>
    <x v="1"/>
    <n v="11"/>
    <n v="205.14"/>
    <x v="114"/>
    <n v="0.05"/>
    <s v="Gift wrap requested"/>
    <s v="High Value"/>
    <n v="2256.54"/>
    <s v="ORD-1027"/>
    <n v="1027"/>
    <s v="Jul-2024"/>
    <d v="2024-07-31T00:00:00"/>
    <s v="maria"/>
    <n v="0.05"/>
  </r>
  <r>
    <s v="ORD-1033"/>
    <s v="August 30, 2024"/>
    <s v=" Grace Smith"/>
    <s v="South"/>
    <s v="Karachi"/>
    <s v="groceries"/>
    <s v="Almonds 500g"/>
    <s v="instore"/>
    <n v="8"/>
    <s v=" 51.06 "/>
    <s v="10%"/>
    <x v="6"/>
    <s v="PENDING"/>
    <x v="1"/>
    <s v="Bulk order - business account"/>
    <s v="Grace Smith"/>
    <x v="2"/>
    <x v="3"/>
    <x v="0"/>
    <s v="Cash"/>
    <x v="1"/>
    <n v="8"/>
    <n v="51.06"/>
    <x v="115"/>
    <s v="10%"/>
    <s v="Bulk order - business account"/>
    <s v="Standard"/>
    <n v="408.48"/>
    <s v="ORD-1033"/>
    <n v="1033"/>
    <s v="Aug-2024"/>
    <d v="2024-08-31T00:00:00"/>
    <s v="Grace"/>
    <n v="0.1"/>
  </r>
  <r>
    <s v="ORD-1032"/>
    <s v="May 23, 2024"/>
    <s v="olivia lewis"/>
    <s v="EAST"/>
    <s v="Multan"/>
    <s v="groceries"/>
    <s v="Almonds 500g"/>
    <s v="In Store"/>
    <m/>
    <s v=" 426.22 "/>
    <m/>
    <x v="2"/>
    <s v="cancelled"/>
    <x v="1"/>
    <s v="Leave at front desk  "/>
    <s v="Olivia Lewis"/>
    <x v="3"/>
    <x v="3"/>
    <x v="0"/>
    <s v="Bank Transfer"/>
    <x v="0"/>
    <s v=""/>
    <n v="426.22"/>
    <x v="116"/>
    <n v="0"/>
    <s v="Leave at front desk"/>
    <s v="Review"/>
    <n v="0"/>
    <s v="ORD-1032"/>
    <n v="1032"/>
    <s v="May-2024"/>
    <d v="2024-05-31T00:00:00"/>
    <s v="OLIVIA"/>
    <n v="0"/>
  </r>
  <r>
    <s v="ORD-1136"/>
    <s v="2024-05-20"/>
    <s v="Nida Taylor "/>
    <s v="north"/>
    <s v="Islamabad"/>
    <s v="groceries"/>
    <s v="Basmati Rice 5kg"/>
    <s v="Online"/>
    <n v="8"/>
    <n v="495.96"/>
    <n v="0.05"/>
    <x v="6"/>
    <s v="cancelled"/>
    <x v="2"/>
    <m/>
    <s v="Nida Taylor"/>
    <x v="1"/>
    <x v="3"/>
    <x v="1"/>
    <s v="Cash"/>
    <x v="0"/>
    <n v="8"/>
    <n v="495.96"/>
    <x v="101"/>
    <n v="0.05"/>
    <s v=""/>
    <s v="High Value"/>
    <n v="3967.68"/>
    <s v="ORD-1136"/>
    <n v="1136"/>
    <s v="May-2024"/>
    <d v="2024-05-31T00:00:00"/>
    <s v="Nida"/>
    <n v="0.05"/>
  </r>
  <r>
    <s v="ORD-1175"/>
    <s v="03-Aug-24"/>
    <s v=" Yusuf Sheikh"/>
    <s v="EAST"/>
    <s v="Multan"/>
    <s v="groceries"/>
    <s v="Green Tea Pack"/>
    <s v="In-store "/>
    <n v="3"/>
    <n v="450.3"/>
    <m/>
    <x v="0"/>
    <s v="Refunded"/>
    <x v="1"/>
    <m/>
    <s v="Yusuf Sheikh"/>
    <x v="3"/>
    <x v="3"/>
    <x v="0"/>
    <s v="Credit Card"/>
    <x v="3"/>
    <n v="3"/>
    <n v="450.3"/>
    <x v="92"/>
    <n v="0"/>
    <s v=""/>
    <s v="High Value"/>
    <n v="1350.9"/>
    <s v="ORD-1175"/>
    <n v="1175"/>
    <s v="Aug-2024"/>
    <d v="2024-08-31T00:00:00"/>
    <s v="Yusuf"/>
    <n v="0"/>
  </r>
  <r>
    <s v="ORD-1164"/>
    <s v="13-Feb-24"/>
    <s v="MICHAEL FAROOQ"/>
    <s v="South"/>
    <s v="Hyderabad"/>
    <s v="groceries"/>
    <s v="Green Tea Pack"/>
    <s v="instore"/>
    <n v="8"/>
    <n v="419.35"/>
    <m/>
    <x v="2"/>
    <s v="PENDING"/>
    <x v="4"/>
    <s v="Bulk order - business account"/>
    <s v="Michael Farooq"/>
    <x v="2"/>
    <x v="3"/>
    <x v="0"/>
    <s v="Bank Transfer"/>
    <x v="1"/>
    <n v="8"/>
    <n v="419.35"/>
    <x v="117"/>
    <n v="0"/>
    <s v="Bulk order - business account"/>
    <s v="High Value"/>
    <n v="3354.8"/>
    <s v="ORD-1164"/>
    <n v="1164"/>
    <s v="Feb-2024"/>
    <d v="2024-02-29T00:00:00"/>
    <s v="Michael"/>
    <n v="0"/>
  </r>
  <r>
    <s v="ORD-1031"/>
    <s v="02/10/2024"/>
    <s v="Grace Hussain "/>
    <s v="EAST"/>
    <m/>
    <s v="groceries"/>
    <s v="Basmati Rice 5kg"/>
    <s v="In Store"/>
    <n v="6"/>
    <n v="415.21"/>
    <n v="0.2"/>
    <x v="6"/>
    <s v="cancelled"/>
    <x v="5"/>
    <s v="Damaged on arrival - replaced"/>
    <s v="Grace Hussain"/>
    <x v="3"/>
    <x v="3"/>
    <x v="0"/>
    <s v="Cash"/>
    <x v="0"/>
    <n v="6"/>
    <n v="415.21"/>
    <x v="29"/>
    <n v="0.2"/>
    <s v="Damaged on arrival - replaced"/>
    <s v="High Value"/>
    <n v="2491.2599999999998"/>
    <s v="ORD-1031"/>
    <n v="1031"/>
    <s v="Feb-2024"/>
    <d v="2024-02-29T00:00:00"/>
    <s v="Grace"/>
    <n v="0.2"/>
  </r>
  <r>
    <s v="ORD-1092"/>
    <s v="09-Nov-24"/>
    <s v="chen sheikh"/>
    <s v="EAST"/>
    <s v="Multan"/>
    <s v="groceries"/>
    <s v="Basmati Rice 5kg"/>
    <s v="Online"/>
    <n v="3"/>
    <n v="402.96"/>
    <m/>
    <x v="3"/>
    <s v="COMPLETED"/>
    <x v="1"/>
    <s v="Follow up needed_x0009_"/>
    <s v="Chen Sheikh"/>
    <x v="3"/>
    <x v="3"/>
    <x v="1"/>
    <s v="Cash"/>
    <x v="2"/>
    <n v="3"/>
    <n v="402.96"/>
    <x v="118"/>
    <n v="0"/>
    <s v="Follow up needed"/>
    <s v="High Value"/>
    <n v="1208.8799999999999"/>
    <s v="ORD-1092"/>
    <n v="1092"/>
    <s v="Nov-2024"/>
    <d v="2024-11-30T00:00:00"/>
    <s v="Chen"/>
    <n v="0"/>
  </r>
  <r>
    <s v="ORD-1073"/>
    <s v="11-Mar-24"/>
    <s v="daniel qureshi"/>
    <s v="west"/>
    <s v="Quetta"/>
    <s v="groceries"/>
    <s v="Green Tea Pack"/>
    <s v="instore"/>
    <n v="8"/>
    <n v="390.17"/>
    <n v="0.05"/>
    <x v="0"/>
    <s v="Refunded"/>
    <x v="5"/>
    <s v="Gift wrap requested"/>
    <s v="Daniel Qureshi"/>
    <x v="0"/>
    <x v="3"/>
    <x v="0"/>
    <s v="Credit Card"/>
    <x v="3"/>
    <n v="8"/>
    <n v="390.17"/>
    <x v="73"/>
    <n v="0.05"/>
    <s v="Gift wrap requested"/>
    <s v="High Value"/>
    <n v="3121.36"/>
    <s v="ORD-1073"/>
    <n v="1073"/>
    <s v="Mar-2024"/>
    <d v="2024-03-31T00:00:00"/>
    <s v="daniel"/>
    <n v="0.05"/>
  </r>
  <r>
    <s v="ORD-1104"/>
    <s v="04-Aug-24"/>
    <s v="MICHAEL CLARK"/>
    <s v="Nort"/>
    <s v="Islamabad"/>
    <s v="groceries"/>
    <s v="Honey Jar"/>
    <s v="instore"/>
    <n v="11"/>
    <n v="363.02"/>
    <n v="0.05"/>
    <x v="3"/>
    <s v="COMPLETED"/>
    <x v="4"/>
    <s v="  Customer called twice "/>
    <s v="Michael Clark"/>
    <x v="1"/>
    <x v="3"/>
    <x v="0"/>
    <s v="Cash"/>
    <x v="2"/>
    <n v="11"/>
    <n v="363.02"/>
    <x v="119"/>
    <n v="0.05"/>
    <s v="Customer called twice"/>
    <s v="High Value"/>
    <n v="3993.22"/>
    <s v="ORD-1104"/>
    <n v="1104"/>
    <s v="Aug-2024"/>
    <d v="2024-08-31T00:00:00"/>
    <s v="Michael"/>
    <n v="0.05"/>
  </r>
  <r>
    <s v="ORD-1052"/>
    <s v="2024-08-29"/>
    <s v="Daniel  Johnson"/>
    <s v="South "/>
    <s v="Hyderabad"/>
    <s v="groceries"/>
    <s v="Green Tea Pack"/>
    <s v="In-store "/>
    <n v="2"/>
    <n v="338.05"/>
    <s v="10%"/>
    <x v="1"/>
    <s v="PENDING"/>
    <x v="2"/>
    <s v="Bulk order - business account"/>
    <s v="Daniel Johnson"/>
    <x v="2"/>
    <x v="3"/>
    <x v="0"/>
    <s v="Credit Card"/>
    <x v="1"/>
    <n v="2"/>
    <n v="338.05"/>
    <x v="86"/>
    <s v="10%"/>
    <s v="Bulk order - business account"/>
    <s v="Standard"/>
    <n v="676.1"/>
    <s v="ORD-1052"/>
    <n v="1052"/>
    <s v="Aug-2024"/>
    <d v="2024-08-31T00:00:00"/>
    <s v="daniel"/>
    <n v="0.1"/>
  </r>
  <r>
    <s v="ORD-1011"/>
    <s v="26/03/2024"/>
    <s v=" Ahmed Garcia"/>
    <s v="west"/>
    <s v="Peshawar"/>
    <s v="groceries"/>
    <s v="Basmati Rice 5kg"/>
    <s v="instore"/>
    <s v=" 9 "/>
    <n v="327.81"/>
    <m/>
    <x v="1"/>
    <s v="Refunded"/>
    <x v="2"/>
    <s v="Damaged on arrival - replaced"/>
    <s v="Ahmed Garcia"/>
    <x v="0"/>
    <x v="3"/>
    <x v="0"/>
    <s v="Credit Card"/>
    <x v="3"/>
    <n v="9"/>
    <n v="327.81"/>
    <x v="120"/>
    <n v="0"/>
    <s v="Damaged on arrival - replaced"/>
    <s v="High Value"/>
    <n v="2950.29"/>
    <s v="ORD-1011"/>
    <n v="1011"/>
    <s v="Mar-2024"/>
    <d v="2024-03-31T00:00:00"/>
    <s v="Ahmed"/>
    <n v="0"/>
  </r>
  <r>
    <s v="ORD-1085"/>
    <s v="November 23, 2024"/>
    <s v="Daniel  Farooq"/>
    <s v="north"/>
    <s v="Lahore"/>
    <s v="groceries"/>
    <s v="Almonds 500g"/>
    <s v="Online"/>
    <n v="3"/>
    <n v="322.95999999999998"/>
    <s v="10%"/>
    <x v="1"/>
    <s v="Refunded"/>
    <x v="5"/>
    <s v="Follow up needed_x0009_"/>
    <s v="Daniel Farooq"/>
    <x v="1"/>
    <x v="3"/>
    <x v="1"/>
    <s v="Credit Card"/>
    <x v="3"/>
    <n v="3"/>
    <n v="322.95999999999998"/>
    <x v="121"/>
    <s v="10%"/>
    <s v="Follow up needed"/>
    <s v="Standard"/>
    <n v="968.87999999999988"/>
    <s v="ORD-1085"/>
    <n v="1085"/>
    <s v="Nov-2024"/>
    <d v="2024-11-30T00:00:00"/>
    <s v="daniel"/>
    <n v="0.1"/>
  </r>
  <r>
    <s v="ORD-1166"/>
    <s v="July 22, 2024"/>
    <s v="Emily  Lee"/>
    <s v="South"/>
    <s v="Karachi"/>
    <s v="groceries"/>
    <s v="Almonds 500g"/>
    <s v="Online "/>
    <s v=" 11 "/>
    <n v="299.55"/>
    <n v="0"/>
    <x v="1"/>
    <s v="Canceled"/>
    <x v="5"/>
    <m/>
    <s v="Emily Lee"/>
    <x v="2"/>
    <x v="3"/>
    <x v="1"/>
    <s v="Credit Card"/>
    <x v="0"/>
    <n v="11"/>
    <n v="299.55"/>
    <x v="6"/>
    <n v="0"/>
    <s v=""/>
    <s v="High Value"/>
    <n v="3295.05"/>
    <s v="ORD-1166"/>
    <n v="1166"/>
    <s v="Jul-2024"/>
    <d v="2024-07-31T00:00:00"/>
    <s v="EMILY"/>
    <n v="0"/>
  </r>
  <r>
    <s v="ORD-1077"/>
    <s v="23/01/2024"/>
    <s v="bilal brown"/>
    <s v="west"/>
    <s v="Peshawar"/>
    <s v="groceries"/>
    <s v="Basmati Rice 5kg"/>
    <s v="In-store "/>
    <s v=" 6 "/>
    <n v="265.39999999999998"/>
    <n v="0.2"/>
    <x v="1"/>
    <s v="Canceled"/>
    <x v="3"/>
    <m/>
    <s v="Bilal Brown"/>
    <x v="0"/>
    <x v="3"/>
    <x v="0"/>
    <s v="Credit Card"/>
    <x v="0"/>
    <n v="6"/>
    <n v="265.39999999999998"/>
    <x v="122"/>
    <n v="0.2"/>
    <s v=""/>
    <s v="High Value"/>
    <n v="1592.3999999999999"/>
    <s v="ORD-1077"/>
    <n v="1077"/>
    <s v="Jan-2024"/>
    <d v="2024-01-31T00:00:00"/>
    <s v="bilal"/>
    <n v="0.2"/>
  </r>
  <r>
    <s v="ORD-1151"/>
    <s v="2024-03-12"/>
    <s v="Ahmed  Taylor"/>
    <s v="North "/>
    <s v="Islamabad"/>
    <s v="groceries"/>
    <s v="Green Tea Pack"/>
    <s v="in-store"/>
    <m/>
    <n v="205.17"/>
    <n v="0.05"/>
    <x v="1"/>
    <s v="cancelled"/>
    <x v="4"/>
    <s v="Gift wrap requested"/>
    <s v="Ahmed Taylor"/>
    <x v="1"/>
    <x v="3"/>
    <x v="0"/>
    <s v="Credit Card"/>
    <x v="0"/>
    <s v=""/>
    <n v="205.17"/>
    <x v="123"/>
    <n v="0.05"/>
    <s v="Gift wrap requested"/>
    <s v="Review"/>
    <n v="0"/>
    <s v="ORD-1151"/>
    <n v="1151"/>
    <s v="Mar-2024"/>
    <d v="2024-03-31T00:00:00"/>
    <s v="Ahmed"/>
    <n v="0.05"/>
  </r>
  <r>
    <s v="ORD-1132"/>
    <s v="April 17, 2024"/>
    <s v="UMAR FAROOQ"/>
    <s v="North "/>
    <s v="Lahore"/>
    <s v="groceries"/>
    <s v="Olive Oil 1L"/>
    <s v="in-store"/>
    <n v="1"/>
    <n v="177.55"/>
    <n v="0"/>
    <x v="2"/>
    <s v="Refunded"/>
    <x v="2"/>
    <m/>
    <s v="Umar Farooq"/>
    <x v="1"/>
    <x v="3"/>
    <x v="0"/>
    <s v="Bank Transfer"/>
    <x v="3"/>
    <n v="1"/>
    <n v="177.55"/>
    <x v="124"/>
    <n v="0"/>
    <s v=""/>
    <s v="Standard"/>
    <n v="177.55"/>
    <s v="ORD-1132"/>
    <n v="1132"/>
    <s v="Apr-2024"/>
    <d v="2024-04-30T00:00:00"/>
    <s v="UMAR"/>
    <n v="0"/>
  </r>
  <r>
    <s v="ORD-1106"/>
    <s v="August 02, 2024"/>
    <s v="Chen  Clark"/>
    <s v="South"/>
    <s v="Karachi"/>
    <s v="groceries"/>
    <s v="Honey Jar"/>
    <s v="In Store"/>
    <n v="4"/>
    <n v="176.35"/>
    <n v="0"/>
    <x v="1"/>
    <s v="Refunded"/>
    <x v="0"/>
    <s v="Gift wrap requested"/>
    <s v="Chen Clark"/>
    <x v="2"/>
    <x v="3"/>
    <x v="0"/>
    <s v="Credit Card"/>
    <x v="3"/>
    <n v="4"/>
    <n v="176.35"/>
    <x v="125"/>
    <n v="0"/>
    <s v="Gift wrap requested"/>
    <s v="Standard"/>
    <n v="705.4"/>
    <s v="ORD-1106"/>
    <n v="1106"/>
    <s v="Aug-2024"/>
    <d v="2024-08-31T00:00:00"/>
    <s v="Chen"/>
    <n v="0"/>
  </r>
  <r>
    <s v="ORD-1210"/>
    <s v="03/25/2024"/>
    <s v="NOAH MALIK"/>
    <s v="west"/>
    <s v="Quetta"/>
    <s v="groceries"/>
    <s v="Honey Jar"/>
    <s v="In Store"/>
    <n v="6"/>
    <n v="175.79"/>
    <n v="0"/>
    <x v="3"/>
    <s v="COMPLETED"/>
    <x v="3"/>
    <s v="  Customer called twice "/>
    <s v="Noah Malik"/>
    <x v="0"/>
    <x v="3"/>
    <x v="0"/>
    <s v="Cash"/>
    <x v="2"/>
    <n v="6"/>
    <n v="175.79"/>
    <x v="18"/>
    <n v="0"/>
    <s v="Customer called twice"/>
    <s v="High Value"/>
    <n v="1054.74"/>
    <s v="ORD-1210"/>
    <n v="1210"/>
    <s v="Mar-2024"/>
    <d v="2024-03-31T00:00:00"/>
    <s v="Noah"/>
    <n v="0"/>
  </r>
  <r>
    <s v="ORD-1122"/>
    <s v="20/11/2024"/>
    <s v="MARIA SMITH"/>
    <s v=" East"/>
    <s v="Sialkot"/>
    <s v="groceries"/>
    <s v="Green Tea Pack"/>
    <s v="in-store"/>
    <n v="10"/>
    <n v="104.42"/>
    <n v="0.1"/>
    <x v="4"/>
    <s v="Refunded"/>
    <x v="0"/>
    <s v="VIP customer"/>
    <s v="Maria Smith"/>
    <x v="3"/>
    <x v="3"/>
    <x v="0"/>
    <s v="Credit Card"/>
    <x v="3"/>
    <n v="10"/>
    <n v="104.42"/>
    <x v="126"/>
    <n v="0.1"/>
    <s v="VIP customer"/>
    <s v="High Value"/>
    <n v="1044.2"/>
    <s v="ORD-1122"/>
    <n v="1122"/>
    <s v="Nov-2024"/>
    <d v="2024-11-30T00:00:00"/>
    <s v="maria"/>
    <n v="0.1"/>
  </r>
  <r>
    <s v="ORD-1122"/>
    <s v="20/11/2024"/>
    <s v="MARIA SMITH"/>
    <s v=" East"/>
    <s v="Sialkot"/>
    <s v="groceries"/>
    <s v="Green Tea Pack"/>
    <s v="in-store"/>
    <n v="10"/>
    <n v="104.42"/>
    <n v="0.1"/>
    <x v="4"/>
    <s v="Refunded"/>
    <x v="0"/>
    <s v="VIP customer"/>
    <s v="Maria Smith"/>
    <x v="3"/>
    <x v="3"/>
    <x v="0"/>
    <s v="Credit Card"/>
    <x v="3"/>
    <n v="10"/>
    <n v="104.42"/>
    <x v="126"/>
    <n v="0.1"/>
    <s v="VIP customer"/>
    <s v="High Value"/>
    <n v="1044.2"/>
    <s v="ORD-1122"/>
    <n v="1122"/>
    <s v="Nov-2024"/>
    <d v="2024-11-30T00:00:00"/>
    <s v="maria"/>
    <n v="0.1"/>
  </r>
  <r>
    <s v="ORD-1190"/>
    <s v="2024-06-22"/>
    <s v=" Fatima Raza"/>
    <s v="EAST"/>
    <s v="Multan"/>
    <s v="groceries"/>
    <s v="Almonds 500g"/>
    <s v="Online"/>
    <n v="5"/>
    <n v="97.83"/>
    <n v="0.15"/>
    <x v="2"/>
    <s v="Complete"/>
    <x v="0"/>
    <s v="  "/>
    <s v="Fatima Raza"/>
    <x v="3"/>
    <x v="3"/>
    <x v="1"/>
    <s v="Bank Transfer"/>
    <x v="2"/>
    <n v="5"/>
    <n v="97.83"/>
    <x v="102"/>
    <n v="0.15"/>
    <s v=""/>
    <s v="Standard"/>
    <n v="489.15"/>
    <s v="ORD-1190"/>
    <n v="1190"/>
    <s v="Jun-2024"/>
    <d v="2024-06-30T00:00:00"/>
    <s v="Fatima"/>
    <n v="0.15"/>
  </r>
  <r>
    <s v="ORD-1206"/>
    <s v="2024-11-16"/>
    <s v="bilal hussain"/>
    <s v="EAST"/>
    <s v="Sialkot"/>
    <s v="groceries"/>
    <s v="Green Tea Pack"/>
    <s v="in-store"/>
    <n v="8"/>
    <n v="92.01"/>
    <n v="0.05"/>
    <x v="3"/>
    <s v="Complete"/>
    <x v="1"/>
    <s v="  Customer called twice "/>
    <s v="Bilal Hussain"/>
    <x v="3"/>
    <x v="3"/>
    <x v="0"/>
    <s v="Cash"/>
    <x v="2"/>
    <n v="8"/>
    <n v="92.01"/>
    <x v="127"/>
    <n v="0.05"/>
    <s v="Customer called twice"/>
    <s v="Standard"/>
    <n v="736.08"/>
    <s v="ORD-1206"/>
    <n v="1206"/>
    <s v="Nov-2024"/>
    <d v="2024-11-30T00:00:00"/>
    <s v="bilal"/>
    <n v="0.05"/>
  </r>
  <r>
    <s v="ORD-1129"/>
    <s v="17/07/2024"/>
    <s v=" Tom Taylor"/>
    <s v="West "/>
    <s v="Quetta"/>
    <s v="groceries"/>
    <s v="Green Tea Pack"/>
    <s v="Online"/>
    <s v=" 11 "/>
    <n v="63.34"/>
    <m/>
    <x v="2"/>
    <s v="COMPLETED"/>
    <x v="5"/>
    <s v="Follow up needed_x0009_"/>
    <s v="Tom Taylor"/>
    <x v="0"/>
    <x v="3"/>
    <x v="1"/>
    <s v="Bank Transfer"/>
    <x v="2"/>
    <n v="11"/>
    <n v="63.34"/>
    <x v="128"/>
    <n v="0"/>
    <s v="Follow up needed"/>
    <s v="Standard"/>
    <n v="696.74"/>
    <s v="ORD-1129"/>
    <n v="1129"/>
    <s v="Jul-2024"/>
    <d v="2024-07-31T00:00:00"/>
    <s v="tom"/>
    <n v="0"/>
  </r>
  <r>
    <s v="ORD-1181"/>
    <s v="2024-11-12"/>
    <s v="BILAL ALI"/>
    <s v="West "/>
    <s v="Quetta"/>
    <s v="groceries"/>
    <s v="Olive Oil 1L"/>
    <s v="Online"/>
    <n v="5"/>
    <n v="54.99"/>
    <s v="5%"/>
    <x v="5"/>
    <s v="COMPLETED"/>
    <x v="5"/>
    <s v="Leave at front desk  "/>
    <s v="Bilal Ali"/>
    <x v="0"/>
    <x v="3"/>
    <x v="1"/>
    <s v="Debit Card"/>
    <x v="2"/>
    <n v="5"/>
    <n v="54.99"/>
    <x v="129"/>
    <s v="5%"/>
    <s v="Leave at front desk"/>
    <s v="Standard"/>
    <n v="274.95"/>
    <s v="ORD-1181"/>
    <n v="1181"/>
    <s v="Nov-2024"/>
    <d v="2024-11-30T00:00:00"/>
    <s v="bilal"/>
    <n v="0.05"/>
  </r>
  <r>
    <s v="ORD-1090"/>
    <s v="25/02/2024"/>
    <s v="AISHA CLARK"/>
    <s v="west"/>
    <m/>
    <s v="groceries"/>
    <s v="Olive Oil 1L"/>
    <s v="Online "/>
    <n v="10"/>
    <n v="30.02"/>
    <n v="0.15"/>
    <x v="4"/>
    <s v="PENDING"/>
    <x v="4"/>
    <s v="Follow up needed_x0009_"/>
    <s v="Aisha Clark"/>
    <x v="0"/>
    <x v="3"/>
    <x v="1"/>
    <s v="Credit Card"/>
    <x v="1"/>
    <n v="10"/>
    <n v="30.02"/>
    <x v="4"/>
    <n v="0.15"/>
    <s v="Follow up needed"/>
    <s v="Standard"/>
    <n v="300.2"/>
    <s v="ORD-1090"/>
    <n v="1090"/>
    <s v="Feb-2024"/>
    <d v="2024-02-29T00:00:00"/>
    <s v="Aisha"/>
    <n v="0.15"/>
  </r>
  <r>
    <s v="ORD-1188"/>
    <s v="November 05, 2024"/>
    <s v="Kate Ahmed"/>
    <s v="West "/>
    <s v="Peshawar"/>
    <s v="groceries"/>
    <s v="Green Tea Pack"/>
    <s v="Online"/>
    <n v="8"/>
    <n v="13.8"/>
    <m/>
    <x v="3"/>
    <s v="COMPLETED"/>
    <x v="4"/>
    <s v="Leave at front desk  "/>
    <s v="Kate Ahmed"/>
    <x v="0"/>
    <x v="3"/>
    <x v="1"/>
    <s v="Cash"/>
    <x v="2"/>
    <n v="8"/>
    <n v="13.8"/>
    <x v="130"/>
    <n v="0"/>
    <s v="Leave at front desk"/>
    <s v="Standard"/>
    <n v="110.4"/>
    <s v="ORD-1188"/>
    <n v="1188"/>
    <s v="Nov-2024"/>
    <d v="2024-11-30T00:00:00"/>
    <s v="Kate"/>
    <n v="0"/>
  </r>
  <r>
    <s v="ORD-1119"/>
    <s v="05/04/2024"/>
    <s v="michael qureshi"/>
    <s v="South"/>
    <s v="Karachi"/>
    <s v="groceries"/>
    <s v="Almonds 500g"/>
    <s v="in-store"/>
    <s v=" 6 "/>
    <n v="7.57"/>
    <n v="0.1"/>
    <x v="1"/>
    <s v="COMPLETED"/>
    <x v="4"/>
    <s v="Damaged on arrival - replaced"/>
    <s v="Michael Qureshi"/>
    <x v="2"/>
    <x v="3"/>
    <x v="0"/>
    <s v="Credit Card"/>
    <x v="2"/>
    <n v="6"/>
    <n v="7.57"/>
    <x v="99"/>
    <n v="0.1"/>
    <s v="Damaged on arrival - replaced"/>
    <s v="Standard"/>
    <n v="45.42"/>
    <s v="ORD-1119"/>
    <n v="1119"/>
    <s v="May-2024"/>
    <d v="2024-05-31T00:00:00"/>
    <s v="Michael"/>
    <n v="0.1"/>
  </r>
  <r>
    <s v="ORD-1135"/>
    <s v="10/22/2024"/>
    <s v=" Aisha Tayloris"/>
    <s v="North "/>
    <s v="Islamabad"/>
    <s v="Grocery"/>
    <s v="Basmati Rice 5kg"/>
    <s v="In-store "/>
    <n v="7"/>
    <s v=" 217.67 "/>
    <m/>
    <x v="4"/>
    <s v="cancelled"/>
    <x v="5"/>
    <s v="Damaged on arrival - replaced"/>
    <s v="Aisha Tayloris"/>
    <x v="1"/>
    <x v="3"/>
    <x v="0"/>
    <s v="Credit Card"/>
    <x v="0"/>
    <n v="7"/>
    <n v="217.67"/>
    <x v="25"/>
    <n v="0"/>
    <s v="Damaged on arrival - replaced"/>
    <s v="High Value"/>
    <n v="1523.6899999999998"/>
    <s v="ORD-1135"/>
    <n v="1135"/>
    <s v="Oct-2024"/>
    <d v="2024-10-31T00:00:00"/>
    <s v="Aisha"/>
    <n v="0"/>
  </r>
  <r>
    <s v="ORD-1135"/>
    <s v="10/22/2024"/>
    <s v="AISHA TAYLOR"/>
    <s v="North "/>
    <s v="Islamabad"/>
    <s v="Grocery"/>
    <s v="Basmati Rice 5kg"/>
    <s v="In-store "/>
    <n v="7"/>
    <s v=" 217.67 "/>
    <m/>
    <x v="4"/>
    <s v="cancelled"/>
    <x v="5"/>
    <s v="Damaged on arrival - replaced"/>
    <s v="Aisha Taylor"/>
    <x v="1"/>
    <x v="3"/>
    <x v="0"/>
    <s v="Credit Card"/>
    <x v="0"/>
    <n v="7"/>
    <n v="217.67"/>
    <x v="25"/>
    <n v="0"/>
    <s v="Damaged on arrival - replaced"/>
    <s v="High Value"/>
    <n v="1523.6899999999998"/>
    <s v="ORD-1135"/>
    <n v="1135"/>
    <s v="Oct-2024"/>
    <d v="2024-10-31T00:00:00"/>
    <s v="Aisha"/>
    <n v="0"/>
  </r>
  <r>
    <s v="ORD-1229"/>
    <s v="06/24/2024"/>
    <s v="priya raza"/>
    <s v=" East"/>
    <s v="Sialkot"/>
    <s v="Grocery"/>
    <s v="Almonds 500g"/>
    <s v="Online"/>
    <n v="3"/>
    <n v="464.64"/>
    <s v="15%"/>
    <x v="1"/>
    <s v="COMPLETED"/>
    <x v="2"/>
    <m/>
    <s v="Priya Raza"/>
    <x v="3"/>
    <x v="3"/>
    <x v="1"/>
    <s v="Credit Card"/>
    <x v="2"/>
    <n v="3"/>
    <n v="464.64"/>
    <x v="12"/>
    <s v="15%"/>
    <s v=""/>
    <s v="High Value"/>
    <n v="1393.92"/>
    <s v="ORD-1229"/>
    <n v="1229"/>
    <s v="Jun-2024"/>
    <d v="2024-06-30T00:00:00"/>
    <s v="Priya"/>
    <n v="0.15"/>
  </r>
  <r>
    <s v="ORD-1012"/>
    <s v="2024-04-21"/>
    <s v="AISHA GARCIA"/>
    <s v="north"/>
    <m/>
    <s v="Grocery"/>
    <s v="Almonds 500g"/>
    <s v="in-store"/>
    <n v="7"/>
    <n v="366.6"/>
    <s v="15%"/>
    <x v="1"/>
    <s v="Complete"/>
    <x v="1"/>
    <s v="Bulk order - business account"/>
    <s v="Aisha Garcia"/>
    <x v="1"/>
    <x v="3"/>
    <x v="0"/>
    <s v="Credit Card"/>
    <x v="2"/>
    <n v="7"/>
    <n v="366.6"/>
    <x v="131"/>
    <s v="15%"/>
    <s v="Bulk order - business account"/>
    <s v="High Value"/>
    <n v="2566.2000000000003"/>
    <s v="ORD-1012"/>
    <n v="1012"/>
    <s v="Apr-2024"/>
    <d v="2024-04-30T00:00:00"/>
    <s v="Aisha"/>
    <n v="0.15"/>
  </r>
  <r>
    <s v="ORD-1155"/>
    <s v="17-Jul-24"/>
    <s v="Robert  Qureshi"/>
    <s v="north"/>
    <s v="Islamabad"/>
    <s v="Grocery"/>
    <s v="Honey Jar"/>
    <s v="Online "/>
    <s v=" 3 "/>
    <n v="330.15"/>
    <n v="0"/>
    <x v="2"/>
    <s v="Complete"/>
    <x v="5"/>
    <s v="Follow up needed_x0009_"/>
    <s v="Robert Qureshi"/>
    <x v="1"/>
    <x v="3"/>
    <x v="1"/>
    <s v="Bank Transfer"/>
    <x v="2"/>
    <n v="3"/>
    <n v="330.15"/>
    <x v="128"/>
    <n v="0"/>
    <s v="Follow up needed"/>
    <s v="Standard"/>
    <n v="990.44999999999993"/>
    <s v="ORD-1155"/>
    <n v="1155"/>
    <s v="Jul-2024"/>
    <d v="2024-07-31T00:00:00"/>
    <s v="Robert"/>
    <n v="0"/>
  </r>
  <r>
    <s v="ORD-1130"/>
    <s v="October 14, 2024"/>
    <s v="NOAH ANDERSON"/>
    <s v="South "/>
    <s v="Karachi"/>
    <s v="Grocery"/>
    <s v="Olive Oil 1L"/>
    <s v="Online"/>
    <n v="6"/>
    <n v="311.61"/>
    <n v="0.15"/>
    <x v="1"/>
    <s v="Complete"/>
    <x v="3"/>
    <s v="Damaged on arrival - replaced"/>
    <s v="Noah Anderson"/>
    <x v="2"/>
    <x v="3"/>
    <x v="1"/>
    <s v="Credit Card"/>
    <x v="2"/>
    <n v="6"/>
    <n v="311.61"/>
    <x v="132"/>
    <n v="0.15"/>
    <s v="Damaged on arrival - replaced"/>
    <s v="High Value"/>
    <n v="1869.66"/>
    <s v="ORD-1130"/>
    <n v="1130"/>
    <s v="Oct-2024"/>
    <d v="2024-10-31T00:00:00"/>
    <s v="Noah"/>
    <n v="0.15"/>
  </r>
  <r>
    <s v="ORD-1158"/>
    <s v="18-Dec-24"/>
    <s v="robert raza"/>
    <s v="South"/>
    <s v="Hyderabad"/>
    <s v="Grocery"/>
    <s v="Olive Oil 1L"/>
    <s v="In-store "/>
    <n v="12"/>
    <n v="308.79000000000002"/>
    <s v="5%"/>
    <x v="5"/>
    <s v="cancelled"/>
    <x v="0"/>
    <s v="Follow up needed_x0009_"/>
    <s v="Robert Raza"/>
    <x v="2"/>
    <x v="3"/>
    <x v="0"/>
    <s v="Debit Card"/>
    <x v="0"/>
    <n v="12"/>
    <n v="308.79000000000002"/>
    <x v="133"/>
    <s v="5%"/>
    <s v="Follow up needed"/>
    <s v="High Value"/>
    <n v="3705.4800000000005"/>
    <s v="ORD-1158"/>
    <n v="1158"/>
    <s v="Dec-2024"/>
    <d v="2024-12-31T00:00:00"/>
    <s v="Robert"/>
    <n v="0.05"/>
  </r>
  <r>
    <s v="ORD-1205"/>
    <s v="06/09/2024"/>
    <s v="Hina Ahmed"/>
    <s v="EAST"/>
    <s v="Multan"/>
    <s v="Grocery"/>
    <s v="Honey Jar"/>
    <s v="in-store"/>
    <n v="12"/>
    <n v="284.95"/>
    <m/>
    <x v="5"/>
    <s v="COMPLETED"/>
    <x v="4"/>
    <s v="VIP customer"/>
    <s v="Hina Ahmed"/>
    <x v="3"/>
    <x v="3"/>
    <x v="0"/>
    <s v="Debit Card"/>
    <x v="2"/>
    <n v="12"/>
    <n v="284.95"/>
    <x v="33"/>
    <n v="0"/>
    <s v="VIP customer"/>
    <s v="High Value"/>
    <n v="3419.3999999999996"/>
    <s v="ORD-1205"/>
    <n v="1205"/>
    <s v="Jun-2024"/>
    <d v="2024-06-30T00:00:00"/>
    <s v="HINA"/>
    <n v="0"/>
  </r>
  <r>
    <s v="ORD-1088"/>
    <s v="12-Jun-24"/>
    <s v="aisha farooq"/>
    <s v=" East"/>
    <s v="Multan"/>
    <s v="Grocery"/>
    <s v="Almonds 500g"/>
    <s v="Online"/>
    <m/>
    <n v="222.6"/>
    <m/>
    <x v="3"/>
    <s v="COMPLETED"/>
    <x v="1"/>
    <s v="  "/>
    <s v="Aisha Farooq"/>
    <x v="3"/>
    <x v="3"/>
    <x v="1"/>
    <s v="Cash"/>
    <x v="2"/>
    <s v=""/>
    <n v="222.6"/>
    <x v="47"/>
    <n v="0"/>
    <s v=""/>
    <s v="Review"/>
    <n v="0"/>
    <s v="ORD-1088"/>
    <n v="1088"/>
    <s v="Jun-2024"/>
    <d v="2024-06-30T00:00:00"/>
    <s v="Aisha"/>
    <n v="0"/>
  </r>
  <r>
    <s v="ORD-1121"/>
    <s v="2024-08-22"/>
    <s v="david wilson"/>
    <s v=" East"/>
    <s v="Multan"/>
    <s v="Grocery"/>
    <s v="Almonds 500g"/>
    <s v="in-store"/>
    <n v="8"/>
    <n v="183.76"/>
    <n v="0.15"/>
    <x v="3"/>
    <s v="PENDING"/>
    <x v="2"/>
    <s v="Follow up needed_x0009_"/>
    <s v="David Wilson"/>
    <x v="3"/>
    <x v="3"/>
    <x v="0"/>
    <s v="Cash"/>
    <x v="1"/>
    <n v="8"/>
    <n v="183.76"/>
    <x v="10"/>
    <n v="0.15"/>
    <s v="Follow up needed"/>
    <s v="High Value"/>
    <n v="1470.08"/>
    <s v="ORD-1121"/>
    <n v="1121"/>
    <s v="Aug-2024"/>
    <d v="2024-08-31T00:00:00"/>
    <s v="David"/>
    <n v="0.15"/>
  </r>
  <r>
    <s v="ORD-1041"/>
    <s v="04/10/2024"/>
    <s v="fatima hussain"/>
    <s v="EAST"/>
    <s v="Multan"/>
    <s v="Grocery"/>
    <s v="Almonds 500g"/>
    <s v="In-store "/>
    <n v="1"/>
    <n v="160.69"/>
    <n v="0.15"/>
    <x v="3"/>
    <s v="COMPLETED"/>
    <x v="0"/>
    <s v="  "/>
    <s v="Fatima Hussain"/>
    <x v="3"/>
    <x v="3"/>
    <x v="0"/>
    <s v="Cash"/>
    <x v="2"/>
    <n v="1"/>
    <n v="160.69"/>
    <x v="134"/>
    <n v="0.15"/>
    <s v=""/>
    <s v="Standard"/>
    <n v="160.69"/>
    <s v="ORD-1041"/>
    <n v="1041"/>
    <s v="Apr-2024"/>
    <d v="2024-04-30T00:00:00"/>
    <s v="Fatima"/>
    <n v="0.15"/>
  </r>
  <r>
    <s v="ORD-1100"/>
    <s v="August 06, 2024"/>
    <s v="LIAM CLARK"/>
    <s v="EAST"/>
    <s v="Multan"/>
    <s v="Grocery"/>
    <s v="Olive Oil 1L"/>
    <s v="Online"/>
    <n v="12"/>
    <n v="151.04"/>
    <m/>
    <x v="3"/>
    <s v="PENDING"/>
    <x v="3"/>
    <m/>
    <s v="Liam Clark"/>
    <x v="3"/>
    <x v="3"/>
    <x v="1"/>
    <s v="Cash"/>
    <x v="1"/>
    <n v="12"/>
    <n v="151.04"/>
    <x v="89"/>
    <n v="0"/>
    <s v=""/>
    <s v="High Value"/>
    <n v="1812.48"/>
    <s v="ORD-1100"/>
    <n v="1100"/>
    <s v="Aug-2024"/>
    <d v="2024-08-31T00:00:00"/>
    <s v="Liam"/>
    <n v="0"/>
  </r>
  <r>
    <s v="ORD-1125"/>
    <s v="19/07/2024"/>
    <s v="Emily Ahmed "/>
    <s v="EAST"/>
    <s v="Multan"/>
    <s v="Grocery"/>
    <s v="Almonds 500g"/>
    <s v="Online"/>
    <s v=" 1 "/>
    <n v="114.89"/>
    <s v="20%"/>
    <x v="0"/>
    <s v="cancelled"/>
    <x v="1"/>
    <s v="Bulk order - business account"/>
    <s v="Emily Ahmed"/>
    <x v="3"/>
    <x v="3"/>
    <x v="1"/>
    <s v="Credit Card"/>
    <x v="0"/>
    <n v="1"/>
    <n v="114.89"/>
    <x v="135"/>
    <s v="20%"/>
    <s v="Bulk order - business account"/>
    <s v="Standard"/>
    <n v="114.89"/>
    <s v="ORD-1125"/>
    <n v="1125"/>
    <s v="Jul-2024"/>
    <d v="2024-07-31T00:00:00"/>
    <s v="EMILY"/>
    <n v="0.2"/>
  </r>
  <r>
    <s v="ORD-1037"/>
    <s v="05/02/2024"/>
    <s v="UMAR CLARK"/>
    <s v="West "/>
    <s v="Peshawar"/>
    <s v="Grocery"/>
    <s v="Honey Jar"/>
    <s v="Online"/>
    <n v="10"/>
    <n v="54.12"/>
    <s v="10%"/>
    <x v="6"/>
    <s v="COMPLETED"/>
    <x v="2"/>
    <s v="Bulk order - business account"/>
    <s v="Umar Clark"/>
    <x v="0"/>
    <x v="3"/>
    <x v="1"/>
    <s v="Cash"/>
    <x v="2"/>
    <n v="10"/>
    <n v="54.12"/>
    <x v="136"/>
    <s v="10%"/>
    <s v="Bulk order - business account"/>
    <s v="Standard"/>
    <n v="541.19999999999993"/>
    <s v="ORD-1037"/>
    <n v="1037"/>
    <s v="May-2024"/>
    <d v="2024-05-31T00:00:00"/>
    <s v="UMAR"/>
    <n v="0.1"/>
  </r>
  <r>
    <s v="ORD-1174"/>
    <s v="April 23, 2024"/>
    <s v="Kevin Ahmed"/>
    <s v="west"/>
    <s v="Quetta"/>
    <s v="Grocery"/>
    <s v="Green Tea Pack"/>
    <s v="In Store"/>
    <n v="7"/>
    <n v="22.48"/>
    <s v="5%"/>
    <x v="5"/>
    <s v="Refunded"/>
    <x v="0"/>
    <s v="Damaged on arrival - replaced"/>
    <s v="Kevin Ahmed"/>
    <x v="0"/>
    <x v="3"/>
    <x v="0"/>
    <s v="Debit Card"/>
    <x v="3"/>
    <n v="7"/>
    <n v="22.48"/>
    <x v="24"/>
    <s v="5%"/>
    <s v="Damaged on arrival - replaced"/>
    <s v="Standard"/>
    <n v="157.36000000000001"/>
    <s v="ORD-1174"/>
    <n v="1174"/>
    <s v="Apr-2024"/>
    <d v="2024-04-30T00:00:00"/>
    <s v="Kevin"/>
    <n v="0.05"/>
  </r>
  <r>
    <s v="ORD-1058"/>
    <s v="08/19/2024"/>
    <s v="sofia johnson"/>
    <s v="South"/>
    <s v="Karachi"/>
    <s v="Stationary"/>
    <s v="Desk Organizer"/>
    <s v="In-store "/>
    <n v="5"/>
    <s v="$304.69"/>
    <n v="0.2"/>
    <x v="2"/>
    <s v="Complete"/>
    <x v="3"/>
    <s v="  "/>
    <s v="Sofia Johnson"/>
    <x v="2"/>
    <x v="4"/>
    <x v="0"/>
    <s v="Bank Transfer"/>
    <x v="2"/>
    <n v="5"/>
    <n v="304.69"/>
    <x v="137"/>
    <n v="0.2"/>
    <s v=""/>
    <s v="High Value"/>
    <n v="1523.45"/>
    <s v="ORD-1058"/>
    <n v="1058"/>
    <s v="Aug-2024"/>
    <d v="2024-08-31T00:00:00"/>
    <s v="Sofia"/>
    <n v="0.2"/>
  </r>
  <r>
    <s v="ORD-1097"/>
    <s v="2024-04-29"/>
    <s v="Yusuf Lee "/>
    <s v=" East"/>
    <s v="Multan"/>
    <s v="Stationary"/>
    <s v="Highlighter Set"/>
    <s v="in-store"/>
    <s v=" 3 "/>
    <s v=" 371.74 "/>
    <m/>
    <x v="3"/>
    <s v="Complete"/>
    <x v="0"/>
    <s v="  Customer called twice "/>
    <s v="Yusuf Lee"/>
    <x v="3"/>
    <x v="4"/>
    <x v="0"/>
    <s v="Cash"/>
    <x v="2"/>
    <n v="3"/>
    <n v="371.74"/>
    <x v="138"/>
    <n v="0"/>
    <s v="Customer called twice"/>
    <s v="High Value"/>
    <n v="1115.22"/>
    <s v="ORD-1097"/>
    <n v="1097"/>
    <s v="Apr-2024"/>
    <d v="2024-04-30T00:00:00"/>
    <s v="Yusuf"/>
    <n v="0"/>
  </r>
  <r>
    <s v="ORD-1087"/>
    <s v="August 01, 2024"/>
    <s v="Zara Farooq"/>
    <s v=" South"/>
    <s v="Karachi"/>
    <s v="Stationary"/>
    <s v="Highlighter Set"/>
    <s v="Online"/>
    <s v=" 1 "/>
    <n v="474.53"/>
    <m/>
    <x v="0"/>
    <s v="Refunded"/>
    <x v="5"/>
    <s v="Gift wrap requested"/>
    <s v="Zara Farooq"/>
    <x v="2"/>
    <x v="4"/>
    <x v="1"/>
    <s v="Credit Card"/>
    <x v="3"/>
    <n v="1"/>
    <n v="474.53"/>
    <x v="139"/>
    <n v="0"/>
    <s v="Gift wrap requested"/>
    <s v="Standard"/>
    <n v="474.53"/>
    <s v="ORD-1087"/>
    <n v="1087"/>
    <s v="Aug-2024"/>
    <d v="2024-08-31T00:00:00"/>
    <s v="zara"/>
    <n v="0"/>
  </r>
  <r>
    <s v="ORD-1039"/>
    <s v="21/01/2024"/>
    <s v="Kate Brown"/>
    <s v="north"/>
    <s v="Lahore"/>
    <s v="Stationary"/>
    <s v="Desk Organizer"/>
    <s v="Online"/>
    <n v="8"/>
    <n v="351.37"/>
    <n v="0.15"/>
    <x v="5"/>
    <s v="COMPLETED"/>
    <x v="5"/>
    <m/>
    <s v="Kate Brown"/>
    <x v="1"/>
    <x v="4"/>
    <x v="1"/>
    <s v="Debit Card"/>
    <x v="2"/>
    <n v="8"/>
    <n v="351.37"/>
    <x v="140"/>
    <n v="0.15"/>
    <s v=""/>
    <s v="High Value"/>
    <n v="2810.96"/>
    <s v="ORD-1039"/>
    <n v="1039"/>
    <s v="Jan-2024"/>
    <d v="2024-01-31T00:00:00"/>
    <s v="Kate"/>
    <n v="0.15"/>
  </r>
  <r>
    <s v="ORD-1216"/>
    <s v="09/04/2024"/>
    <s v="BILAL TAYLOR"/>
    <s v="EAST"/>
    <s v="Multan"/>
    <s v="Stationary"/>
    <s v="Sticky Notes"/>
    <s v="In-store "/>
    <n v="7"/>
    <n v="307.88"/>
    <n v="0.05"/>
    <x v="5"/>
    <s v="PENDING"/>
    <x v="5"/>
    <m/>
    <s v="Bilal Taylor"/>
    <x v="3"/>
    <x v="4"/>
    <x v="0"/>
    <s v="Debit Card"/>
    <x v="1"/>
    <n v="7"/>
    <n v="307.88"/>
    <x v="141"/>
    <n v="0.05"/>
    <s v=""/>
    <s v="High Value"/>
    <n v="2155.16"/>
    <s v="ORD-1216"/>
    <n v="1216"/>
    <s v="Sep-2024"/>
    <d v="2024-09-30T00:00:00"/>
    <s v="bilal"/>
    <n v="0.05"/>
  </r>
  <r>
    <s v="ORD-1044"/>
    <s v="25-Jun-24"/>
    <s v="Sana Brown"/>
    <s v=" East"/>
    <s v="Sialkot"/>
    <s v="Stationary"/>
    <s v="Notebook Pack"/>
    <s v="in-store"/>
    <n v="12"/>
    <n v="295.52999999999997"/>
    <n v="0.05"/>
    <x v="5"/>
    <s v="PENDING"/>
    <x v="3"/>
    <s v="Bulk order - business account"/>
    <s v="Sana Brown"/>
    <x v="3"/>
    <x v="4"/>
    <x v="0"/>
    <s v="Debit Card"/>
    <x v="1"/>
    <n v="12"/>
    <n v="295.52999999999997"/>
    <x v="142"/>
    <n v="0.05"/>
    <s v="Bulk order - business account"/>
    <s v="High Value"/>
    <n v="3546.3599999999997"/>
    <s v="ORD-1044"/>
    <n v="1044"/>
    <s v="Jun-2024"/>
    <d v="2024-06-30T00:00:00"/>
    <s v="SANA"/>
    <n v="0.05"/>
  </r>
  <r>
    <s v="ORD-1022"/>
    <s v="September 20, 2024"/>
    <s v="CHEN FAROOQ"/>
    <s v="EAST"/>
    <s v="Multan"/>
    <s v="Stationary"/>
    <s v="Desk Organizer"/>
    <s v="instore"/>
    <n v="8"/>
    <n v="258.02999999999997"/>
    <n v="0.05"/>
    <x v="6"/>
    <s v="COMPLETED"/>
    <x v="1"/>
    <m/>
    <s v="Chen Farooq"/>
    <x v="3"/>
    <x v="4"/>
    <x v="0"/>
    <s v="Cash"/>
    <x v="2"/>
    <n v="8"/>
    <n v="258.02999999999997"/>
    <x v="60"/>
    <n v="0.05"/>
    <s v=""/>
    <s v="High Value"/>
    <n v="2064.2399999999998"/>
    <s v="ORD-1022"/>
    <n v="1022"/>
    <s v="Sep-2024"/>
    <d v="2024-09-30T00:00:00"/>
    <s v="Chen"/>
    <n v="0.05"/>
  </r>
  <r>
    <s v="ORD-1022"/>
    <s v="September 20, 2024"/>
    <s v="Chen Farooq"/>
    <s v="EAST"/>
    <s v="Multan"/>
    <s v="Stationary"/>
    <s v="Desk Organizer"/>
    <s v="instore"/>
    <n v="8"/>
    <n v="258.02999999999997"/>
    <n v="0.05"/>
    <x v="6"/>
    <s v="COMPLETED"/>
    <x v="1"/>
    <m/>
    <s v="Chen Farooq"/>
    <x v="3"/>
    <x v="4"/>
    <x v="0"/>
    <s v="Cash"/>
    <x v="2"/>
    <n v="8"/>
    <n v="258.02999999999997"/>
    <x v="60"/>
    <n v="0.05"/>
    <s v=""/>
    <s v="High Value"/>
    <n v="2064.2399999999998"/>
    <s v="ORD-1022"/>
    <n v="1022"/>
    <s v="Sep-2024"/>
    <d v="2024-09-30T00:00:00"/>
    <s v="Chen"/>
    <n v="0.05"/>
  </r>
  <r>
    <s v="ORD-1067"/>
    <s v="07-Feb-24"/>
    <s v="Umar  Johnson"/>
    <s v="West "/>
    <s v="Peshawar"/>
    <s v="Stationary"/>
    <s v="Sticky Notes"/>
    <s v="Online"/>
    <s v=" 8 "/>
    <n v="223.89"/>
    <m/>
    <x v="1"/>
    <s v="cancelled"/>
    <x v="5"/>
    <s v="Damaged on arrival - replaced"/>
    <s v="Umar Johnson"/>
    <x v="0"/>
    <x v="4"/>
    <x v="1"/>
    <s v="Credit Card"/>
    <x v="0"/>
    <n v="8"/>
    <n v="223.89"/>
    <x v="143"/>
    <n v="0"/>
    <s v="Damaged on arrival - replaced"/>
    <s v="High Value"/>
    <n v="1791.12"/>
    <s v="ORD-1067"/>
    <n v="1067"/>
    <s v="Feb-2024"/>
    <d v="2024-02-29T00:00:00"/>
    <s v="UMAR"/>
    <n v="0"/>
  </r>
  <r>
    <s v="ORD-1005"/>
    <s v="03/19/2024"/>
    <s v="Sofia  Lee"/>
    <s v="EAST"/>
    <s v="Multan"/>
    <s v="Stationary"/>
    <s v="Highlighter Set"/>
    <s v="In Store"/>
    <n v="10"/>
    <n v="113.56"/>
    <n v="0"/>
    <x v="2"/>
    <s v="COMPLETED"/>
    <x v="4"/>
    <s v="  "/>
    <s v="Sofia Lee"/>
    <x v="3"/>
    <x v="4"/>
    <x v="0"/>
    <s v="Bank Transfer"/>
    <x v="2"/>
    <n v="10"/>
    <n v="113.56"/>
    <x v="144"/>
    <n v="0"/>
    <s v=""/>
    <s v="High Value"/>
    <n v="1135.5999999999999"/>
    <s v="ORD-1005"/>
    <n v="1005"/>
    <s v="Mar-2024"/>
    <d v="2024-03-31T00:00:00"/>
    <s v="Sofia"/>
    <n v="0"/>
  </r>
  <r>
    <s v="ORD-1013"/>
    <s v="October 23, 2024"/>
    <s v="Sarah Taylor"/>
    <s v=" North"/>
    <s v="Lahore"/>
    <s v="stationery"/>
    <s v="Notebook Pack"/>
    <s v="In-store "/>
    <n v="2"/>
    <s v="$38.92"/>
    <n v="0.15"/>
    <x v="1"/>
    <s v="PENDING"/>
    <x v="2"/>
    <s v="Gift wrap requested"/>
    <s v="Sarah Taylor"/>
    <x v="1"/>
    <x v="4"/>
    <x v="0"/>
    <s v="Credit Card"/>
    <x v="1"/>
    <n v="2"/>
    <n v="38.92"/>
    <x v="145"/>
    <n v="0.15"/>
    <s v="Gift wrap requested"/>
    <s v="Standard"/>
    <n v="77.84"/>
    <s v="ORD-1013"/>
    <n v="1013"/>
    <s v="Oct-2024"/>
    <d v="2024-10-31T00:00:00"/>
    <s v="sarah"/>
    <n v="0.15"/>
  </r>
  <r>
    <s v="ORD-1225"/>
    <s v="01-May-24"/>
    <s v="sarah clark"/>
    <s v="west"/>
    <s v="Peshawar"/>
    <s v="stationery"/>
    <s v="Sticky Notes"/>
    <s v="Online"/>
    <n v="1"/>
    <s v="$192.82"/>
    <n v="0.1"/>
    <x v="1"/>
    <s v="PENDING"/>
    <x v="1"/>
    <s v="Damaged on arrival - replaced"/>
    <s v="Sarah Clark"/>
    <x v="0"/>
    <x v="4"/>
    <x v="1"/>
    <s v="Credit Card"/>
    <x v="1"/>
    <n v="1"/>
    <n v="192.82"/>
    <x v="146"/>
    <n v="0.1"/>
    <s v="Damaged on arrival - replaced"/>
    <s v="Standard"/>
    <n v="192.82"/>
    <s v="ORD-1225"/>
    <n v="1225"/>
    <s v="May-2024"/>
    <d v="2024-05-31T00:00:00"/>
    <s v="sarah"/>
    <n v="0.1"/>
  </r>
  <r>
    <s v="ORD-1225"/>
    <s v="01-May-24"/>
    <s v="sarah clark"/>
    <s v="west"/>
    <s v="Peshawar"/>
    <s v="stationery"/>
    <s v="Sticky Notes"/>
    <s v="Online"/>
    <n v="1"/>
    <s v="$192.82"/>
    <n v="0.1"/>
    <x v="1"/>
    <s v="PENDING"/>
    <x v="1"/>
    <s v="Damaged on arrival - replaced"/>
    <s v="Sarah Clark"/>
    <x v="0"/>
    <x v="4"/>
    <x v="1"/>
    <s v="Credit Card"/>
    <x v="1"/>
    <n v="1"/>
    <n v="192.82"/>
    <x v="146"/>
    <n v="0.1"/>
    <s v="Damaged on arrival - replaced"/>
    <s v="Standard"/>
    <n v="192.82"/>
    <s v="ORD-1225"/>
    <n v="1225"/>
    <s v="May-2024"/>
    <d v="2024-05-31T00:00:00"/>
    <s v="sarah"/>
    <n v="0.1"/>
  </r>
  <r>
    <s v="ORD-1204"/>
    <s v="18-Jun-24"/>
    <s v="laura qureshi"/>
    <s v="South"/>
    <s v="Karachi"/>
    <s v="stationery"/>
    <s v="Highlighter Set"/>
    <s v="instore"/>
    <n v="11"/>
    <s v="$148.87"/>
    <m/>
    <x v="2"/>
    <s v="PENDING"/>
    <x v="3"/>
    <s v="Follow up needed_x0009_"/>
    <s v="Laura Qureshi"/>
    <x v="2"/>
    <x v="4"/>
    <x v="0"/>
    <s v="Bank Transfer"/>
    <x v="1"/>
    <n v="11"/>
    <n v="148.87"/>
    <x v="34"/>
    <n v="0"/>
    <s v="Follow up needed"/>
    <s v="High Value"/>
    <n v="1637.5700000000002"/>
    <s v="ORD-1204"/>
    <n v="1204"/>
    <s v="Jun-2024"/>
    <d v="2024-06-30T00:00:00"/>
    <s v="Laura"/>
    <n v="0"/>
  </r>
  <r>
    <s v="ORD-1055"/>
    <s v="29-Apr-24"/>
    <s v="Chen  Wilson"/>
    <s v="Nort"/>
    <s v="Islamabad"/>
    <s v="stationery"/>
    <s v="Notebook Pack"/>
    <s v="in-store"/>
    <n v="4"/>
    <s v=" 394.55 "/>
    <n v="0.2"/>
    <x v="0"/>
    <s v="PENDING"/>
    <x v="2"/>
    <s v="Follow up needed_x0009_"/>
    <s v="Chen Wilson"/>
    <x v="1"/>
    <x v="4"/>
    <x v="0"/>
    <s v="Credit Card"/>
    <x v="1"/>
    <n v="4"/>
    <n v="394.55"/>
    <x v="138"/>
    <n v="0.2"/>
    <s v="Follow up needed"/>
    <s v="High Value"/>
    <n v="1578.2"/>
    <s v="ORD-1055"/>
    <n v="1055"/>
    <s v="Apr-2024"/>
    <d v="2024-04-30T00:00:00"/>
    <s v="Chen"/>
    <n v="0.2"/>
  </r>
  <r>
    <s v="ORD-1159"/>
    <s v="09-Dec-24"/>
    <s v="Priya Smith "/>
    <s v="west"/>
    <s v="Quetta"/>
    <s v="stationery"/>
    <s v="Highlighter Set"/>
    <s v="Online"/>
    <s v=" 8 "/>
    <s v=" 373.94 "/>
    <n v="0.05"/>
    <x v="6"/>
    <s v="COMPLETED"/>
    <x v="0"/>
    <s v="Damaged on arrival - replaced"/>
    <s v="Priya Smith"/>
    <x v="0"/>
    <x v="4"/>
    <x v="1"/>
    <s v="Cash"/>
    <x v="2"/>
    <n v="8"/>
    <n v="373.94"/>
    <x v="69"/>
    <n v="0.05"/>
    <s v="Damaged on arrival - replaced"/>
    <s v="High Value"/>
    <n v="2991.52"/>
    <s v="ORD-1159"/>
    <n v="1159"/>
    <s v="Dec-2024"/>
    <d v="2024-12-31T00:00:00"/>
    <s v="Priya"/>
    <n v="0.05"/>
  </r>
  <r>
    <s v="ORD-1083"/>
    <s v="07/02/2024"/>
    <s v="Tom  Wilson"/>
    <s v="north"/>
    <s v="Faisalabad"/>
    <s v="stationery"/>
    <s v="Highlighter Set"/>
    <s v="Online"/>
    <n v="5"/>
    <s v=" 353.50 "/>
    <s v="15%"/>
    <x v="0"/>
    <s v="COMPLETED"/>
    <x v="2"/>
    <s v="Follow up needed_x0009_"/>
    <s v="Tom Wilson"/>
    <x v="1"/>
    <x v="4"/>
    <x v="1"/>
    <s v="Credit Card"/>
    <x v="2"/>
    <n v="5"/>
    <n v="353.5"/>
    <x v="147"/>
    <s v="15%"/>
    <s v="Follow up needed"/>
    <s v="High Value"/>
    <n v="1767.5"/>
    <s v="ORD-1083"/>
    <n v="1083"/>
    <s v="Jul-2024"/>
    <d v="2024-07-31T00:00:00"/>
    <s v="tom"/>
    <n v="0.15"/>
  </r>
  <r>
    <s v="ORD-1207"/>
    <s v="05/28/2024"/>
    <s v=" Sofia Smith"/>
    <s v=" North"/>
    <s v="Faisalabad"/>
    <s v="stationery"/>
    <s v="Notebook Pack"/>
    <s v="In-store "/>
    <n v="5"/>
    <n v="499.37"/>
    <n v="0.1"/>
    <x v="5"/>
    <s v="Complete"/>
    <x v="5"/>
    <s v="Damaged on arrival - replaced"/>
    <s v="Sofia Smith"/>
    <x v="1"/>
    <x v="4"/>
    <x v="0"/>
    <s v="Debit Card"/>
    <x v="2"/>
    <n v="5"/>
    <n v="499.37"/>
    <x v="148"/>
    <n v="0.1"/>
    <s v="Damaged on arrival - replaced"/>
    <s v="High Value"/>
    <n v="2496.85"/>
    <s v="ORD-1207"/>
    <n v="1207"/>
    <s v="May-2024"/>
    <d v="2024-05-31T00:00:00"/>
    <s v="Sofia"/>
    <n v="0.1"/>
  </r>
  <r>
    <s v="ORD-1070"/>
    <s v="13-Feb-24"/>
    <s v="Nida Taylor"/>
    <s v="EAST"/>
    <s v="Sialkot"/>
    <s v="stationery"/>
    <s v="Sticky Notes"/>
    <s v="Online"/>
    <n v="10"/>
    <n v="458.79"/>
    <s v="15%"/>
    <x v="1"/>
    <s v="PENDING"/>
    <x v="0"/>
    <s v="Bulk order - business account"/>
    <s v="Nida Taylor"/>
    <x v="3"/>
    <x v="4"/>
    <x v="1"/>
    <s v="Credit Card"/>
    <x v="1"/>
    <n v="10"/>
    <n v="458.79"/>
    <x v="117"/>
    <s v="15%"/>
    <s v="Bulk order - business account"/>
    <s v="High Value"/>
    <n v="4587.9000000000005"/>
    <s v="ORD-1070"/>
    <n v="1070"/>
    <s v="Feb-2024"/>
    <d v="2024-02-29T00:00:00"/>
    <s v="Nida"/>
    <n v="0.15"/>
  </r>
  <r>
    <s v="ORD-1140"/>
    <s v="2024-10-31"/>
    <s v=" Laura Farooq"/>
    <s v="EAST"/>
    <s v="Sialkot"/>
    <s v="stationery"/>
    <s v="Desk Organizer"/>
    <s v="in-store"/>
    <m/>
    <n v="449.47"/>
    <n v="0"/>
    <x v="0"/>
    <s v="cancelled"/>
    <x v="0"/>
    <s v="Bulk order - business account"/>
    <s v="Laura Farooq"/>
    <x v="3"/>
    <x v="4"/>
    <x v="0"/>
    <s v="Credit Card"/>
    <x v="0"/>
    <s v=""/>
    <n v="449.47"/>
    <x v="149"/>
    <n v="0"/>
    <s v="Bulk order - business account"/>
    <s v="Review"/>
    <n v="0"/>
    <s v="ORD-1140"/>
    <n v="1140"/>
    <s v="Oct-2024"/>
    <d v="2024-10-31T00:00:00"/>
    <s v="Laura"/>
    <n v="0"/>
  </r>
  <r>
    <s v="ORD-1145"/>
    <s v="10/10/2024"/>
    <s v="Liam  Lewis"/>
    <s v="EAST"/>
    <s v="Sialkot"/>
    <s v="stationery"/>
    <s v="Ballpoint Pens"/>
    <s v="In-store "/>
    <m/>
    <n v="432.15"/>
    <n v="0.15"/>
    <x v="1"/>
    <s v="COMPLETED"/>
    <x v="4"/>
    <s v="VIP customer"/>
    <s v="Liam Lewis"/>
    <x v="3"/>
    <x v="4"/>
    <x v="0"/>
    <s v="Credit Card"/>
    <x v="2"/>
    <s v=""/>
    <n v="432.15"/>
    <x v="150"/>
    <n v="0.15"/>
    <s v="VIP customer"/>
    <s v="Review"/>
    <n v="0"/>
    <s v="ORD-1145"/>
    <n v="1145"/>
    <s v="Oct-2024"/>
    <d v="2024-10-31T00:00:00"/>
    <s v="Liam"/>
    <n v="0.15"/>
  </r>
  <r>
    <s v="ORD-1072"/>
    <s v="29-Jul-24"/>
    <s v="Umar Farooq "/>
    <s v="North "/>
    <s v="Lahore"/>
    <s v="stationery"/>
    <s v="Highlighter Set"/>
    <s v="In Store"/>
    <s v=" 3 "/>
    <n v="416.52"/>
    <n v="0.05"/>
    <x v="2"/>
    <s v="cancelled"/>
    <x v="4"/>
    <s v="VIP customer"/>
    <s v="Umar Farooq"/>
    <x v="1"/>
    <x v="4"/>
    <x v="0"/>
    <s v="Bank Transfer"/>
    <x v="0"/>
    <n v="3"/>
    <n v="416.52"/>
    <x v="151"/>
    <n v="0.05"/>
    <s v="VIP customer"/>
    <s v="High Value"/>
    <n v="1249.56"/>
    <s v="ORD-1072"/>
    <n v="1072"/>
    <s v="Jul-2024"/>
    <d v="2024-07-31T00:00:00"/>
    <s v="UMAR"/>
    <n v="0.05"/>
  </r>
  <r>
    <s v="ORD-1030"/>
    <s v="2024-10-16"/>
    <s v="umar malik"/>
    <s v=" North"/>
    <s v="Islamabad"/>
    <s v="stationery"/>
    <s v="Desk Organizer"/>
    <s v="Online "/>
    <n v="2"/>
    <n v="416.13"/>
    <s v="10%"/>
    <x v="6"/>
    <s v="PENDING"/>
    <x v="4"/>
    <m/>
    <s v="Umar Malik"/>
    <x v="1"/>
    <x v="4"/>
    <x v="1"/>
    <s v="Cash"/>
    <x v="1"/>
    <n v="2"/>
    <n v="416.13"/>
    <x v="152"/>
    <s v="10%"/>
    <s v=""/>
    <s v="Standard"/>
    <n v="832.26"/>
    <s v="ORD-1030"/>
    <n v="1030"/>
    <s v="Oct-2024"/>
    <d v="2024-10-31T00:00:00"/>
    <s v="UMAR"/>
    <n v="0.1"/>
  </r>
  <r>
    <s v="ORD-1004"/>
    <s v="18/04/2024"/>
    <s v=" Zara Malik"/>
    <s v="South"/>
    <s v="Hyderabad"/>
    <s v="stationery"/>
    <s v="Sticky Notes"/>
    <s v="Online"/>
    <n v="4"/>
    <n v="403.5"/>
    <m/>
    <x v="3"/>
    <s v="Refunded"/>
    <x v="1"/>
    <s v="  "/>
    <s v="Zara Malik"/>
    <x v="2"/>
    <x v="4"/>
    <x v="1"/>
    <s v="Cash"/>
    <x v="3"/>
    <n v="4"/>
    <n v="403.5"/>
    <x v="153"/>
    <n v="0"/>
    <s v=""/>
    <s v="High Value"/>
    <n v="1614"/>
    <s v="ORD-1004"/>
    <n v="1004"/>
    <s v="Apr-2024"/>
    <d v="2024-04-30T00:00:00"/>
    <s v="zara"/>
    <n v="0"/>
  </r>
  <r>
    <s v="ORD-1098"/>
    <s v="November 29, 2024"/>
    <s v="Olivia Taylor "/>
    <s v="west"/>
    <m/>
    <s v="stationery"/>
    <s v="Desk Organizer"/>
    <s v="instore"/>
    <n v="8"/>
    <n v="379.18"/>
    <m/>
    <x v="1"/>
    <s v="Refunded"/>
    <x v="4"/>
    <s v="VIP customer"/>
    <s v="Olivia Taylor"/>
    <x v="0"/>
    <x v="4"/>
    <x v="0"/>
    <s v="Credit Card"/>
    <x v="3"/>
    <n v="8"/>
    <n v="379.18"/>
    <x v="154"/>
    <n v="0"/>
    <s v="VIP customer"/>
    <s v="High Value"/>
    <n v="3033.44"/>
    <s v="ORD-1098"/>
    <n v="1098"/>
    <s v="Nov-2024"/>
    <d v="2024-11-30T00:00:00"/>
    <s v="OLIVIA"/>
    <n v="0"/>
  </r>
  <r>
    <s v="ORD-1203"/>
    <s v="03/13/2024"/>
    <s v="Hina Sheikh"/>
    <s v="South"/>
    <m/>
    <s v="stationery"/>
    <s v="Highlighter Set"/>
    <s v="In-store "/>
    <n v="2"/>
    <n v="375.41"/>
    <m/>
    <x v="5"/>
    <s v="PENDING"/>
    <x v="5"/>
    <s v="Follow up needed_x0009_"/>
    <s v="Hina Sheikh"/>
    <x v="2"/>
    <x v="4"/>
    <x v="0"/>
    <s v="Debit Card"/>
    <x v="1"/>
    <n v="2"/>
    <n v="375.41"/>
    <x v="155"/>
    <n v="0"/>
    <s v="Follow up needed"/>
    <s v="Standard"/>
    <n v="750.82"/>
    <s v="ORD-1203"/>
    <n v="1203"/>
    <s v="Mar-2024"/>
    <d v="2024-03-31T00:00:00"/>
    <s v="HINA"/>
    <n v="0"/>
  </r>
  <r>
    <s v="ORD-1176"/>
    <s v="July 28, 2024"/>
    <s v="james lewis"/>
    <s v="west"/>
    <s v="Peshawar"/>
    <s v="stationery"/>
    <s v="Desk Organizer"/>
    <s v="Online "/>
    <s v=" 9 "/>
    <n v="341.95"/>
    <n v="0.05"/>
    <x v="1"/>
    <s v="Complete"/>
    <x v="1"/>
    <s v="Damaged on arrival - replaced"/>
    <s v="James Lewis"/>
    <x v="0"/>
    <x v="4"/>
    <x v="1"/>
    <s v="Credit Card"/>
    <x v="2"/>
    <n v="9"/>
    <n v="341.95"/>
    <x v="74"/>
    <n v="0.05"/>
    <s v="Damaged on arrival - replaced"/>
    <s v="High Value"/>
    <n v="3077.5499999999997"/>
    <s v="ORD-1176"/>
    <n v="1176"/>
    <s v="Jul-2024"/>
    <d v="2024-07-31T00:00:00"/>
    <s v="james"/>
    <n v="0.05"/>
  </r>
  <r>
    <s v="ORD-1113"/>
    <s v="01/05/2024"/>
    <s v="Priya  Sheikh"/>
    <s v=" South"/>
    <s v="Hyderabad"/>
    <s v="stationery"/>
    <s v="Highlighter Set"/>
    <s v="Online"/>
    <n v="2"/>
    <n v="335.77"/>
    <n v="0.05"/>
    <x v="1"/>
    <s v="Refunded"/>
    <x v="2"/>
    <s v="Bulk order - business account"/>
    <s v="Priya Sheikh"/>
    <x v="2"/>
    <x v="4"/>
    <x v="1"/>
    <s v="Credit Card"/>
    <x v="3"/>
    <n v="2"/>
    <n v="335.77"/>
    <x v="156"/>
    <n v="0.05"/>
    <s v="Bulk order - business account"/>
    <s v="Standard"/>
    <n v="671.54"/>
    <s v="ORD-1113"/>
    <n v="1113"/>
    <s v="Jan-2024"/>
    <d v="2024-01-31T00:00:00"/>
    <s v="Priya"/>
    <n v="0.05"/>
  </r>
  <r>
    <s v="ORD-1040"/>
    <s v="2024-09-08"/>
    <s v="Zara Wilson"/>
    <s v="north"/>
    <s v="Faisalabad"/>
    <s v="stationery"/>
    <s v="Sticky Notes"/>
    <s v="Online"/>
    <n v="3"/>
    <n v="327.5"/>
    <m/>
    <x v="3"/>
    <s v="Canceled"/>
    <x v="0"/>
    <s v="Damaged on arrival - replaced"/>
    <s v="Zara Wilson"/>
    <x v="1"/>
    <x v="4"/>
    <x v="1"/>
    <s v="Cash"/>
    <x v="0"/>
    <n v="3"/>
    <n v="327.5"/>
    <x v="157"/>
    <n v="0"/>
    <s v="Damaged on arrival - replaced"/>
    <s v="Standard"/>
    <n v="982.5"/>
    <s v="ORD-1040"/>
    <n v="1040"/>
    <s v="Sep-2024"/>
    <d v="2024-09-30T00:00:00"/>
    <s v="zara"/>
    <n v="0"/>
  </r>
  <r>
    <s v="ORD-1163"/>
    <s v="29/08/2024"/>
    <s v="david khan"/>
    <s v="Nort"/>
    <s v="Islamabad"/>
    <s v="stationery"/>
    <s v="Ballpoint Pens"/>
    <s v="Online"/>
    <n v="1"/>
    <n v="320.89999999999998"/>
    <n v="0"/>
    <x v="4"/>
    <s v="Refunded"/>
    <x v="3"/>
    <s v="Leave at front desk  "/>
    <s v="David Khan"/>
    <x v="1"/>
    <x v="4"/>
    <x v="1"/>
    <s v="Credit Card"/>
    <x v="3"/>
    <n v="1"/>
    <n v="320.89999999999998"/>
    <x v="86"/>
    <n v="0"/>
    <s v="Leave at front desk"/>
    <s v="Standard"/>
    <n v="320.89999999999998"/>
    <s v="ORD-1163"/>
    <n v="1163"/>
    <s v="Aug-2024"/>
    <d v="2024-08-31T00:00:00"/>
    <s v="David"/>
    <n v="0"/>
  </r>
  <r>
    <s v="ORD-1208"/>
    <s v="2024-07-02"/>
    <s v="Kevin Clark"/>
    <s v="west"/>
    <s v="Quetta"/>
    <s v="stationery"/>
    <s v="Highlighter Set"/>
    <s v="Online"/>
    <s v=" 8 "/>
    <n v="285.35000000000002"/>
    <n v="0.05"/>
    <x v="2"/>
    <s v="Refunded"/>
    <x v="3"/>
    <s v="VIP customer"/>
    <s v="Kevin Clark"/>
    <x v="0"/>
    <x v="4"/>
    <x v="1"/>
    <s v="Bank Transfer"/>
    <x v="3"/>
    <n v="8"/>
    <n v="285.35000000000002"/>
    <x v="147"/>
    <n v="0.05"/>
    <s v="VIP customer"/>
    <s v="High Value"/>
    <n v="2282.8000000000002"/>
    <s v="ORD-1208"/>
    <n v="1208"/>
    <s v="Jul-2024"/>
    <d v="2024-07-31T00:00:00"/>
    <s v="Kevin"/>
    <n v="0.05"/>
  </r>
  <r>
    <s v="ORD-1110"/>
    <s v="2024-04-07"/>
    <s v="Michael Farooq "/>
    <s v="South"/>
    <s v="Hyderabad"/>
    <s v="stationery"/>
    <s v="Notebook Pack"/>
    <s v="Online "/>
    <n v="10"/>
    <n v="281.63"/>
    <n v="0.1"/>
    <x v="4"/>
    <s v="COMPLETED"/>
    <x v="2"/>
    <s v="Damaged on arrival - replaced"/>
    <s v="Michael Farooq"/>
    <x v="2"/>
    <x v="4"/>
    <x v="1"/>
    <s v="Credit Card"/>
    <x v="2"/>
    <n v="10"/>
    <n v="281.63"/>
    <x v="67"/>
    <n v="0.1"/>
    <s v="Damaged on arrival - replaced"/>
    <s v="High Value"/>
    <n v="2816.3"/>
    <s v="ORD-1110"/>
    <n v="1110"/>
    <s v="Apr-2024"/>
    <d v="2024-04-30T00:00:00"/>
    <s v="Michael"/>
    <n v="0.1"/>
  </r>
  <r>
    <s v="ORD-1182"/>
    <s v="2024-01-07"/>
    <s v="EMILY ALI"/>
    <s v=" South"/>
    <s v="Karachi"/>
    <s v="stationery"/>
    <s v="Sticky Notes"/>
    <s v="In Store"/>
    <s v=" 5 "/>
    <n v="276.33"/>
    <s v="15%"/>
    <x v="5"/>
    <s v="Complete"/>
    <x v="4"/>
    <s v="  Customer called twice "/>
    <s v="Emily Ali"/>
    <x v="2"/>
    <x v="4"/>
    <x v="0"/>
    <s v="Debit Card"/>
    <x v="2"/>
    <n v="5"/>
    <n v="276.33"/>
    <x v="158"/>
    <s v="15%"/>
    <s v="Customer called twice"/>
    <s v="High Value"/>
    <n v="1381.6499999999999"/>
    <s v="ORD-1182"/>
    <n v="1182"/>
    <s v="Jan-2024"/>
    <d v="2024-01-31T00:00:00"/>
    <s v="EMILY"/>
    <n v="0.15"/>
  </r>
  <r>
    <s v="ORD-1114"/>
    <s v="February 19, 2024"/>
    <s v="Daniel Sheikh"/>
    <s v="West "/>
    <m/>
    <s v="stationery"/>
    <s v="Notebook Pack"/>
    <s v="Online"/>
    <n v="9"/>
    <n v="270.19"/>
    <n v="0.15"/>
    <x v="2"/>
    <s v="COMPLETED"/>
    <x v="4"/>
    <s v="Follow up needed_x0009_"/>
    <s v="Daniel Sheikh"/>
    <x v="0"/>
    <x v="4"/>
    <x v="1"/>
    <s v="Bank Transfer"/>
    <x v="2"/>
    <n v="9"/>
    <n v="270.19"/>
    <x v="54"/>
    <n v="0.15"/>
    <s v="Follow up needed"/>
    <s v="High Value"/>
    <n v="2431.71"/>
    <s v="ORD-1114"/>
    <n v="1114"/>
    <s v="Feb-2024"/>
    <d v="2024-02-29T00:00:00"/>
    <s v="daniel"/>
    <n v="0.15"/>
  </r>
  <r>
    <s v="ORD-1020"/>
    <s v="January 01, 2024"/>
    <s v="john ali"/>
    <s v=" South"/>
    <m/>
    <s v="stationery"/>
    <s v="Sticky Notes"/>
    <s v="in-store"/>
    <n v="7"/>
    <n v="258.14999999999998"/>
    <s v="10%"/>
    <x v="1"/>
    <s v="Refunded"/>
    <x v="3"/>
    <s v="Bulk order - business account"/>
    <s v="John Ali"/>
    <x v="2"/>
    <x v="4"/>
    <x v="0"/>
    <s v="Credit Card"/>
    <x v="3"/>
    <n v="7"/>
    <n v="258.14999999999998"/>
    <x v="159"/>
    <s v="10%"/>
    <s v="Bulk order - business account"/>
    <s v="High Value"/>
    <n v="1807.0499999999997"/>
    <s v="ORD-1020"/>
    <n v="1020"/>
    <s v="Jan-2024"/>
    <d v="2024-01-31T00:00:00"/>
    <s v="John"/>
    <n v="0.1"/>
  </r>
  <r>
    <s v="ORD-1141"/>
    <s v="05/14/2024"/>
    <s v="sofia smith"/>
    <s v="EAST"/>
    <s v="Sialkot"/>
    <s v="stationery"/>
    <s v="Sticky Notes"/>
    <s v="In-store "/>
    <s v=" 11 "/>
    <n v="238.15"/>
    <m/>
    <x v="3"/>
    <s v="COMPLETED"/>
    <x v="4"/>
    <s v="Gift wrap requested"/>
    <s v="Sofia Smith"/>
    <x v="3"/>
    <x v="4"/>
    <x v="0"/>
    <s v="Cash"/>
    <x v="2"/>
    <n v="11"/>
    <n v="238.15"/>
    <x v="108"/>
    <n v="0"/>
    <s v="Gift wrap requested"/>
    <s v="High Value"/>
    <n v="2619.65"/>
    <s v="ORD-1141"/>
    <n v="1141"/>
    <s v="May-2024"/>
    <d v="2024-05-31T00:00:00"/>
    <s v="Sofia"/>
    <n v="0"/>
  </r>
  <r>
    <s v="ORD-1141"/>
    <s v="05/14/2024"/>
    <s v="sofia smith"/>
    <s v="EAST"/>
    <s v="Sialkot"/>
    <s v="stationery"/>
    <s v="Sticky Notes"/>
    <s v="In-store "/>
    <s v=" 11 "/>
    <n v="238.15"/>
    <m/>
    <x v="3"/>
    <s v="COMPLETED"/>
    <x v="4"/>
    <s v="Gift wrap requested"/>
    <s v="Sofia Smith"/>
    <x v="3"/>
    <x v="4"/>
    <x v="0"/>
    <s v="Cash"/>
    <x v="2"/>
    <n v="11"/>
    <n v="238.15"/>
    <x v="108"/>
    <n v="0"/>
    <s v="Gift wrap requested"/>
    <s v="High Value"/>
    <n v="2619.65"/>
    <s v="ORD-1141"/>
    <n v="1141"/>
    <s v="May-2024"/>
    <d v="2024-05-31T00:00:00"/>
    <s v="Sofia"/>
    <n v="0"/>
  </r>
  <r>
    <s v="ORD-1054"/>
    <s v="26-Nov-24"/>
    <s v="Olivia Lewis "/>
    <s v="South "/>
    <s v="Karachi"/>
    <s v="stationery"/>
    <s v="Sticky Notes"/>
    <s v="Online"/>
    <n v="12"/>
    <n v="224.47"/>
    <n v="0"/>
    <x v="6"/>
    <s v="cancelled"/>
    <x v="5"/>
    <s v="Gift wrap requested"/>
    <s v="Olivia Lewis"/>
    <x v="2"/>
    <x v="4"/>
    <x v="1"/>
    <s v="Cash"/>
    <x v="0"/>
    <n v="12"/>
    <n v="224.47"/>
    <x v="81"/>
    <n v="0"/>
    <s v="Gift wrap requested"/>
    <s v="High Value"/>
    <n v="2693.64"/>
    <s v="ORD-1054"/>
    <n v="1054"/>
    <s v="Nov-2024"/>
    <d v="2024-11-30T00:00:00"/>
    <s v="OLIVIA"/>
    <n v="0"/>
  </r>
  <r>
    <s v="ORD-1120"/>
    <s v="27/03/2024"/>
    <s v=" Grace Farooq"/>
    <s v="west"/>
    <s v="Quetta"/>
    <s v="stationery"/>
    <s v="Highlighter Set"/>
    <s v="in-store"/>
    <m/>
    <n v="209.84"/>
    <n v="0.2"/>
    <x v="0"/>
    <s v="PENDING"/>
    <x v="5"/>
    <s v="Follow up needed_x0009_"/>
    <s v="Grace Farooq"/>
    <x v="0"/>
    <x v="4"/>
    <x v="0"/>
    <s v="Credit Card"/>
    <x v="1"/>
    <s v=""/>
    <n v="209.84"/>
    <x v="160"/>
    <n v="0.2"/>
    <s v="Follow up needed"/>
    <s v="Review"/>
    <n v="0"/>
    <s v="ORD-1120"/>
    <n v="1120"/>
    <s v="Mar-2024"/>
    <d v="2024-03-31T00:00:00"/>
    <s v="Grace"/>
    <n v="0.2"/>
  </r>
  <r>
    <s v="ORD-1169"/>
    <s v="03-Feb-24"/>
    <s v="David Raza "/>
    <s v="west"/>
    <s v="Peshawar"/>
    <s v="stationery"/>
    <s v="Ballpoint Pens"/>
    <s v="instore"/>
    <n v="4"/>
    <n v="206.55"/>
    <n v="0.1"/>
    <x v="1"/>
    <s v="PENDING"/>
    <x v="2"/>
    <s v="Bulk order - business account"/>
    <s v="David Raza"/>
    <x v="0"/>
    <x v="4"/>
    <x v="0"/>
    <s v="Credit Card"/>
    <x v="1"/>
    <n v="4"/>
    <n v="206.55"/>
    <x v="161"/>
    <n v="0.1"/>
    <s v="Bulk order - business account"/>
    <s v="Standard"/>
    <n v="826.2"/>
    <s v="ORD-1169"/>
    <n v="1169"/>
    <s v="Feb-2024"/>
    <d v="2024-02-29T00:00:00"/>
    <s v="David"/>
    <n v="0.1"/>
  </r>
  <r>
    <s v="ORD-1201"/>
    <s v="2024-11-12"/>
    <s v="Sarah Johnson"/>
    <s v="north"/>
    <s v="Lahore"/>
    <s v="stationery"/>
    <s v="Sticky Notes"/>
    <s v="In Store"/>
    <n v="7"/>
    <n v="205.2"/>
    <n v="0"/>
    <x v="3"/>
    <s v="COMPLETED"/>
    <x v="0"/>
    <s v="Gift wrap requested"/>
    <s v="Sarah Johnson"/>
    <x v="1"/>
    <x v="4"/>
    <x v="0"/>
    <s v="Cash"/>
    <x v="2"/>
    <n v="7"/>
    <n v="205.2"/>
    <x v="129"/>
    <n v="0"/>
    <s v="Gift wrap requested"/>
    <s v="High Value"/>
    <n v="1436.3999999999999"/>
    <s v="ORD-1201"/>
    <n v="1201"/>
    <s v="Nov-2024"/>
    <d v="2024-11-30T00:00:00"/>
    <s v="sarah"/>
    <n v="0"/>
  </r>
  <r>
    <s v="ORD-1165"/>
    <s v="December 12, 2024"/>
    <s v="Olivia  Lewis"/>
    <s v="Nort"/>
    <s v="Faisalabad"/>
    <s v="stationery"/>
    <s v="Highlighter Set"/>
    <s v="Online "/>
    <n v="8"/>
    <n v="200.43"/>
    <m/>
    <x v="3"/>
    <s v="PENDING"/>
    <x v="5"/>
    <s v="Follow up needed_x0009_"/>
    <s v="Olivia Lewis"/>
    <x v="1"/>
    <x v="4"/>
    <x v="1"/>
    <s v="Cash"/>
    <x v="1"/>
    <n v="8"/>
    <n v="200.43"/>
    <x v="68"/>
    <n v="0"/>
    <s v="Follow up needed"/>
    <s v="High Value"/>
    <n v="1603.44"/>
    <s v="ORD-1165"/>
    <n v="1165"/>
    <s v="Dec-2024"/>
    <d v="2024-12-31T00:00:00"/>
    <s v="OLIVIA"/>
    <n v="0"/>
  </r>
  <r>
    <s v="ORD-1026"/>
    <s v="2024-09-01"/>
    <s v="Bilal Brown "/>
    <s v="South"/>
    <s v="Hyderabad"/>
    <s v="stationery"/>
    <s v="Desk Organizer"/>
    <s v="Online"/>
    <n v="4"/>
    <n v="197.79"/>
    <n v="0"/>
    <x v="2"/>
    <s v="PENDING"/>
    <x v="3"/>
    <m/>
    <s v="Bilal Brown"/>
    <x v="2"/>
    <x v="4"/>
    <x v="1"/>
    <s v="Bank Transfer"/>
    <x v="1"/>
    <n v="4"/>
    <n v="197.79"/>
    <x v="162"/>
    <n v="0"/>
    <s v=""/>
    <s v="Standard"/>
    <n v="791.16"/>
    <s v="ORD-1026"/>
    <n v="1026"/>
    <s v="Sep-2024"/>
    <d v="2024-09-30T00:00:00"/>
    <s v="bilal"/>
    <n v="0"/>
  </r>
  <r>
    <s v="ORD-1112"/>
    <s v="24/11/2024"/>
    <s v="Robert Hussain"/>
    <s v="South"/>
    <s v="Karachi"/>
    <s v="stationery"/>
    <s v="Sticky Notes"/>
    <s v="Online"/>
    <n v="4"/>
    <n v="193.02"/>
    <n v="0.1"/>
    <x v="4"/>
    <s v="Refunded"/>
    <x v="3"/>
    <s v="Damaged on arrival - replaced"/>
    <s v="Robert Hussain"/>
    <x v="2"/>
    <x v="4"/>
    <x v="1"/>
    <s v="Credit Card"/>
    <x v="3"/>
    <n v="4"/>
    <n v="193.02"/>
    <x v="163"/>
    <n v="0.1"/>
    <s v="Damaged on arrival - replaced"/>
    <s v="Standard"/>
    <n v="772.08"/>
    <s v="ORD-1112"/>
    <n v="1112"/>
    <s v="Nov-2024"/>
    <d v="2024-11-30T00:00:00"/>
    <s v="Robert"/>
    <n v="0.1"/>
  </r>
  <r>
    <s v="ORD-1154"/>
    <s v="05/18/2024"/>
    <s v="Aisha Khan"/>
    <s v=" East"/>
    <s v="Multan"/>
    <s v="stationery"/>
    <s v="Highlighter Set"/>
    <s v="Online"/>
    <n v="7"/>
    <n v="182.76"/>
    <n v="0.2"/>
    <x v="3"/>
    <s v="cancelled"/>
    <x v="3"/>
    <s v="Gift wrap requested"/>
    <s v="Aisha Khan"/>
    <x v="3"/>
    <x v="4"/>
    <x v="1"/>
    <s v="Cash"/>
    <x v="0"/>
    <n v="7"/>
    <n v="182.76"/>
    <x v="164"/>
    <n v="0.2"/>
    <s v="Gift wrap requested"/>
    <s v="High Value"/>
    <n v="1279.32"/>
    <s v="ORD-1154"/>
    <n v="1154"/>
    <s v="May-2024"/>
    <d v="2024-05-31T00:00:00"/>
    <s v="Aisha"/>
    <n v="0.2"/>
  </r>
  <r>
    <s v="ORD-1108"/>
    <s v="07/28/2024"/>
    <s v="Laura  Raza"/>
    <s v="South "/>
    <s v="Hyderabad"/>
    <s v="stationery"/>
    <s v="Desk Organizer"/>
    <s v="In-store "/>
    <m/>
    <n v="175.49"/>
    <n v="0.2"/>
    <x v="5"/>
    <s v="Refunded"/>
    <x v="3"/>
    <s v="Leave at front desk  "/>
    <s v="Laura Raza"/>
    <x v="2"/>
    <x v="4"/>
    <x v="0"/>
    <s v="Debit Card"/>
    <x v="3"/>
    <s v=""/>
    <n v="175.49"/>
    <x v="74"/>
    <n v="0.2"/>
    <s v="Leave at front desk"/>
    <s v="Review"/>
    <n v="0"/>
    <s v="ORD-1108"/>
    <n v="1108"/>
    <s v="Jul-2024"/>
    <d v="2024-07-31T00:00:00"/>
    <s v="Laura"/>
    <n v="0.2"/>
  </r>
  <r>
    <s v="ORD-1187"/>
    <s v="25/11/2024"/>
    <s v=" David Farooq"/>
    <s v="north"/>
    <s v="Faisalabad"/>
    <s v="stationery"/>
    <s v="Desk Organizer"/>
    <s v="Online"/>
    <n v="2"/>
    <n v="163.71"/>
    <m/>
    <x v="3"/>
    <s v="Complete"/>
    <x v="5"/>
    <s v="  "/>
    <s v="David Farooq"/>
    <x v="1"/>
    <x v="4"/>
    <x v="1"/>
    <s v="Cash"/>
    <x v="2"/>
    <n v="2"/>
    <n v="163.71"/>
    <x v="165"/>
    <n v="0"/>
    <s v=""/>
    <s v="Standard"/>
    <n v="327.42"/>
    <s v="ORD-1187"/>
    <n v="1187"/>
    <s v="Nov-2024"/>
    <d v="2024-11-30T00:00:00"/>
    <s v="David"/>
    <n v="0"/>
  </r>
  <r>
    <s v="ORD-1139"/>
    <s v="06-May-24"/>
    <s v="ZARA MALIK"/>
    <s v="EAST"/>
    <s v="Multan"/>
    <s v="stationery"/>
    <s v="Ballpoint Pens"/>
    <s v="Online"/>
    <s v=" 2 "/>
    <n v="65.959999999999994"/>
    <n v="0.15"/>
    <x v="5"/>
    <s v="Refunded"/>
    <x v="2"/>
    <s v="  Customer called twice "/>
    <s v="Zara Malik"/>
    <x v="3"/>
    <x v="4"/>
    <x v="1"/>
    <s v="Debit Card"/>
    <x v="3"/>
    <n v="2"/>
    <n v="65.959999999999994"/>
    <x v="5"/>
    <n v="0.15"/>
    <s v="Customer called twice"/>
    <s v="Standard"/>
    <n v="131.91999999999999"/>
    <s v="ORD-1139"/>
    <n v="1139"/>
    <s v="May-2024"/>
    <d v="2024-05-31T00:00:00"/>
    <s v="zara"/>
    <n v="0.15"/>
  </r>
  <r>
    <s v="ORD-1064"/>
    <s v="June 09, 2024"/>
    <s v="Robert Ali"/>
    <s v="West "/>
    <s v="Quetta"/>
    <s v="stationery"/>
    <s v="Highlighter Set"/>
    <s v="In-store "/>
    <n v="11"/>
    <n v="40.68"/>
    <m/>
    <x v="1"/>
    <s v="cancelled"/>
    <x v="4"/>
    <s v="  "/>
    <s v="Robert Ali"/>
    <x v="0"/>
    <x v="4"/>
    <x v="0"/>
    <s v="Credit Card"/>
    <x v="0"/>
    <n v="11"/>
    <n v="40.68"/>
    <x v="33"/>
    <n v="0"/>
    <s v=""/>
    <s v="Standard"/>
    <n v="447.48"/>
    <s v="ORD-1064"/>
    <n v="1064"/>
    <s v="Jun-2024"/>
    <d v="2024-06-30T00:00:00"/>
    <s v="Robert"/>
    <n v="0"/>
  </r>
  <r>
    <s v="ORD-1219"/>
    <s v="29/06/2024"/>
    <s v="Daniel  Smith"/>
    <s v="EAST"/>
    <s v="Multan"/>
    <s v="stationery"/>
    <s v="Highlighter Set"/>
    <s v="Online"/>
    <m/>
    <m/>
    <m/>
    <x v="4"/>
    <s v="Refunded"/>
    <x v="3"/>
    <s v="  "/>
    <s v="Daniel Smith"/>
    <x v="3"/>
    <x v="4"/>
    <x v="1"/>
    <s v="Credit Card"/>
    <x v="3"/>
    <s v=""/>
    <s v=""/>
    <x v="166"/>
    <n v="0"/>
    <s v=""/>
    <s v="Review"/>
    <n v="0"/>
    <s v="ORD-1219"/>
    <n v="1219"/>
    <s v="Jun-2024"/>
    <d v="2024-06-30T00:00:00"/>
    <s v="daniel"/>
    <n v="0"/>
  </r>
  <r>
    <s v="ORD-1178"/>
    <s v="21-Dec-24"/>
    <s v="TOM HUSSAIN"/>
    <s v="West "/>
    <m/>
    <s v="stationery"/>
    <s v="Sticky Notes"/>
    <s v="Online"/>
    <n v="6"/>
    <m/>
    <m/>
    <x v="2"/>
    <s v="Complete"/>
    <x v="2"/>
    <s v="Leave at front desk  "/>
    <s v="Tom Hussain"/>
    <x v="0"/>
    <x v="4"/>
    <x v="1"/>
    <s v="Bank Transfer"/>
    <x v="2"/>
    <n v="6"/>
    <s v=""/>
    <x v="167"/>
    <n v="0"/>
    <s v="Leave at front desk"/>
    <s v="Review"/>
    <n v="0"/>
    <s v="ORD-1178"/>
    <n v="1178"/>
    <s v="Dec-2024"/>
    <d v="2024-12-31T00:00:00"/>
    <s v="tom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7813A-5DB5-4752-9A9A-438E08876E28}" name="PivotTable1" cacheId="1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4">
  <location ref="A3:C10" firstHeaderRow="1" firstDataRow="2" firstDataCol="1"/>
  <pivotFields count="3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/>
    </i>
    <i>
      <x v="4"/>
    </i>
    <i>
      <x v="3"/>
    </i>
    <i>
      <x v="1"/>
    </i>
    <i t="grand">
      <x/>
    </i>
  </rowItems>
  <colFields count="1">
    <field x="1"/>
  </colFields>
  <colItems count="2">
    <i>
      <x/>
    </i>
    <i>
      <x v="1"/>
    </i>
  </colItems>
  <dataFields count="1">
    <dataField name="Sum of Revenue" fld="2" baseField="0" baseItem="1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Revenue"/>
    <pivotHierarchy dragToData="1" caption="Sum of Revenue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_Working.xlsx!tblOrders">
        <x15:activeTabTopLevelEntity name="[tbl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BAD72-9A11-4F67-81A5-D642B4585B7D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169">
        <item x="159"/>
        <item x="76"/>
        <item x="156"/>
        <item x="158"/>
        <item x="106"/>
        <item x="2"/>
        <item x="140"/>
        <item x="122"/>
        <item x="40"/>
        <item x="23"/>
        <item x="161"/>
        <item x="143"/>
        <item x="103"/>
        <item x="29"/>
        <item x="117"/>
        <item x="65"/>
        <item x="54"/>
        <item x="62"/>
        <item x="11"/>
        <item x="4"/>
        <item x="113"/>
        <item x="30"/>
        <item x="1"/>
        <item x="84"/>
        <item x="88"/>
        <item x="66"/>
        <item x="27"/>
        <item x="73"/>
        <item x="123"/>
        <item x="155"/>
        <item x="44"/>
        <item x="144"/>
        <item x="38"/>
        <item x="111"/>
        <item x="18"/>
        <item x="120"/>
        <item x="160"/>
        <item x="3"/>
        <item x="110"/>
        <item x="82"/>
        <item x="71"/>
        <item x="78"/>
        <item x="67"/>
        <item x="16"/>
        <item x="134"/>
        <item x="77"/>
        <item x="124"/>
        <item x="153"/>
        <item x="131"/>
        <item x="24"/>
        <item x="59"/>
        <item x="138"/>
        <item x="22"/>
        <item x="146"/>
        <item x="136"/>
        <item x="99"/>
        <item x="5"/>
        <item x="107"/>
        <item x="26"/>
        <item x="108"/>
        <item x="164"/>
        <item x="101"/>
        <item x="39"/>
        <item x="46"/>
        <item x="116"/>
        <item x="50"/>
        <item x="148"/>
        <item x="36"/>
        <item x="15"/>
        <item x="96"/>
        <item x="17"/>
        <item x="33"/>
        <item x="47"/>
        <item x="28"/>
        <item x="75"/>
        <item x="34"/>
        <item x="102"/>
        <item x="12"/>
        <item x="142"/>
        <item x="166"/>
        <item x="37"/>
        <item x="147"/>
        <item x="13"/>
        <item x="45"/>
        <item x="9"/>
        <item x="128"/>
        <item x="135"/>
        <item x="114"/>
        <item x="6"/>
        <item x="35"/>
        <item x="74"/>
        <item x="151"/>
        <item x="49"/>
        <item x="139"/>
        <item x="125"/>
        <item x="92"/>
        <item x="119"/>
        <item x="89"/>
        <item x="57"/>
        <item x="32"/>
        <item x="93"/>
        <item x="85"/>
        <item x="14"/>
        <item x="137"/>
        <item x="42"/>
        <item x="94"/>
        <item x="10"/>
        <item x="19"/>
        <item x="86"/>
        <item x="115"/>
        <item x="56"/>
        <item x="162"/>
        <item x="79"/>
        <item x="141"/>
        <item x="157"/>
        <item x="87"/>
        <item x="61"/>
        <item x="8"/>
        <item x="60"/>
        <item x="98"/>
        <item x="112"/>
        <item x="52"/>
        <item x="64"/>
        <item x="0"/>
        <item x="41"/>
        <item x="7"/>
        <item x="97"/>
        <item x="150"/>
        <item x="95"/>
        <item x="132"/>
        <item x="43"/>
        <item x="152"/>
        <item x="90"/>
        <item x="100"/>
        <item x="70"/>
        <item x="21"/>
        <item x="25"/>
        <item x="145"/>
        <item x="83"/>
        <item x="149"/>
        <item x="130"/>
        <item x="53"/>
        <item x="118"/>
        <item x="129"/>
        <item x="127"/>
        <item x="126"/>
        <item x="121"/>
        <item x="163"/>
        <item x="165"/>
        <item x="81"/>
        <item x="154"/>
        <item x="105"/>
        <item x="31"/>
        <item x="69"/>
        <item x="55"/>
        <item x="104"/>
        <item x="68"/>
        <item x="91"/>
        <item x="80"/>
        <item x="51"/>
        <item x="48"/>
        <item x="133"/>
        <item x="167"/>
        <item x="63"/>
        <item x="58"/>
        <item x="72"/>
        <item x="109"/>
        <item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 Count" fld="27" subtotal="count" baseField="16" baseItem="0"/>
    <dataField name="Average Order Value" fld="27" subtotal="average" baseField="16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CABDE-A87F-4A51-AD0E-794121A47194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2"/>
        <item x="3"/>
        <item x="6"/>
        <item x="4"/>
        <item x="1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2"/>
        <item x="1"/>
        <item x="3"/>
        <item t="default"/>
      </items>
    </pivotField>
    <pivotField showAll="0"/>
    <pivotField showAll="0"/>
    <pivotField numFmtId="14" showAll="0">
      <items count="169">
        <item x="159"/>
        <item x="76"/>
        <item x="156"/>
        <item x="158"/>
        <item x="106"/>
        <item x="2"/>
        <item x="140"/>
        <item x="122"/>
        <item x="40"/>
        <item x="23"/>
        <item x="161"/>
        <item x="143"/>
        <item x="103"/>
        <item x="29"/>
        <item x="117"/>
        <item x="65"/>
        <item x="54"/>
        <item x="62"/>
        <item x="11"/>
        <item x="4"/>
        <item x="113"/>
        <item x="30"/>
        <item x="1"/>
        <item x="84"/>
        <item x="88"/>
        <item x="66"/>
        <item x="27"/>
        <item x="73"/>
        <item x="123"/>
        <item x="155"/>
        <item x="44"/>
        <item x="144"/>
        <item x="38"/>
        <item x="111"/>
        <item x="18"/>
        <item x="120"/>
        <item x="160"/>
        <item x="3"/>
        <item x="110"/>
        <item x="82"/>
        <item x="71"/>
        <item x="78"/>
        <item x="67"/>
        <item x="16"/>
        <item x="134"/>
        <item x="77"/>
        <item x="124"/>
        <item x="153"/>
        <item x="131"/>
        <item x="24"/>
        <item x="59"/>
        <item x="138"/>
        <item x="22"/>
        <item x="146"/>
        <item x="136"/>
        <item x="99"/>
        <item x="5"/>
        <item x="107"/>
        <item x="26"/>
        <item x="108"/>
        <item x="164"/>
        <item x="101"/>
        <item x="39"/>
        <item x="46"/>
        <item x="116"/>
        <item x="50"/>
        <item x="148"/>
        <item x="36"/>
        <item x="15"/>
        <item x="96"/>
        <item x="17"/>
        <item x="33"/>
        <item x="47"/>
        <item x="28"/>
        <item x="75"/>
        <item x="34"/>
        <item x="102"/>
        <item x="12"/>
        <item x="142"/>
        <item x="166"/>
        <item x="37"/>
        <item x="147"/>
        <item x="13"/>
        <item x="45"/>
        <item x="9"/>
        <item x="128"/>
        <item x="135"/>
        <item x="114"/>
        <item x="6"/>
        <item x="35"/>
        <item x="74"/>
        <item x="151"/>
        <item x="49"/>
        <item x="139"/>
        <item x="125"/>
        <item x="92"/>
        <item x="119"/>
        <item x="89"/>
        <item x="57"/>
        <item x="32"/>
        <item x="93"/>
        <item x="85"/>
        <item x="14"/>
        <item x="137"/>
        <item x="42"/>
        <item x="94"/>
        <item x="10"/>
        <item x="19"/>
        <item x="86"/>
        <item x="115"/>
        <item x="56"/>
        <item x="162"/>
        <item x="79"/>
        <item x="141"/>
        <item x="157"/>
        <item x="87"/>
        <item x="61"/>
        <item x="8"/>
        <item x="60"/>
        <item x="98"/>
        <item x="112"/>
        <item x="52"/>
        <item x="64"/>
        <item x="0"/>
        <item x="41"/>
        <item x="7"/>
        <item x="97"/>
        <item x="150"/>
        <item x="95"/>
        <item x="132"/>
        <item x="43"/>
        <item x="152"/>
        <item x="90"/>
        <item x="100"/>
        <item x="70"/>
        <item x="21"/>
        <item x="25"/>
        <item x="145"/>
        <item x="83"/>
        <item x="149"/>
        <item x="130"/>
        <item x="53"/>
        <item x="118"/>
        <item x="129"/>
        <item x="127"/>
        <item x="126"/>
        <item x="121"/>
        <item x="163"/>
        <item x="165"/>
        <item x="81"/>
        <item x="154"/>
        <item x="105"/>
        <item x="31"/>
        <item x="69"/>
        <item x="55"/>
        <item x="104"/>
        <item x="68"/>
        <item x="91"/>
        <item x="80"/>
        <item x="51"/>
        <item x="48"/>
        <item x="133"/>
        <item x="167"/>
        <item x="63"/>
        <item x="58"/>
        <item x="72"/>
        <item x="109"/>
        <item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8">
    <i>
      <x v="4"/>
    </i>
    <i>
      <x v="1"/>
    </i>
    <i>
      <x v="6"/>
    </i>
    <i>
      <x v="2"/>
    </i>
    <i>
      <x/>
    </i>
    <i>
      <x v="3"/>
    </i>
    <i>
      <x v="5"/>
    </i>
    <i t="grand">
      <x/>
    </i>
  </rowItems>
  <colItems count="1">
    <i/>
  </colItems>
  <pageFields count="1">
    <pageField fld="20" item="1" hier="-1"/>
  </pageFields>
  <dataFields count="1">
    <dataField name="Sum of Revenue" fld="27" baseField="11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6FD4C-A862-4296-B331-1DE9880B233B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7" firstHeaderRow="0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69">
        <item x="159"/>
        <item x="76"/>
        <item x="156"/>
        <item x="158"/>
        <item x="106"/>
        <item x="2"/>
        <item x="140"/>
        <item x="122"/>
        <item x="40"/>
        <item x="23"/>
        <item x="161"/>
        <item x="143"/>
        <item x="103"/>
        <item x="29"/>
        <item x="117"/>
        <item x="65"/>
        <item x="54"/>
        <item x="62"/>
        <item x="11"/>
        <item x="4"/>
        <item x="113"/>
        <item x="30"/>
        <item x="1"/>
        <item x="84"/>
        <item x="88"/>
        <item x="66"/>
        <item x="27"/>
        <item x="73"/>
        <item x="123"/>
        <item x="155"/>
        <item x="44"/>
        <item x="144"/>
        <item x="38"/>
        <item x="111"/>
        <item x="18"/>
        <item x="120"/>
        <item x="160"/>
        <item x="3"/>
        <item x="110"/>
        <item x="82"/>
        <item x="71"/>
        <item x="78"/>
        <item x="67"/>
        <item x="16"/>
        <item x="134"/>
        <item x="77"/>
        <item x="124"/>
        <item x="153"/>
        <item x="131"/>
        <item x="24"/>
        <item x="59"/>
        <item x="138"/>
        <item x="22"/>
        <item x="146"/>
        <item x="136"/>
        <item x="99"/>
        <item x="5"/>
        <item x="107"/>
        <item x="26"/>
        <item x="108"/>
        <item x="164"/>
        <item x="101"/>
        <item x="39"/>
        <item x="46"/>
        <item x="116"/>
        <item x="50"/>
        <item x="148"/>
        <item x="36"/>
        <item x="15"/>
        <item x="96"/>
        <item x="17"/>
        <item x="33"/>
        <item x="47"/>
        <item x="28"/>
        <item x="75"/>
        <item x="34"/>
        <item x="102"/>
        <item x="12"/>
        <item x="142"/>
        <item x="166"/>
        <item x="37"/>
        <item x="147"/>
        <item x="13"/>
        <item x="45"/>
        <item x="9"/>
        <item x="128"/>
        <item x="135"/>
        <item x="114"/>
        <item x="6"/>
        <item x="35"/>
        <item x="74"/>
        <item x="151"/>
        <item x="49"/>
        <item x="139"/>
        <item x="125"/>
        <item x="92"/>
        <item x="119"/>
        <item x="89"/>
        <item x="57"/>
        <item x="32"/>
        <item x="93"/>
        <item x="85"/>
        <item x="14"/>
        <item x="137"/>
        <item x="42"/>
        <item x="94"/>
        <item x="10"/>
        <item x="19"/>
        <item x="86"/>
        <item x="115"/>
        <item x="56"/>
        <item x="162"/>
        <item x="79"/>
        <item x="141"/>
        <item x="157"/>
        <item x="87"/>
        <item x="61"/>
        <item x="8"/>
        <item x="60"/>
        <item x="98"/>
        <item x="112"/>
        <item x="52"/>
        <item x="64"/>
        <item x="0"/>
        <item x="41"/>
        <item x="7"/>
        <item x="97"/>
        <item x="150"/>
        <item x="95"/>
        <item x="132"/>
        <item x="43"/>
        <item x="152"/>
        <item x="90"/>
        <item x="100"/>
        <item x="70"/>
        <item x="21"/>
        <item x="25"/>
        <item x="145"/>
        <item x="83"/>
        <item x="149"/>
        <item x="130"/>
        <item x="53"/>
        <item x="118"/>
        <item x="129"/>
        <item x="127"/>
        <item x="126"/>
        <item x="121"/>
        <item x="163"/>
        <item x="165"/>
        <item x="81"/>
        <item x="154"/>
        <item x="105"/>
        <item x="31"/>
        <item x="69"/>
        <item x="55"/>
        <item x="104"/>
        <item x="68"/>
        <item x="91"/>
        <item x="80"/>
        <item x="51"/>
        <item x="48"/>
        <item x="133"/>
        <item x="167"/>
        <item x="63"/>
        <item x="58"/>
        <item x="72"/>
        <item x="109"/>
        <item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axis="axisRow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35"/>
    <field x="34"/>
  </rowFields>
  <rowItems count="1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27" baseField="35" baseItem="5"/>
    <dataField name="OrderCount" fld="27" subtotal="count" baseField="35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6A20F-4B7D-43E5-96B3-C17CFFA04CFF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>
      <items count="169">
        <item x="159"/>
        <item x="76"/>
        <item x="156"/>
        <item x="158"/>
        <item x="106"/>
        <item x="2"/>
        <item x="140"/>
        <item x="122"/>
        <item x="40"/>
        <item x="23"/>
        <item x="161"/>
        <item x="143"/>
        <item x="103"/>
        <item x="29"/>
        <item x="117"/>
        <item x="65"/>
        <item x="54"/>
        <item x="62"/>
        <item x="11"/>
        <item x="4"/>
        <item x="113"/>
        <item x="30"/>
        <item x="1"/>
        <item x="84"/>
        <item x="88"/>
        <item x="66"/>
        <item x="27"/>
        <item x="73"/>
        <item x="123"/>
        <item x="155"/>
        <item x="44"/>
        <item x="144"/>
        <item x="38"/>
        <item x="111"/>
        <item x="18"/>
        <item x="120"/>
        <item x="160"/>
        <item x="3"/>
        <item x="110"/>
        <item x="82"/>
        <item x="71"/>
        <item x="78"/>
        <item x="67"/>
        <item x="16"/>
        <item x="134"/>
        <item x="77"/>
        <item x="124"/>
        <item x="153"/>
        <item x="131"/>
        <item x="24"/>
        <item x="59"/>
        <item x="138"/>
        <item x="22"/>
        <item x="146"/>
        <item x="136"/>
        <item x="99"/>
        <item x="5"/>
        <item x="107"/>
        <item x="26"/>
        <item x="108"/>
        <item x="164"/>
        <item x="101"/>
        <item x="39"/>
        <item x="46"/>
        <item x="116"/>
        <item x="50"/>
        <item x="148"/>
        <item x="36"/>
        <item x="15"/>
        <item x="96"/>
        <item x="17"/>
        <item x="33"/>
        <item x="47"/>
        <item x="28"/>
        <item x="75"/>
        <item x="34"/>
        <item x="102"/>
        <item x="12"/>
        <item x="142"/>
        <item x="166"/>
        <item x="37"/>
        <item x="147"/>
        <item x="13"/>
        <item x="45"/>
        <item x="9"/>
        <item x="128"/>
        <item x="135"/>
        <item x="114"/>
        <item x="6"/>
        <item x="35"/>
        <item x="74"/>
        <item x="151"/>
        <item x="49"/>
        <item x="139"/>
        <item x="125"/>
        <item x="92"/>
        <item x="119"/>
        <item x="89"/>
        <item x="57"/>
        <item x="32"/>
        <item x="93"/>
        <item x="85"/>
        <item x="14"/>
        <item x="137"/>
        <item x="42"/>
        <item x="94"/>
        <item x="10"/>
        <item x="19"/>
        <item x="86"/>
        <item x="115"/>
        <item x="56"/>
        <item x="162"/>
        <item x="79"/>
        <item x="141"/>
        <item x="157"/>
        <item x="87"/>
        <item x="61"/>
        <item x="8"/>
        <item x="60"/>
        <item x="98"/>
        <item x="112"/>
        <item x="52"/>
        <item x="64"/>
        <item x="0"/>
        <item x="41"/>
        <item x="7"/>
        <item x="97"/>
        <item x="150"/>
        <item x="95"/>
        <item x="132"/>
        <item x="43"/>
        <item x="152"/>
        <item x="90"/>
        <item x="100"/>
        <item x="70"/>
        <item x="21"/>
        <item x="25"/>
        <item x="145"/>
        <item x="83"/>
        <item x="149"/>
        <item x="130"/>
        <item x="53"/>
        <item x="118"/>
        <item x="129"/>
        <item x="127"/>
        <item x="126"/>
        <item x="121"/>
        <item x="163"/>
        <item x="165"/>
        <item x="81"/>
        <item x="154"/>
        <item x="105"/>
        <item x="31"/>
        <item x="69"/>
        <item x="55"/>
        <item x="104"/>
        <item x="68"/>
        <item x="91"/>
        <item x="80"/>
        <item x="51"/>
        <item x="48"/>
        <item x="133"/>
        <item x="167"/>
        <item x="63"/>
        <item x="58"/>
        <item x="72"/>
        <item x="109"/>
        <item x="2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7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Average of Discount_Clean" fld="24" subtotal="average" baseField="17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2FDE9-6B82-4EC4-8F2E-AA652BC0D283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3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1"/>
        <item x="3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x="2"/>
        <item x="1"/>
        <item x="3"/>
        <item t="default"/>
      </items>
    </pivotField>
    <pivotField showAll="0"/>
    <pivotField showAll="0"/>
    <pivotField numFmtId="14" showAll="0">
      <items count="169">
        <item x="159"/>
        <item x="76"/>
        <item x="156"/>
        <item x="158"/>
        <item x="106"/>
        <item x="2"/>
        <item x="140"/>
        <item x="122"/>
        <item x="40"/>
        <item x="23"/>
        <item x="161"/>
        <item x="143"/>
        <item x="103"/>
        <item x="29"/>
        <item x="117"/>
        <item x="65"/>
        <item x="54"/>
        <item x="62"/>
        <item x="11"/>
        <item x="4"/>
        <item x="113"/>
        <item x="30"/>
        <item x="1"/>
        <item x="84"/>
        <item x="88"/>
        <item x="66"/>
        <item x="27"/>
        <item x="73"/>
        <item x="123"/>
        <item x="155"/>
        <item x="44"/>
        <item x="144"/>
        <item x="38"/>
        <item x="111"/>
        <item x="18"/>
        <item x="120"/>
        <item x="160"/>
        <item x="3"/>
        <item x="110"/>
        <item x="82"/>
        <item x="71"/>
        <item x="78"/>
        <item x="67"/>
        <item x="16"/>
        <item x="134"/>
        <item x="77"/>
        <item x="124"/>
        <item x="153"/>
        <item x="131"/>
        <item x="24"/>
        <item x="59"/>
        <item x="138"/>
        <item x="22"/>
        <item x="146"/>
        <item x="136"/>
        <item x="99"/>
        <item x="5"/>
        <item x="107"/>
        <item x="26"/>
        <item x="108"/>
        <item x="164"/>
        <item x="101"/>
        <item x="39"/>
        <item x="46"/>
        <item x="116"/>
        <item x="50"/>
        <item x="148"/>
        <item x="36"/>
        <item x="15"/>
        <item x="96"/>
        <item x="17"/>
        <item x="33"/>
        <item x="47"/>
        <item x="28"/>
        <item x="75"/>
        <item x="34"/>
        <item x="102"/>
        <item x="12"/>
        <item x="142"/>
        <item x="166"/>
        <item x="37"/>
        <item x="147"/>
        <item x="13"/>
        <item x="45"/>
        <item x="9"/>
        <item x="128"/>
        <item x="135"/>
        <item x="114"/>
        <item x="6"/>
        <item x="35"/>
        <item x="74"/>
        <item x="151"/>
        <item x="49"/>
        <item x="139"/>
        <item x="125"/>
        <item x="92"/>
        <item x="119"/>
        <item x="89"/>
        <item x="57"/>
        <item x="32"/>
        <item x="93"/>
        <item x="85"/>
        <item x="14"/>
        <item x="137"/>
        <item x="42"/>
        <item x="94"/>
        <item x="10"/>
        <item x="19"/>
        <item x="86"/>
        <item x="115"/>
        <item x="56"/>
        <item x="162"/>
        <item x="79"/>
        <item x="141"/>
        <item x="157"/>
        <item x="87"/>
        <item x="61"/>
        <item x="8"/>
        <item x="60"/>
        <item x="98"/>
        <item x="112"/>
        <item x="52"/>
        <item x="64"/>
        <item x="0"/>
        <item x="41"/>
        <item x="7"/>
        <item x="97"/>
        <item x="150"/>
        <item x="95"/>
        <item x="132"/>
        <item x="43"/>
        <item x="152"/>
        <item x="90"/>
        <item x="100"/>
        <item x="70"/>
        <item x="21"/>
        <item x="25"/>
        <item x="145"/>
        <item x="83"/>
        <item x="149"/>
        <item x="130"/>
        <item x="53"/>
        <item x="118"/>
        <item x="129"/>
        <item x="127"/>
        <item x="126"/>
        <item x="121"/>
        <item x="163"/>
        <item x="165"/>
        <item x="81"/>
        <item x="154"/>
        <item x="105"/>
        <item x="31"/>
        <item x="69"/>
        <item x="55"/>
        <item x="104"/>
        <item x="68"/>
        <item x="91"/>
        <item x="80"/>
        <item x="51"/>
        <item x="48"/>
        <item x="133"/>
        <item x="167"/>
        <item x="63"/>
        <item x="58"/>
        <item x="72"/>
        <item x="10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0" hier="-1"/>
  </pageFields>
  <dataFields count="1">
    <dataField name="Count of OrderID" fld="0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45C76-9988-411A-A1B4-FE8579D7B59B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numFmtId="14" showAll="0">
      <items count="169">
        <item x="159"/>
        <item x="76"/>
        <item x="156"/>
        <item x="158"/>
        <item x="106"/>
        <item x="2"/>
        <item x="140"/>
        <item x="122"/>
        <item x="40"/>
        <item x="23"/>
        <item x="161"/>
        <item x="143"/>
        <item x="103"/>
        <item x="29"/>
        <item x="117"/>
        <item x="65"/>
        <item x="54"/>
        <item x="62"/>
        <item x="11"/>
        <item x="4"/>
        <item x="113"/>
        <item x="30"/>
        <item x="1"/>
        <item x="84"/>
        <item x="88"/>
        <item x="66"/>
        <item x="27"/>
        <item x="73"/>
        <item x="123"/>
        <item x="155"/>
        <item x="44"/>
        <item x="144"/>
        <item x="38"/>
        <item x="111"/>
        <item x="18"/>
        <item x="120"/>
        <item x="160"/>
        <item x="3"/>
        <item x="110"/>
        <item x="82"/>
        <item x="71"/>
        <item x="78"/>
        <item x="67"/>
        <item x="16"/>
        <item x="134"/>
        <item x="77"/>
        <item x="124"/>
        <item x="153"/>
        <item x="131"/>
        <item x="24"/>
        <item x="59"/>
        <item x="138"/>
        <item x="22"/>
        <item x="146"/>
        <item x="136"/>
        <item x="99"/>
        <item x="5"/>
        <item x="107"/>
        <item x="26"/>
        <item x="108"/>
        <item x="164"/>
        <item x="101"/>
        <item x="39"/>
        <item x="46"/>
        <item x="116"/>
        <item x="50"/>
        <item x="148"/>
        <item x="36"/>
        <item x="15"/>
        <item x="96"/>
        <item x="17"/>
        <item x="33"/>
        <item x="47"/>
        <item x="28"/>
        <item x="75"/>
        <item x="34"/>
        <item x="102"/>
        <item x="12"/>
        <item x="142"/>
        <item x="166"/>
        <item x="37"/>
        <item x="147"/>
        <item x="13"/>
        <item x="45"/>
        <item x="9"/>
        <item x="128"/>
        <item x="135"/>
        <item x="114"/>
        <item x="6"/>
        <item x="35"/>
        <item x="74"/>
        <item x="151"/>
        <item x="49"/>
        <item x="139"/>
        <item x="125"/>
        <item x="92"/>
        <item x="119"/>
        <item x="89"/>
        <item x="57"/>
        <item x="32"/>
        <item x="93"/>
        <item x="85"/>
        <item x="14"/>
        <item x="137"/>
        <item x="42"/>
        <item x="94"/>
        <item x="10"/>
        <item x="19"/>
        <item x="86"/>
        <item x="115"/>
        <item x="56"/>
        <item x="162"/>
        <item x="79"/>
        <item x="141"/>
        <item x="157"/>
        <item x="87"/>
        <item x="61"/>
        <item x="8"/>
        <item x="60"/>
        <item x="98"/>
        <item x="112"/>
        <item x="52"/>
        <item x="64"/>
        <item x="0"/>
        <item x="41"/>
        <item x="7"/>
        <item x="97"/>
        <item x="150"/>
        <item x="95"/>
        <item x="132"/>
        <item x="43"/>
        <item x="152"/>
        <item x="90"/>
        <item x="100"/>
        <item x="70"/>
        <item x="21"/>
        <item x="25"/>
        <item x="145"/>
        <item x="83"/>
        <item x="149"/>
        <item x="130"/>
        <item x="53"/>
        <item x="118"/>
        <item x="129"/>
        <item x="127"/>
        <item x="126"/>
        <item x="121"/>
        <item x="163"/>
        <item x="165"/>
        <item x="81"/>
        <item x="154"/>
        <item x="105"/>
        <item x="31"/>
        <item x="69"/>
        <item x="55"/>
        <item x="104"/>
        <item x="68"/>
        <item x="91"/>
        <item x="80"/>
        <item x="51"/>
        <item x="48"/>
        <item x="133"/>
        <item x="167"/>
        <item x="63"/>
        <item x="58"/>
        <item x="72"/>
        <item x="109"/>
        <item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6"/>
    <field x="17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Revenue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BE262-0DD1-4D02-9468-1BE8087B07F5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>
      <items count="169">
        <item x="159"/>
        <item x="76"/>
        <item x="156"/>
        <item x="158"/>
        <item x="106"/>
        <item x="2"/>
        <item x="140"/>
        <item x="122"/>
        <item x="40"/>
        <item x="23"/>
        <item x="161"/>
        <item x="143"/>
        <item x="103"/>
        <item x="29"/>
        <item x="117"/>
        <item x="65"/>
        <item x="54"/>
        <item x="62"/>
        <item x="11"/>
        <item x="4"/>
        <item x="113"/>
        <item x="30"/>
        <item x="1"/>
        <item x="84"/>
        <item x="88"/>
        <item x="66"/>
        <item x="27"/>
        <item x="73"/>
        <item x="123"/>
        <item x="155"/>
        <item x="44"/>
        <item x="144"/>
        <item x="38"/>
        <item x="111"/>
        <item x="18"/>
        <item x="120"/>
        <item x="160"/>
        <item x="3"/>
        <item x="110"/>
        <item x="82"/>
        <item x="71"/>
        <item x="78"/>
        <item x="67"/>
        <item x="16"/>
        <item x="134"/>
        <item x="77"/>
        <item x="124"/>
        <item x="153"/>
        <item x="131"/>
        <item x="24"/>
        <item x="59"/>
        <item x="138"/>
        <item x="22"/>
        <item x="146"/>
        <item x="136"/>
        <item x="99"/>
        <item x="5"/>
        <item x="107"/>
        <item x="26"/>
        <item x="108"/>
        <item x="164"/>
        <item x="101"/>
        <item x="39"/>
        <item x="46"/>
        <item x="116"/>
        <item x="50"/>
        <item x="148"/>
        <item x="36"/>
        <item x="15"/>
        <item x="96"/>
        <item x="17"/>
        <item x="33"/>
        <item x="47"/>
        <item x="28"/>
        <item x="75"/>
        <item x="34"/>
        <item x="102"/>
        <item x="12"/>
        <item x="142"/>
        <item x="166"/>
        <item x="37"/>
        <item x="147"/>
        <item x="13"/>
        <item x="45"/>
        <item x="9"/>
        <item x="128"/>
        <item x="135"/>
        <item x="114"/>
        <item x="6"/>
        <item x="35"/>
        <item x="74"/>
        <item x="151"/>
        <item x="49"/>
        <item x="139"/>
        <item x="125"/>
        <item x="92"/>
        <item x="119"/>
        <item x="89"/>
        <item x="57"/>
        <item x="32"/>
        <item x="93"/>
        <item x="85"/>
        <item x="14"/>
        <item x="137"/>
        <item x="42"/>
        <item x="94"/>
        <item x="10"/>
        <item x="19"/>
        <item x="86"/>
        <item x="115"/>
        <item x="56"/>
        <item x="162"/>
        <item x="79"/>
        <item x="141"/>
        <item x="157"/>
        <item x="87"/>
        <item x="61"/>
        <item x="8"/>
        <item x="60"/>
        <item x="98"/>
        <item x="112"/>
        <item x="52"/>
        <item x="64"/>
        <item x="0"/>
        <item x="41"/>
        <item x="7"/>
        <item x="97"/>
        <item x="150"/>
        <item x="95"/>
        <item x="132"/>
        <item x="43"/>
        <item x="152"/>
        <item x="90"/>
        <item x="100"/>
        <item x="70"/>
        <item x="21"/>
        <item x="25"/>
        <item x="145"/>
        <item x="83"/>
        <item x="149"/>
        <item x="130"/>
        <item x="53"/>
        <item x="118"/>
        <item x="129"/>
        <item x="127"/>
        <item x="126"/>
        <item x="121"/>
        <item x="163"/>
        <item x="165"/>
        <item x="81"/>
        <item x="154"/>
        <item x="105"/>
        <item x="31"/>
        <item x="69"/>
        <item x="55"/>
        <item x="104"/>
        <item x="68"/>
        <item x="91"/>
        <item x="80"/>
        <item x="51"/>
        <item x="48"/>
        <item x="133"/>
        <item x="167"/>
        <item x="63"/>
        <item x="58"/>
        <item x="72"/>
        <item x="109"/>
        <item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8"/>
  </rowFields>
  <rowItems count="3">
    <i>
      <x/>
    </i>
    <i>
      <x v="1"/>
    </i>
    <i t="grand">
      <x/>
    </i>
  </rowItems>
  <colItems count="1">
    <i/>
  </colItems>
  <pageFields count="1">
    <pageField fld="16" hier="-1"/>
  </pageFields>
  <dataFields count="1">
    <dataField name="Sum of Revenue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EFE01-64A2-46A4-9D75-C939E2998303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0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2"/>
        <item x="1"/>
        <item x="3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69">
        <item x="159"/>
        <item x="76"/>
        <item x="156"/>
        <item x="158"/>
        <item x="106"/>
        <item x="2"/>
        <item x="140"/>
        <item x="122"/>
        <item x="40"/>
        <item x="23"/>
        <item x="161"/>
        <item x="143"/>
        <item x="103"/>
        <item x="29"/>
        <item x="117"/>
        <item x="65"/>
        <item x="54"/>
        <item x="62"/>
        <item x="11"/>
        <item x="4"/>
        <item x="113"/>
        <item x="30"/>
        <item x="1"/>
        <item x="84"/>
        <item x="88"/>
        <item x="66"/>
        <item x="27"/>
        <item x="73"/>
        <item x="123"/>
        <item x="155"/>
        <item x="44"/>
        <item x="144"/>
        <item x="38"/>
        <item x="111"/>
        <item x="18"/>
        <item x="120"/>
        <item x="160"/>
        <item x="3"/>
        <item x="110"/>
        <item x="82"/>
        <item x="71"/>
        <item x="78"/>
        <item x="67"/>
        <item x="16"/>
        <item x="134"/>
        <item x="77"/>
        <item x="124"/>
        <item x="153"/>
        <item x="131"/>
        <item x="24"/>
        <item x="59"/>
        <item x="138"/>
        <item x="22"/>
        <item x="146"/>
        <item x="136"/>
        <item x="99"/>
        <item x="5"/>
        <item x="107"/>
        <item x="26"/>
        <item x="108"/>
        <item x="164"/>
        <item x="101"/>
        <item x="39"/>
        <item x="46"/>
        <item x="116"/>
        <item x="50"/>
        <item x="148"/>
        <item x="36"/>
        <item x="15"/>
        <item x="96"/>
        <item x="17"/>
        <item x="33"/>
        <item x="47"/>
        <item x="28"/>
        <item x="75"/>
        <item x="34"/>
        <item x="102"/>
        <item x="12"/>
        <item x="142"/>
        <item x="166"/>
        <item x="37"/>
        <item x="147"/>
        <item x="13"/>
        <item x="45"/>
        <item x="9"/>
        <item x="128"/>
        <item x="135"/>
        <item x="114"/>
        <item x="6"/>
        <item x="35"/>
        <item x="74"/>
        <item x="151"/>
        <item x="49"/>
        <item x="139"/>
        <item x="125"/>
        <item x="92"/>
        <item x="119"/>
        <item x="89"/>
        <item x="57"/>
        <item x="32"/>
        <item x="93"/>
        <item x="85"/>
        <item x="14"/>
        <item x="137"/>
        <item x="42"/>
        <item x="94"/>
        <item x="10"/>
        <item x="19"/>
        <item x="86"/>
        <item x="115"/>
        <item x="56"/>
        <item x="162"/>
        <item x="79"/>
        <item x="141"/>
        <item x="157"/>
        <item x="87"/>
        <item x="61"/>
        <item x="8"/>
        <item x="60"/>
        <item x="98"/>
        <item x="112"/>
        <item x="52"/>
        <item x="64"/>
        <item x="0"/>
        <item x="41"/>
        <item x="7"/>
        <item x="97"/>
        <item x="150"/>
        <item x="95"/>
        <item x="132"/>
        <item x="43"/>
        <item x="152"/>
        <item x="90"/>
        <item x="100"/>
        <item x="70"/>
        <item x="21"/>
        <item x="25"/>
        <item x="145"/>
        <item x="83"/>
        <item x="149"/>
        <item x="130"/>
        <item x="53"/>
        <item x="118"/>
        <item x="129"/>
        <item x="127"/>
        <item x="126"/>
        <item x="121"/>
        <item x="163"/>
        <item x="165"/>
        <item x="81"/>
        <item x="154"/>
        <item x="105"/>
        <item x="31"/>
        <item x="69"/>
        <item x="55"/>
        <item x="104"/>
        <item x="68"/>
        <item x="91"/>
        <item x="80"/>
        <item x="51"/>
        <item x="48"/>
        <item x="133"/>
        <item x="167"/>
        <item x="63"/>
        <item x="58"/>
        <item x="72"/>
        <item x="109"/>
        <item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3"/>
  </rowFields>
  <rowItems count="7">
    <i>
      <x v="4"/>
    </i>
    <i>
      <x v="5"/>
    </i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Revenue" fld="27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7F090-47C3-4D2A-BF5A-7FBE3CCF3CF2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numFmtId="14" showAll="0">
      <items count="169">
        <item x="159"/>
        <item x="76"/>
        <item x="156"/>
        <item x="158"/>
        <item x="106"/>
        <item x="2"/>
        <item x="140"/>
        <item x="122"/>
        <item x="40"/>
        <item x="23"/>
        <item x="161"/>
        <item x="143"/>
        <item x="103"/>
        <item x="29"/>
        <item x="117"/>
        <item x="65"/>
        <item x="54"/>
        <item x="62"/>
        <item x="11"/>
        <item x="4"/>
        <item x="113"/>
        <item x="30"/>
        <item x="1"/>
        <item x="84"/>
        <item x="88"/>
        <item x="66"/>
        <item x="27"/>
        <item x="73"/>
        <item x="123"/>
        <item x="155"/>
        <item x="44"/>
        <item x="144"/>
        <item x="38"/>
        <item x="111"/>
        <item x="18"/>
        <item x="120"/>
        <item x="160"/>
        <item x="3"/>
        <item x="110"/>
        <item x="82"/>
        <item x="71"/>
        <item x="78"/>
        <item x="67"/>
        <item x="16"/>
        <item x="134"/>
        <item x="77"/>
        <item x="124"/>
        <item x="153"/>
        <item x="131"/>
        <item x="24"/>
        <item x="59"/>
        <item x="138"/>
        <item x="22"/>
        <item x="146"/>
        <item x="136"/>
        <item x="99"/>
        <item x="5"/>
        <item x="107"/>
        <item x="26"/>
        <item x="108"/>
        <item x="164"/>
        <item x="101"/>
        <item x="39"/>
        <item x="46"/>
        <item x="116"/>
        <item x="50"/>
        <item x="148"/>
        <item x="36"/>
        <item x="15"/>
        <item x="96"/>
        <item x="17"/>
        <item x="33"/>
        <item x="47"/>
        <item x="28"/>
        <item x="75"/>
        <item x="34"/>
        <item x="102"/>
        <item x="12"/>
        <item x="142"/>
        <item x="166"/>
        <item x="37"/>
        <item x="147"/>
        <item x="13"/>
        <item x="45"/>
        <item x="9"/>
        <item x="128"/>
        <item x="135"/>
        <item x="114"/>
        <item x="6"/>
        <item x="35"/>
        <item x="74"/>
        <item x="151"/>
        <item x="49"/>
        <item x="139"/>
        <item x="125"/>
        <item x="92"/>
        <item x="119"/>
        <item x="89"/>
        <item x="57"/>
        <item x="32"/>
        <item x="93"/>
        <item x="85"/>
        <item x="14"/>
        <item x="137"/>
        <item x="42"/>
        <item x="94"/>
        <item x="10"/>
        <item x="19"/>
        <item x="86"/>
        <item x="115"/>
        <item x="56"/>
        <item x="162"/>
        <item x="79"/>
        <item x="141"/>
        <item x="157"/>
        <item x="87"/>
        <item x="61"/>
        <item x="8"/>
        <item x="60"/>
        <item x="98"/>
        <item x="112"/>
        <item x="52"/>
        <item x="64"/>
        <item x="0"/>
        <item x="41"/>
        <item x="7"/>
        <item x="97"/>
        <item x="150"/>
        <item x="95"/>
        <item x="132"/>
        <item x="43"/>
        <item x="152"/>
        <item x="90"/>
        <item x="100"/>
        <item x="70"/>
        <item x="21"/>
        <item x="25"/>
        <item x="145"/>
        <item x="83"/>
        <item x="149"/>
        <item x="130"/>
        <item x="53"/>
        <item x="118"/>
        <item x="129"/>
        <item x="127"/>
        <item x="126"/>
        <item x="121"/>
        <item x="163"/>
        <item x="165"/>
        <item x="81"/>
        <item x="154"/>
        <item x="105"/>
        <item x="31"/>
        <item x="69"/>
        <item x="55"/>
        <item x="104"/>
        <item x="68"/>
        <item x="91"/>
        <item x="80"/>
        <item x="51"/>
        <item x="48"/>
        <item x="133"/>
        <item x="167"/>
        <item x="63"/>
        <item x="58"/>
        <item x="72"/>
        <item x="10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75672-2394-47D2-9146-39F3540C9A0F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6" firstHeaderRow="0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>
      <items count="169">
        <item x="159"/>
        <item x="76"/>
        <item x="156"/>
        <item x="158"/>
        <item x="106"/>
        <item x="2"/>
        <item x="140"/>
        <item x="122"/>
        <item x="40"/>
        <item x="23"/>
        <item x="161"/>
        <item x="143"/>
        <item x="103"/>
        <item x="29"/>
        <item x="117"/>
        <item x="65"/>
        <item x="54"/>
        <item x="62"/>
        <item x="11"/>
        <item x="4"/>
        <item x="113"/>
        <item x="30"/>
        <item x="1"/>
        <item x="84"/>
        <item x="88"/>
        <item x="66"/>
        <item x="27"/>
        <item x="73"/>
        <item x="123"/>
        <item x="155"/>
        <item x="44"/>
        <item x="144"/>
        <item x="38"/>
        <item x="111"/>
        <item x="18"/>
        <item x="120"/>
        <item x="160"/>
        <item x="3"/>
        <item x="110"/>
        <item x="82"/>
        <item x="71"/>
        <item x="78"/>
        <item x="67"/>
        <item x="16"/>
        <item x="134"/>
        <item x="77"/>
        <item x="124"/>
        <item x="153"/>
        <item x="131"/>
        <item x="24"/>
        <item x="59"/>
        <item x="138"/>
        <item x="22"/>
        <item x="146"/>
        <item x="136"/>
        <item x="99"/>
        <item x="5"/>
        <item x="107"/>
        <item x="26"/>
        <item x="108"/>
        <item x="164"/>
        <item x="101"/>
        <item x="39"/>
        <item x="46"/>
        <item x="116"/>
        <item x="50"/>
        <item x="148"/>
        <item x="36"/>
        <item x="15"/>
        <item x="96"/>
        <item x="17"/>
        <item x="33"/>
        <item x="47"/>
        <item x="28"/>
        <item x="75"/>
        <item x="34"/>
        <item x="102"/>
        <item x="12"/>
        <item x="142"/>
        <item x="166"/>
        <item x="37"/>
        <item x="147"/>
        <item x="13"/>
        <item x="45"/>
        <item x="9"/>
        <item x="128"/>
        <item x="135"/>
        <item x="114"/>
        <item x="6"/>
        <item x="35"/>
        <item x="74"/>
        <item x="151"/>
        <item x="49"/>
        <item x="139"/>
        <item x="125"/>
        <item x="92"/>
        <item x="119"/>
        <item x="89"/>
        <item x="57"/>
        <item x="32"/>
        <item x="93"/>
        <item x="85"/>
        <item x="14"/>
        <item x="137"/>
        <item x="42"/>
        <item x="94"/>
        <item x="10"/>
        <item x="19"/>
        <item x="86"/>
        <item x="115"/>
        <item x="56"/>
        <item x="162"/>
        <item x="79"/>
        <item x="141"/>
        <item x="157"/>
        <item x="87"/>
        <item x="61"/>
        <item x="8"/>
        <item x="60"/>
        <item x="98"/>
        <item x="112"/>
        <item x="52"/>
        <item x="64"/>
        <item x="0"/>
        <item x="41"/>
        <item x="7"/>
        <item x="97"/>
        <item x="150"/>
        <item x="95"/>
        <item x="132"/>
        <item x="43"/>
        <item x="152"/>
        <item x="90"/>
        <item x="100"/>
        <item x="70"/>
        <item x="21"/>
        <item x="25"/>
        <item x="145"/>
        <item x="83"/>
        <item x="149"/>
        <item x="130"/>
        <item x="53"/>
        <item x="118"/>
        <item x="129"/>
        <item x="127"/>
        <item x="126"/>
        <item x="121"/>
        <item x="163"/>
        <item x="165"/>
        <item x="81"/>
        <item x="154"/>
        <item x="105"/>
        <item x="31"/>
        <item x="69"/>
        <item x="55"/>
        <item x="104"/>
        <item x="68"/>
        <item x="91"/>
        <item x="80"/>
        <item x="51"/>
        <item x="48"/>
        <item x="133"/>
        <item x="167"/>
        <item x="63"/>
        <item x="58"/>
        <item x="72"/>
        <item x="109"/>
        <item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dataField="1"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27" baseField="0" baseItem="0"/>
    <dataField name="Average of Discount_Numeric" fld="33" subtotal="average" baseField="18" baseItem="1"/>
  </dataField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9A1E61B-E0DD-491D-AF50-23F0CF7CFCAA}" autoFormatId="16" applyNumberFormats="0" applyBorderFormats="0" applyFontFormats="0" applyPatternFormats="0" applyAlignmentFormats="0" applyWidthHeightFormats="0">
  <queryTableRefresh nextId="35">
    <queryTableFields count="34">
      <queryTableField id="1" name="tblOrders[OrderID]" tableColumnId="1"/>
      <queryTableField id="2" name="tblOrders[OrderDate]" tableColumnId="2"/>
      <queryTableField id="3" name="tblOrders[CustomerName]" tableColumnId="3"/>
      <queryTableField id="4" name="tblOrders[Region]" tableColumnId="4"/>
      <queryTableField id="5" name="tblOrders[City]" tableColumnId="5"/>
      <queryTableField id="6" name="tblOrders[Category]" tableColumnId="6"/>
      <queryTableField id="7" name="tblOrders[Product]" tableColumnId="7"/>
      <queryTableField id="8" name="tblOrders[Channel]" tableColumnId="8"/>
      <queryTableField id="9" name="tblOrders[Quantity]" tableColumnId="9"/>
      <queryTableField id="10" name="tblOrders[UnitPrice]" tableColumnId="10"/>
      <queryTableField id="11" name="tblOrders[Discount]" tableColumnId="11"/>
      <queryTableField id="12" name="tblOrders[PaymentMethod]" tableColumnId="12"/>
      <queryTableField id="13" name="tblOrders[OrderStatus]" tableColumnId="13"/>
      <queryTableField id="14" name="tblOrders[SalesRep]" tableColumnId="14"/>
      <queryTableField id="15" name="tblOrders[Notes]" tableColumnId="15"/>
      <queryTableField id="16" name="tblOrders[CustomerName_Clean]" tableColumnId="16"/>
      <queryTableField id="17" name="tblOrders[Region_Clean]" tableColumnId="17"/>
      <queryTableField id="18" name="tblOrders[Category_Clean]" tableColumnId="18"/>
      <queryTableField id="19" name="tblOrders[Channel_Clean]" tableColumnId="19"/>
      <queryTableField id="20" name="tblOrders[PaymentMethod_Clean]" tableColumnId="20"/>
      <queryTableField id="21" name="tblOrders[OrderStatus_Cleaned]" tableColumnId="21"/>
      <queryTableField id="22" name="tblOrders[Quantity_Clean]" tableColumnId="22"/>
      <queryTableField id="23" name="tblOrders[UnitPrice_Clean]" tableColumnId="23"/>
      <queryTableField id="24" name="tblOrders[OrderDate_Clean]" tableColumnId="24"/>
      <queryTableField id="25" name="tblOrders[Discount_Clean]" tableColumnId="25"/>
      <queryTableField id="26" name="tblOrders[Notes_Clean]" tableColumnId="26"/>
      <queryTableField id="27" name="tblOrders[HighValueFlag]" tableColumnId="27"/>
      <queryTableField id="28" name="tblOrders[Revenue]" tableColumnId="28"/>
      <queryTableField id="29" name="tblOrders[OrderID_Key]" tableColumnId="29"/>
      <queryTableField id="30" name="tblOrders[OrderNumber]" tableColumnId="30"/>
      <queryTableField id="31" name="tblOrders[MonthLabel]" tableColumnId="31"/>
      <queryTableField id="32" name="tblOrders[MonthEndDate]" tableColumnId="32"/>
      <queryTableField id="33" name="tblOrders[FirstName]" tableColumnId="33"/>
      <queryTableField id="34" name="tblOrders[Column1]" tableColumnId="34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62B0C3-D357-4900-921A-89B4FE1A3F63}" name="Table_ExternalData_1" displayName="Table_ExternalData_1" ref="A3:AH52" tableType="queryTable" totalsRowShown="0">
  <autoFilter ref="A3:AH52" xr:uid="{CB62B0C3-D357-4900-921A-89B4FE1A3F63}"/>
  <tableColumns count="34">
    <tableColumn id="1" xr3:uid="{C127E22B-AD40-4450-82B2-9FD3BB52B899}" uniqueName="1" name="tblOrders[OrderID]" queryTableFieldId="1"/>
    <tableColumn id="2" xr3:uid="{7EF47E33-58F0-4EEF-992F-AC467D2C4FAF}" uniqueName="2" name="tblOrders[OrderDate]" queryTableFieldId="2"/>
    <tableColumn id="3" xr3:uid="{043C7312-A20C-4C06-A516-91CD045322F6}" uniqueName="3" name="tblOrders[CustomerName]" queryTableFieldId="3"/>
    <tableColumn id="4" xr3:uid="{908E64B4-6A55-4427-B91B-390D526C66C9}" uniqueName="4" name="tblOrders[Region]" queryTableFieldId="4"/>
    <tableColumn id="5" xr3:uid="{D79498B3-419A-421F-8FBE-77796AB7FB16}" uniqueName="5" name="tblOrders[City]" queryTableFieldId="5"/>
    <tableColumn id="6" xr3:uid="{98130E67-289B-4AB2-B25E-871534290277}" uniqueName="6" name="tblOrders[Category]" queryTableFieldId="6"/>
    <tableColumn id="7" xr3:uid="{4771E7E1-E644-4ECF-9D58-445083A848DA}" uniqueName="7" name="tblOrders[Product]" queryTableFieldId="7"/>
    <tableColumn id="8" xr3:uid="{7B5ED313-1A97-4CEC-9D0E-956E251AC4D7}" uniqueName="8" name="tblOrders[Channel]" queryTableFieldId="8"/>
    <tableColumn id="9" xr3:uid="{90814515-93C0-4C6E-AB02-84A9512952AC}" uniqueName="9" name="tblOrders[Quantity]" queryTableFieldId="9"/>
    <tableColumn id="10" xr3:uid="{473AF53B-D5FD-4F0E-9AC3-66B2ECBAC0A8}" uniqueName="10" name="tblOrders[UnitPrice]" queryTableFieldId="10"/>
    <tableColumn id="11" xr3:uid="{B4E249F2-CEE8-48F0-A751-9C009CFE273E}" uniqueName="11" name="tblOrders[Discount]" queryTableFieldId="11"/>
    <tableColumn id="12" xr3:uid="{9AC818FD-8724-4076-BDB8-0CDC2FC09CBE}" uniqueName="12" name="tblOrders[PaymentMethod]" queryTableFieldId="12"/>
    <tableColumn id="13" xr3:uid="{86AEA39B-D6DE-40D4-AE7A-9FAA92DD0F31}" uniqueName="13" name="tblOrders[OrderStatus]" queryTableFieldId="13"/>
    <tableColumn id="14" xr3:uid="{CC1D010E-D9BB-480A-ADF0-7616F1194907}" uniqueName="14" name="tblOrders[SalesRep]" queryTableFieldId="14"/>
    <tableColumn id="15" xr3:uid="{D310DCF2-B314-4A05-B627-7A6204535958}" uniqueName="15" name="tblOrders[Notes]" queryTableFieldId="15"/>
    <tableColumn id="16" xr3:uid="{2BAE1935-EECB-4187-B71D-88D4B9BCFDEE}" uniqueName="16" name="tblOrders[CustomerName_Clean]" queryTableFieldId="16"/>
    <tableColumn id="17" xr3:uid="{9C97A4AD-8ED4-4188-8E47-87BF5D716FBA}" uniqueName="17" name="tblOrders[Region_Clean]" queryTableFieldId="17"/>
    <tableColumn id="18" xr3:uid="{8E282825-CE9A-4192-8493-E657B38A172B}" uniqueName="18" name="tblOrders[Category_Clean]" queryTableFieldId="18"/>
    <tableColumn id="19" xr3:uid="{C99948F4-69C7-4741-A634-01987B266685}" uniqueName="19" name="tblOrders[Channel_Clean]" queryTableFieldId="19"/>
    <tableColumn id="20" xr3:uid="{8FA3D0F6-5BB4-4605-BC36-0C7B1379D82B}" uniqueName="20" name="tblOrders[PaymentMethod_Clean]" queryTableFieldId="20"/>
    <tableColumn id="21" xr3:uid="{CE68D112-4223-4B80-B0B5-35D0E2E57F89}" uniqueName="21" name="tblOrders[OrderStatus_Cleaned]" queryTableFieldId="21"/>
    <tableColumn id="22" xr3:uid="{EE963F46-C972-46AE-8492-C488ACE9B3B2}" uniqueName="22" name="tblOrders[Quantity_Clean]" queryTableFieldId="22"/>
    <tableColumn id="23" xr3:uid="{92CE3A00-3AE2-4A08-B424-A57379DB5682}" uniqueName="23" name="tblOrders[UnitPrice_Clean]" queryTableFieldId="23"/>
    <tableColumn id="24" xr3:uid="{673EFD5B-A2F3-4B67-9A18-503AFD7C8D47}" uniqueName="24" name="tblOrders[OrderDate_Clean]" queryTableFieldId="24" dataDxfId="41"/>
    <tableColumn id="25" xr3:uid="{38AD4A31-74EC-4DEE-AC44-5AF8BC71ECDD}" uniqueName="25" name="tblOrders[Discount_Clean]" queryTableFieldId="25"/>
    <tableColumn id="26" xr3:uid="{A3479874-FD03-4C24-8229-A28AEF2CA748}" uniqueName="26" name="tblOrders[Notes_Clean]" queryTableFieldId="26"/>
    <tableColumn id="27" xr3:uid="{C804FA00-9F47-4223-85C5-9D073774E285}" uniqueName="27" name="tblOrders[HighValueFlag]" queryTableFieldId="27"/>
    <tableColumn id="28" xr3:uid="{986DD0A9-330D-4061-949A-BCE5FC551923}" uniqueName="28" name="tblOrders[Revenue]" queryTableFieldId="28"/>
    <tableColumn id="29" xr3:uid="{229A07BD-7F1D-4850-AE16-74E9D1CAB1E6}" uniqueName="29" name="tblOrders[OrderID_Key]" queryTableFieldId="29"/>
    <tableColumn id="30" xr3:uid="{573DD4B9-23E9-4627-84EE-8C8F230CA59D}" uniqueName="30" name="tblOrders[OrderNumber]" queryTableFieldId="30"/>
    <tableColumn id="31" xr3:uid="{FE75602D-FD9E-4582-B346-EC5375B56061}" uniqueName="31" name="tblOrders[MonthLabel]" queryTableFieldId="31"/>
    <tableColumn id="32" xr3:uid="{0E9D594A-F234-40EF-99B8-4008A07DB5D4}" uniqueName="32" name="tblOrders[MonthEndDate]" queryTableFieldId="32" dataDxfId="40"/>
    <tableColumn id="33" xr3:uid="{37F33633-F716-42B4-B209-6E6A5778272B}" uniqueName="33" name="tblOrders[FirstName]" queryTableFieldId="33"/>
    <tableColumn id="34" xr3:uid="{AFC4EE15-6984-4193-B93E-11843224C954}" uniqueName="34" name="tblOrders[Column1]" queryTableFieldId="3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98799-F475-433B-853B-47C70396EFEF}" name="tblOrders" displayName="tblOrders" ref="A1:AH245" totalsRowShown="0" headerRowDxfId="39" dataDxfId="38">
  <autoFilter ref="A1:AH245" xr:uid="{D4E98799-F475-433B-853B-47C70396EFEF}"/>
  <sortState xmlns:xlrd2="http://schemas.microsoft.com/office/spreadsheetml/2017/richdata2" ref="A2:O245">
    <sortCondition ref="F2:F245"/>
    <sortCondition descending="1" ref="J2:J245"/>
  </sortState>
  <tableColumns count="34">
    <tableColumn id="1" xr3:uid="{4ECF259C-21E9-4F0F-90CA-4519E6920B46}" name="OrderID" dataDxfId="37"/>
    <tableColumn id="2" xr3:uid="{19909962-CF17-49DB-B6D0-0687BEAFD6E9}" name="OrderDate" dataDxfId="36"/>
    <tableColumn id="3" xr3:uid="{A4D58D41-4017-44D3-AAA4-2E9A5F1307AF}" name="CustomerName" dataDxfId="35"/>
    <tableColumn id="4" xr3:uid="{39A33253-5E32-4B6D-A8C9-9918D96686DD}" name="Region" dataDxfId="34"/>
    <tableColumn id="5" xr3:uid="{ACD48768-AD12-469B-ABA7-CB7D038D90ED}" name="City" dataDxfId="33"/>
    <tableColumn id="6" xr3:uid="{9DF13155-34CD-4A28-B9A2-C7514025B1F7}" name="Category" dataDxfId="32"/>
    <tableColumn id="7" xr3:uid="{7760A283-B874-4EBF-88F0-AA1DF0158589}" name="Product" dataDxfId="31"/>
    <tableColumn id="8" xr3:uid="{19BE4DE2-B03D-4FAC-88A9-3F962FECFB05}" name="Channel" dataDxfId="30"/>
    <tableColumn id="9" xr3:uid="{236F0F12-DCBA-4240-AD6D-F10701F73F92}" name="Quantity" dataDxfId="29"/>
    <tableColumn id="10" xr3:uid="{BDDF5FEB-516A-4950-8FAB-5AB6D36FCFC3}" name="UnitPrice" dataDxfId="28"/>
    <tableColumn id="11" xr3:uid="{3EE78CC3-C9A9-478D-99D4-8694107CBB75}" name="Discount" dataDxfId="27"/>
    <tableColumn id="12" xr3:uid="{F41EE63A-F1B2-4A48-8698-7384E87A97B1}" name="PaymentMethod" dataDxfId="26"/>
    <tableColumn id="13" xr3:uid="{A15722C5-C6A6-458D-A5AA-2CEFA8CCAB0D}" name="OrderStatus" dataDxfId="25"/>
    <tableColumn id="14" xr3:uid="{5905579D-A018-4CB3-966B-4E715B693883}" name="SalesRep" dataDxfId="24"/>
    <tableColumn id="15" xr3:uid="{93267E47-5B2E-45F1-91CD-D09808F11A92}" name="Notes" dataDxfId="23"/>
    <tableColumn id="16" xr3:uid="{CA790AA1-51E0-4321-988C-31E06466901E}" name="CustomerName_Clean" dataDxfId="22">
      <calculatedColumnFormula>PROPER(TRIM(C2))</calculatedColumnFormula>
    </tableColumn>
    <tableColumn id="17" xr3:uid="{788BB6CF-22CB-4E38-93A9-DB8F80E8972B}" name="Region_Clean" dataDxfId="21">
      <calculatedColumnFormula>IF(OR(PROPER(TRIM(tblOrders[[#This Row],[Region]]))="Nort",PROPER(TRIM(tblOrders[[#This Row],[Region]]))="Northh"),"North",PROPER(TRIM(tblOrders[[#This Row],[Region]])))</calculatedColumnFormula>
    </tableColumn>
    <tableColumn id="18" xr3:uid="{CA4DA007-E64E-418C-B05C-0713A553A43D}" name="Category_Clean" dataDxfId="20">
      <calculatedColumnFormula>IF(PROPER(TRIM(F2))="Cloth Ing","Clothing",IF(PROPER(TRIM(F2))="Electronic","Electronics",IF(PROPER(TRIM(F2))="Grocery","Groceries",SUBSTITUTE(PROPER(TRIM(F2)),"Stationary","Stationery"))))</calculatedColumnFormula>
    </tableColumn>
    <tableColumn id="19" xr3:uid="{E2652BC2-C839-4B49-887D-992769E20B45}" name="Channel_Clean" dataDxfId="19">
      <calculatedColumnFormula>IF(LOWER(TRIM(H2))="online","Online",IF(OR(LOWER(TRIM(H2))="in-store",LOWER(TRIM(H2))="in store",LOWER(TRIM(H2))="instore"),"In-Store",PROPER(TRIM(H2))))</calculatedColumnFormula>
    </tableColumn>
    <tableColumn id="20" xr3:uid="{44BBA63F-91BC-44AE-A997-DE76F68F45EB}" name="PaymentMethod_Clean" dataDxfId="18">
      <calculatedColumnFormula>IF(UPPER(TRIM(L2))="CC","Credit Card",PROPER(TRIM(L2)))</calculatedColumnFormula>
    </tableColumn>
    <tableColumn id="21" xr3:uid="{0E6A79DD-BC9F-4A83-9769-9507A722AD7F}" name="OrderStatus_Cleaned" dataDxfId="17">
      <calculatedColumnFormula>IF(PROPER(TRIM(M2))="Complete","Completed",IF(PROPER(TRIM(M2))="Canceled","Cancelled",PROPER(TRIM(M2))))</calculatedColumnFormula>
    </tableColumn>
    <tableColumn id="22" xr3:uid="{0AB70279-6DD7-4894-A2B8-7AA5BBEAB3E9}" name="Quantity_Clean" dataDxfId="16">
      <calculatedColumnFormula>IFERROR(VALUE(TRIM(I2)),"")</calculatedColumnFormula>
    </tableColumn>
    <tableColumn id="23" xr3:uid="{635F398E-61C9-412F-A187-CAB684593E7F}" name="UnitPrice_Clean" dataDxfId="15">
      <calculatedColumnFormula>IFERROR(VALUE(SUBSTITUTE(TRIM(J2),"$","")),"")</calculatedColumnFormula>
    </tableColumn>
    <tableColumn id="24" xr3:uid="{EF1B8A35-CB8D-462B-AEE8-6E59D8EDBEF2}" name="OrderDate_Clean" dataDxfId="14">
      <calculatedColumnFormula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calculatedColumnFormula>
    </tableColumn>
    <tableColumn id="25" xr3:uid="{6D5E2C40-18DE-42F9-A635-41AC9F92DD61}" name="Discount_Clean" dataDxfId="13">
      <calculatedColumnFormula>IF(K2="",0,K2)</calculatedColumnFormula>
    </tableColumn>
    <tableColumn id="26" xr3:uid="{FD5522E5-BA99-41D8-81CD-BCF604B9832E}" name="Notes_Clean" dataDxfId="12">
      <calculatedColumnFormula>TRIM(CLEAN(tblOrders[[#This Row],[Notes]]))</calculatedColumnFormula>
    </tableColumn>
    <tableColumn id="27" xr3:uid="{2BB46B8F-888F-49F4-980C-46711154D21C}" name="HighValueFlag" dataDxfId="11">
      <calculatedColumnFormula>IF(OR(V2="",W2=""),"Review",IF(V2*W2&gt;=1000,"High Value","Standard"))</calculatedColumnFormula>
    </tableColumn>
    <tableColumn id="28" xr3:uid="{FD1A25A3-EFF6-418C-8D2F-8F938220EDDF}" name="Revenue" dataDxfId="10">
      <calculatedColumnFormula>IF(OR(tblOrders[[#This Row],[Quantity_Clean]]="",tblOrders[[#This Row],[UnitPrice_Clean]]=""),0,tblOrders[[#This Row],[Quantity_Clean]]*tblOrders[[#This Row],[UnitPrice_Clean]])</calculatedColumnFormula>
    </tableColumn>
    <tableColumn id="29" xr3:uid="{A26C24E3-C635-4E7E-B16C-3565E0AA99A0}" name="OrderID_Key" dataDxfId="9">
      <calculatedColumnFormula>UPPER(TRIM(tblOrders[[#This Row],[OrderID]]))</calculatedColumnFormula>
    </tableColumn>
    <tableColumn id="30" xr3:uid="{10F05F6F-94CB-4A7F-91F9-477B398B48AF}" name="OrderNumber" dataDxfId="8">
      <calculatedColumnFormula>VALUE(RIGHT(tblOrders[[#This Row],[OrderID]],4))</calculatedColumnFormula>
    </tableColumn>
    <tableColumn id="31" xr3:uid="{4776B13E-6CE4-4B72-92EB-DE6E75F402BB}" name="MonthLabel" dataDxfId="7">
      <calculatedColumnFormula>TEXT(tblOrders[[#This Row],[OrderDate_Clean]],"mmm-yyyy")</calculatedColumnFormula>
    </tableColumn>
    <tableColumn id="32" xr3:uid="{01F7B54D-EEC1-41A1-8288-D7344D73CCB5}" name="MonthEndDate" dataDxfId="6">
      <calculatedColumnFormula>EOMONTH(tblOrders[[#This Row],[OrderDate_Clean]],0)</calculatedColumnFormula>
    </tableColumn>
    <tableColumn id="33" xr3:uid="{702ABB2B-8F9C-459C-A91A-EEC4223CAC85}" name="FirstName" dataDxfId="5"/>
    <tableColumn id="34" xr3:uid="{AB43C067-1170-4DAA-8FFF-495BFE208455}" name="Discount_Numeric" dataDxfId="4">
      <calculatedColumnFormula>IF(tblOrders[[#This Row],[Discount]]="",0,IF(ISNUMBER(tblOrders[[#This Row],[Discount]]),tblOrders[[#This Row],[Discount]],VALUE(SUBSTITUTE(TRIM(tblOrders[[#This Row],[Discount]]),"%",""))/100))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1BB177-CDB4-44CD-AAAD-F09D51DC4CC1}" name="tblPriceList" displayName="tblPriceList" ref="A1:B6" totalsRowShown="0" headerRowDxfId="3">
  <autoFilter ref="A1:B6" xr:uid="{6A1BB177-CDB4-44CD-AAAD-F09D51DC4CC1}"/>
  <tableColumns count="2">
    <tableColumn id="1" xr3:uid="{63E67559-EB4A-47FA-86A7-C1CA5E9D9B01}" name="Product" dataDxfId="2"/>
    <tableColumn id="2" xr3:uid="{0DFF25F8-4D7D-4C53-9F21-098293D9282B}" name="Standard Pric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2190-958A-4CF8-8AB1-0BB895E69471}">
  <dimension ref="A1:AH52"/>
  <sheetViews>
    <sheetView workbookViewId="0"/>
  </sheetViews>
  <sheetFormatPr defaultRowHeight="15" x14ac:dyDescent="0.25"/>
  <cols>
    <col min="1" max="1" width="20.42578125" bestFit="1" customWidth="1"/>
    <col min="2" max="2" width="22.7109375" bestFit="1" customWidth="1"/>
    <col min="3" max="3" width="27.42578125" bestFit="1" customWidth="1"/>
    <col min="4" max="4" width="19.5703125" bestFit="1" customWidth="1"/>
    <col min="5" max="5" width="16.7109375" bestFit="1" customWidth="1"/>
    <col min="6" max="6" width="21.28515625" bestFit="1" customWidth="1"/>
    <col min="7" max="7" width="20.28515625" bestFit="1" customWidth="1"/>
    <col min="8" max="8" width="20.7109375" bestFit="1" customWidth="1"/>
    <col min="9" max="9" width="21.140625" bestFit="1" customWidth="1"/>
    <col min="10" max="10" width="21.7109375" bestFit="1" customWidth="1"/>
    <col min="11" max="11" width="21.140625" bestFit="1" customWidth="1"/>
    <col min="12" max="12" width="28.7109375" bestFit="1" customWidth="1"/>
    <col min="13" max="13" width="24.140625" bestFit="1" customWidth="1"/>
    <col min="14" max="14" width="21.42578125" bestFit="1" customWidth="1"/>
    <col min="15" max="15" width="27.85546875" bestFit="1" customWidth="1"/>
    <col min="16" max="16" width="33.7109375" bestFit="1" customWidth="1"/>
    <col min="17" max="17" width="25.7109375" bestFit="1" customWidth="1"/>
    <col min="18" max="18" width="27.42578125" bestFit="1" customWidth="1"/>
    <col min="19" max="19" width="26.85546875" bestFit="1" customWidth="1"/>
    <col min="20" max="20" width="34.85546875" bestFit="1" customWidth="1"/>
    <col min="21" max="21" width="32.7109375" bestFit="1" customWidth="1"/>
    <col min="22" max="22" width="27.28515625" bestFit="1" customWidth="1"/>
    <col min="23" max="23" width="28" bestFit="1" customWidth="1"/>
    <col min="24" max="24" width="29" bestFit="1" customWidth="1"/>
    <col min="25" max="25" width="27.28515625" bestFit="1" customWidth="1"/>
    <col min="26" max="26" width="27.85546875" bestFit="1" customWidth="1"/>
    <col min="27" max="27" width="26.28515625" bestFit="1" customWidth="1"/>
    <col min="28" max="28" width="21.28515625" bestFit="1" customWidth="1"/>
    <col min="29" max="29" width="24.85546875" bestFit="1" customWidth="1"/>
    <col min="30" max="30" width="26" bestFit="1" customWidth="1"/>
    <col min="31" max="31" width="24.28515625" bestFit="1" customWidth="1"/>
    <col min="32" max="32" width="27" bestFit="1" customWidth="1"/>
    <col min="33" max="33" width="22.5703125" bestFit="1" customWidth="1"/>
    <col min="34" max="34" width="21.28515625" bestFit="1" customWidth="1"/>
  </cols>
  <sheetData>
    <row r="1" spans="1:34" x14ac:dyDescent="0.25">
      <c r="A1" s="11" t="s">
        <v>1123</v>
      </c>
    </row>
    <row r="3" spans="1:34" x14ac:dyDescent="0.25">
      <c r="A3" t="s">
        <v>955</v>
      </c>
      <c r="B3" t="s">
        <v>956</v>
      </c>
      <c r="C3" t="s">
        <v>957</v>
      </c>
      <c r="D3" t="s">
        <v>958</v>
      </c>
      <c r="E3" t="s">
        <v>959</v>
      </c>
      <c r="F3" t="s">
        <v>960</v>
      </c>
      <c r="G3" t="s">
        <v>961</v>
      </c>
      <c r="H3" t="s">
        <v>962</v>
      </c>
      <c r="I3" t="s">
        <v>963</v>
      </c>
      <c r="J3" t="s">
        <v>964</v>
      </c>
      <c r="K3" t="s">
        <v>965</v>
      </c>
      <c r="L3" t="s">
        <v>966</v>
      </c>
      <c r="M3" t="s">
        <v>967</v>
      </c>
      <c r="N3" t="s">
        <v>968</v>
      </c>
      <c r="O3" t="s">
        <v>969</v>
      </c>
      <c r="P3" t="s">
        <v>970</v>
      </c>
      <c r="Q3" t="s">
        <v>971</v>
      </c>
      <c r="R3" t="s">
        <v>972</v>
      </c>
      <c r="S3" t="s">
        <v>973</v>
      </c>
      <c r="T3" t="s">
        <v>974</v>
      </c>
      <c r="U3" t="s">
        <v>975</v>
      </c>
      <c r="V3" t="s">
        <v>976</v>
      </c>
      <c r="W3" t="s">
        <v>977</v>
      </c>
      <c r="X3" t="s">
        <v>978</v>
      </c>
      <c r="Y3" t="s">
        <v>979</v>
      </c>
      <c r="Z3" t="s">
        <v>980</v>
      </c>
      <c r="AA3" t="s">
        <v>981</v>
      </c>
      <c r="AB3" t="s">
        <v>982</v>
      </c>
      <c r="AC3" t="s">
        <v>983</v>
      </c>
      <c r="AD3" t="s">
        <v>984</v>
      </c>
      <c r="AE3" t="s">
        <v>985</v>
      </c>
      <c r="AF3" t="s">
        <v>986</v>
      </c>
      <c r="AG3" t="s">
        <v>987</v>
      </c>
      <c r="AH3" t="s">
        <v>988</v>
      </c>
    </row>
    <row r="4" spans="1:34" x14ac:dyDescent="0.25">
      <c r="A4" t="s">
        <v>768</v>
      </c>
      <c r="B4" t="s">
        <v>769</v>
      </c>
      <c r="C4" t="s">
        <v>770</v>
      </c>
      <c r="D4" t="s">
        <v>18</v>
      </c>
      <c r="E4" t="s">
        <v>117</v>
      </c>
      <c r="F4" t="s">
        <v>235</v>
      </c>
      <c r="G4" t="s">
        <v>268</v>
      </c>
      <c r="H4" t="s">
        <v>68</v>
      </c>
      <c r="I4" t="s">
        <v>989</v>
      </c>
      <c r="J4" t="s">
        <v>771</v>
      </c>
      <c r="K4" t="s">
        <v>990</v>
      </c>
      <c r="L4" t="s">
        <v>37</v>
      </c>
      <c r="M4" t="s">
        <v>158</v>
      </c>
      <c r="N4" t="s">
        <v>26</v>
      </c>
      <c r="O4" t="s">
        <v>991</v>
      </c>
      <c r="P4" t="s">
        <v>992</v>
      </c>
      <c r="Q4" t="s">
        <v>162</v>
      </c>
      <c r="R4" t="s">
        <v>77</v>
      </c>
      <c r="S4" t="s">
        <v>68</v>
      </c>
      <c r="T4" t="s">
        <v>37</v>
      </c>
      <c r="U4" t="s">
        <v>201</v>
      </c>
      <c r="V4" t="s">
        <v>989</v>
      </c>
      <c r="W4" t="s">
        <v>993</v>
      </c>
      <c r="X4" s="5">
        <v>45648</v>
      </c>
      <c r="Y4" t="s">
        <v>990</v>
      </c>
      <c r="Z4" t="s">
        <v>991</v>
      </c>
      <c r="AA4" t="s">
        <v>994</v>
      </c>
      <c r="AB4">
        <v>3799.04</v>
      </c>
      <c r="AC4" t="s">
        <v>768</v>
      </c>
      <c r="AD4">
        <v>1217</v>
      </c>
      <c r="AE4" t="s">
        <v>995</v>
      </c>
      <c r="AF4" s="5">
        <v>45657</v>
      </c>
      <c r="AG4" t="s">
        <v>881</v>
      </c>
    </row>
    <row r="5" spans="1:34" x14ac:dyDescent="0.25">
      <c r="A5" t="s">
        <v>292</v>
      </c>
      <c r="B5" t="s">
        <v>293</v>
      </c>
      <c r="C5" t="s">
        <v>996</v>
      </c>
      <c r="D5" t="s">
        <v>44</v>
      </c>
      <c r="E5" t="s">
        <v>45</v>
      </c>
      <c r="F5" t="s">
        <v>235</v>
      </c>
      <c r="G5" t="s">
        <v>236</v>
      </c>
      <c r="H5" t="s">
        <v>68</v>
      </c>
      <c r="I5" t="s">
        <v>997</v>
      </c>
      <c r="J5" t="s">
        <v>295</v>
      </c>
      <c r="L5" t="s">
        <v>998</v>
      </c>
      <c r="M5" t="s">
        <v>70</v>
      </c>
      <c r="N5" t="s">
        <v>39</v>
      </c>
      <c r="P5" t="s">
        <v>996</v>
      </c>
      <c r="Q5" t="s">
        <v>44</v>
      </c>
      <c r="R5" t="s">
        <v>77</v>
      </c>
      <c r="S5" t="s">
        <v>68</v>
      </c>
      <c r="T5" t="s">
        <v>143</v>
      </c>
      <c r="U5" t="s">
        <v>70</v>
      </c>
      <c r="V5" t="s">
        <v>997</v>
      </c>
      <c r="W5" t="s">
        <v>999</v>
      </c>
      <c r="X5" s="5">
        <v>45375</v>
      </c>
      <c r="Y5" t="s">
        <v>1000</v>
      </c>
      <c r="Z5" t="s">
        <v>1001</v>
      </c>
      <c r="AA5" t="s">
        <v>994</v>
      </c>
      <c r="AB5">
        <v>1653.7</v>
      </c>
      <c r="AC5" t="s">
        <v>292</v>
      </c>
      <c r="AD5">
        <v>1143</v>
      </c>
      <c r="AE5" t="s">
        <v>1002</v>
      </c>
      <c r="AF5" s="5">
        <v>45382</v>
      </c>
      <c r="AG5" t="s">
        <v>922</v>
      </c>
    </row>
    <row r="6" spans="1:34" x14ac:dyDescent="0.25">
      <c r="A6" t="s">
        <v>315</v>
      </c>
      <c r="B6" t="s">
        <v>316</v>
      </c>
      <c r="C6" t="s">
        <v>317</v>
      </c>
      <c r="D6" t="s">
        <v>194</v>
      </c>
      <c r="E6" t="s">
        <v>65</v>
      </c>
      <c r="F6" t="s">
        <v>235</v>
      </c>
      <c r="G6" t="s">
        <v>318</v>
      </c>
      <c r="H6" t="s">
        <v>1003</v>
      </c>
      <c r="J6" t="s">
        <v>319</v>
      </c>
      <c r="K6" t="s">
        <v>990</v>
      </c>
      <c r="L6" t="s">
        <v>69</v>
      </c>
      <c r="M6" t="s">
        <v>158</v>
      </c>
      <c r="N6" t="s">
        <v>26</v>
      </c>
      <c r="O6" t="s">
        <v>991</v>
      </c>
      <c r="P6" t="s">
        <v>280</v>
      </c>
      <c r="Q6" t="s">
        <v>97</v>
      </c>
      <c r="R6" t="s">
        <v>77</v>
      </c>
      <c r="S6" t="s">
        <v>195</v>
      </c>
      <c r="T6" t="s">
        <v>139</v>
      </c>
      <c r="U6" t="s">
        <v>201</v>
      </c>
      <c r="V6" t="s">
        <v>1001</v>
      </c>
      <c r="W6" t="s">
        <v>1004</v>
      </c>
      <c r="X6" s="5">
        <v>45560</v>
      </c>
      <c r="Y6" t="s">
        <v>990</v>
      </c>
      <c r="Z6" t="s">
        <v>991</v>
      </c>
      <c r="AA6" t="s">
        <v>1005</v>
      </c>
      <c r="AB6">
        <v>0</v>
      </c>
      <c r="AC6" t="s">
        <v>315</v>
      </c>
      <c r="AD6">
        <v>1099</v>
      </c>
      <c r="AE6" t="s">
        <v>1006</v>
      </c>
      <c r="AF6" s="5">
        <v>45565</v>
      </c>
      <c r="AG6" t="s">
        <v>881</v>
      </c>
    </row>
    <row r="7" spans="1:34" x14ac:dyDescent="0.25">
      <c r="A7" t="s">
        <v>654</v>
      </c>
      <c r="B7" t="s">
        <v>655</v>
      </c>
      <c r="C7" t="s">
        <v>1007</v>
      </c>
      <c r="D7" t="s">
        <v>75</v>
      </c>
      <c r="E7" t="s">
        <v>32</v>
      </c>
      <c r="F7" t="s">
        <v>235</v>
      </c>
      <c r="G7" t="s">
        <v>137</v>
      </c>
      <c r="H7" t="s">
        <v>1003</v>
      </c>
      <c r="I7" t="s">
        <v>1008</v>
      </c>
      <c r="J7" t="s">
        <v>657</v>
      </c>
      <c r="K7" t="s">
        <v>1000</v>
      </c>
      <c r="L7" t="s">
        <v>69</v>
      </c>
      <c r="M7" t="s">
        <v>158</v>
      </c>
      <c r="N7" t="s">
        <v>71</v>
      </c>
      <c r="O7" t="s">
        <v>40</v>
      </c>
      <c r="P7" t="s">
        <v>1007</v>
      </c>
      <c r="Q7" t="s">
        <v>188</v>
      </c>
      <c r="R7" t="s">
        <v>77</v>
      </c>
      <c r="S7" t="s">
        <v>195</v>
      </c>
      <c r="T7" t="s">
        <v>139</v>
      </c>
      <c r="U7" t="s">
        <v>201</v>
      </c>
      <c r="V7" t="s">
        <v>1009</v>
      </c>
      <c r="W7" t="s">
        <v>1010</v>
      </c>
      <c r="X7" s="5">
        <v>45350</v>
      </c>
      <c r="Y7" t="s">
        <v>1000</v>
      </c>
      <c r="Z7" t="s">
        <v>40</v>
      </c>
      <c r="AA7" t="s">
        <v>994</v>
      </c>
      <c r="AB7">
        <v>1537.02</v>
      </c>
      <c r="AC7" t="s">
        <v>654</v>
      </c>
      <c r="AD7">
        <v>1060</v>
      </c>
      <c r="AE7" t="s">
        <v>1011</v>
      </c>
      <c r="AF7" s="5">
        <v>45351</v>
      </c>
      <c r="AG7" t="s">
        <v>881</v>
      </c>
    </row>
    <row r="8" spans="1:34" x14ac:dyDescent="0.25">
      <c r="A8" t="s">
        <v>758</v>
      </c>
      <c r="B8" t="s">
        <v>759</v>
      </c>
      <c r="C8" t="s">
        <v>760</v>
      </c>
      <c r="D8" t="s">
        <v>194</v>
      </c>
      <c r="F8" t="s">
        <v>235</v>
      </c>
      <c r="G8" t="s">
        <v>137</v>
      </c>
      <c r="H8" t="s">
        <v>68</v>
      </c>
      <c r="I8" t="s">
        <v>1012</v>
      </c>
      <c r="J8" t="s">
        <v>761</v>
      </c>
      <c r="K8" t="s">
        <v>259</v>
      </c>
      <c r="L8" t="s">
        <v>998</v>
      </c>
      <c r="M8" t="s">
        <v>158</v>
      </c>
      <c r="N8" t="s">
        <v>71</v>
      </c>
      <c r="O8" t="s">
        <v>93</v>
      </c>
      <c r="P8" t="s">
        <v>1013</v>
      </c>
      <c r="Q8" t="s">
        <v>97</v>
      </c>
      <c r="R8" t="s">
        <v>77</v>
      </c>
      <c r="S8" t="s">
        <v>68</v>
      </c>
      <c r="T8" t="s">
        <v>143</v>
      </c>
      <c r="U8" t="s">
        <v>201</v>
      </c>
      <c r="V8" t="s">
        <v>1012</v>
      </c>
      <c r="W8" t="s">
        <v>1014</v>
      </c>
      <c r="X8" s="5">
        <v>45635</v>
      </c>
      <c r="Y8" t="s">
        <v>259</v>
      </c>
      <c r="Z8" t="s">
        <v>93</v>
      </c>
      <c r="AA8" t="s">
        <v>1015</v>
      </c>
      <c r="AB8">
        <v>677.34</v>
      </c>
      <c r="AC8" t="s">
        <v>758</v>
      </c>
      <c r="AD8">
        <v>1153</v>
      </c>
      <c r="AE8" t="s">
        <v>995</v>
      </c>
      <c r="AF8" s="5">
        <v>45657</v>
      </c>
      <c r="AG8" t="s">
        <v>903</v>
      </c>
    </row>
    <row r="9" spans="1:34" x14ac:dyDescent="0.25">
      <c r="A9" t="s">
        <v>593</v>
      </c>
      <c r="B9" t="s">
        <v>594</v>
      </c>
      <c r="C9" t="s">
        <v>595</v>
      </c>
      <c r="D9" t="s">
        <v>44</v>
      </c>
      <c r="E9" t="s">
        <v>45</v>
      </c>
      <c r="F9" t="s">
        <v>235</v>
      </c>
      <c r="G9" t="s">
        <v>236</v>
      </c>
      <c r="H9" t="s">
        <v>1003</v>
      </c>
      <c r="I9" t="s">
        <v>1016</v>
      </c>
      <c r="J9" t="s">
        <v>596</v>
      </c>
      <c r="K9" t="s">
        <v>1017</v>
      </c>
      <c r="L9" t="s">
        <v>79</v>
      </c>
      <c r="M9" t="s">
        <v>158</v>
      </c>
      <c r="N9" t="s">
        <v>39</v>
      </c>
      <c r="O9" t="s">
        <v>126</v>
      </c>
      <c r="P9" t="s">
        <v>1018</v>
      </c>
      <c r="Q9" t="s">
        <v>44</v>
      </c>
      <c r="R9" t="s">
        <v>77</v>
      </c>
      <c r="S9" t="s">
        <v>195</v>
      </c>
      <c r="T9" t="s">
        <v>102</v>
      </c>
      <c r="U9" t="s">
        <v>201</v>
      </c>
      <c r="V9" t="s">
        <v>1016</v>
      </c>
      <c r="W9" t="s">
        <v>1019</v>
      </c>
      <c r="X9" s="5">
        <v>45493</v>
      </c>
      <c r="Y9" t="s">
        <v>1017</v>
      </c>
      <c r="Z9" t="s">
        <v>126</v>
      </c>
      <c r="AA9" t="s">
        <v>994</v>
      </c>
      <c r="AB9">
        <v>2256.54</v>
      </c>
      <c r="AC9" t="s">
        <v>593</v>
      </c>
      <c r="AD9">
        <v>1027</v>
      </c>
      <c r="AE9" t="s">
        <v>1020</v>
      </c>
      <c r="AF9" s="5">
        <v>45504</v>
      </c>
      <c r="AG9" t="s">
        <v>898</v>
      </c>
    </row>
    <row r="10" spans="1:34" x14ac:dyDescent="0.25">
      <c r="A10" t="s">
        <v>593</v>
      </c>
      <c r="B10" t="s">
        <v>594</v>
      </c>
      <c r="C10" t="s">
        <v>595</v>
      </c>
      <c r="D10" t="s">
        <v>44</v>
      </c>
      <c r="E10" t="s">
        <v>45</v>
      </c>
      <c r="F10" t="s">
        <v>235</v>
      </c>
      <c r="G10" t="s">
        <v>236</v>
      </c>
      <c r="H10" t="s">
        <v>1003</v>
      </c>
      <c r="I10" t="s">
        <v>1016</v>
      </c>
      <c r="J10" t="s">
        <v>596</v>
      </c>
      <c r="K10" t="s">
        <v>1017</v>
      </c>
      <c r="L10" t="s">
        <v>79</v>
      </c>
      <c r="M10" t="s">
        <v>158</v>
      </c>
      <c r="N10" t="s">
        <v>39</v>
      </c>
      <c r="O10" t="s">
        <v>126</v>
      </c>
      <c r="P10" t="s">
        <v>1018</v>
      </c>
      <c r="Q10" t="s">
        <v>44</v>
      </c>
      <c r="R10" t="s">
        <v>77</v>
      </c>
      <c r="S10" t="s">
        <v>195</v>
      </c>
      <c r="T10" t="s">
        <v>102</v>
      </c>
      <c r="U10" t="s">
        <v>201</v>
      </c>
      <c r="V10" t="s">
        <v>1016</v>
      </c>
      <c r="W10" t="s">
        <v>1019</v>
      </c>
      <c r="X10" s="5">
        <v>45493</v>
      </c>
      <c r="Y10" t="s">
        <v>1017</v>
      </c>
      <c r="Z10" t="s">
        <v>126</v>
      </c>
      <c r="AA10" t="s">
        <v>994</v>
      </c>
      <c r="AB10">
        <v>2256.54</v>
      </c>
      <c r="AC10" t="s">
        <v>593</v>
      </c>
      <c r="AD10">
        <v>1027</v>
      </c>
      <c r="AE10" t="s">
        <v>1020</v>
      </c>
      <c r="AF10" s="5">
        <v>45504</v>
      </c>
      <c r="AG10" t="s">
        <v>898</v>
      </c>
    </row>
    <row r="11" spans="1:34" x14ac:dyDescent="0.25">
      <c r="A11" t="s">
        <v>812</v>
      </c>
      <c r="B11" t="s">
        <v>813</v>
      </c>
      <c r="C11" t="s">
        <v>814</v>
      </c>
      <c r="D11" t="s">
        <v>44</v>
      </c>
      <c r="E11" t="s">
        <v>45</v>
      </c>
      <c r="F11" t="s">
        <v>235</v>
      </c>
      <c r="G11" t="s">
        <v>236</v>
      </c>
      <c r="H11" t="s">
        <v>22</v>
      </c>
      <c r="I11" t="s">
        <v>989</v>
      </c>
      <c r="J11" t="s">
        <v>1021</v>
      </c>
      <c r="K11" t="s">
        <v>85</v>
      </c>
      <c r="L11" t="s">
        <v>79</v>
      </c>
      <c r="M11" t="s">
        <v>158</v>
      </c>
      <c r="N11" t="s">
        <v>71</v>
      </c>
      <c r="O11" t="s">
        <v>93</v>
      </c>
      <c r="P11" t="s">
        <v>1022</v>
      </c>
      <c r="Q11" t="s">
        <v>44</v>
      </c>
      <c r="R11" t="s">
        <v>77</v>
      </c>
      <c r="S11" t="s">
        <v>195</v>
      </c>
      <c r="T11" t="s">
        <v>102</v>
      </c>
      <c r="U11" t="s">
        <v>201</v>
      </c>
      <c r="V11" t="s">
        <v>989</v>
      </c>
      <c r="W11" t="s">
        <v>1023</v>
      </c>
      <c r="X11" s="5">
        <v>45534</v>
      </c>
      <c r="Y11" t="s">
        <v>85</v>
      </c>
      <c r="Z11" t="s">
        <v>93</v>
      </c>
      <c r="AA11" t="s">
        <v>1015</v>
      </c>
      <c r="AB11">
        <v>408.48</v>
      </c>
      <c r="AC11" t="s">
        <v>812</v>
      </c>
      <c r="AD11">
        <v>1033</v>
      </c>
      <c r="AE11" t="s">
        <v>1024</v>
      </c>
      <c r="AF11" s="5">
        <v>45535</v>
      </c>
      <c r="AG11" t="s">
        <v>881</v>
      </c>
    </row>
    <row r="12" spans="1:34" x14ac:dyDescent="0.25">
      <c r="A12" t="s">
        <v>407</v>
      </c>
      <c r="B12" t="s">
        <v>408</v>
      </c>
      <c r="C12" t="s">
        <v>409</v>
      </c>
      <c r="D12" t="s">
        <v>18</v>
      </c>
      <c r="E12" t="s">
        <v>19</v>
      </c>
      <c r="F12" t="s">
        <v>235</v>
      </c>
      <c r="G12" t="s">
        <v>236</v>
      </c>
      <c r="H12" t="s">
        <v>35</v>
      </c>
      <c r="J12" t="s">
        <v>1025</v>
      </c>
      <c r="L12" t="s">
        <v>37</v>
      </c>
      <c r="M12" t="s">
        <v>170</v>
      </c>
      <c r="N12" t="s">
        <v>71</v>
      </c>
      <c r="O12" t="s">
        <v>1026</v>
      </c>
      <c r="P12" t="s">
        <v>1027</v>
      </c>
      <c r="Q12" t="s">
        <v>162</v>
      </c>
      <c r="R12" t="s">
        <v>77</v>
      </c>
      <c r="S12" t="s">
        <v>195</v>
      </c>
      <c r="T12" t="s">
        <v>37</v>
      </c>
      <c r="U12" t="s">
        <v>92</v>
      </c>
      <c r="V12" t="s">
        <v>1001</v>
      </c>
      <c r="W12" t="s">
        <v>1028</v>
      </c>
      <c r="X12" s="5">
        <v>45435</v>
      </c>
      <c r="Y12" t="s">
        <v>1000</v>
      </c>
      <c r="Z12" t="s">
        <v>1026</v>
      </c>
      <c r="AA12" t="s">
        <v>1005</v>
      </c>
      <c r="AB12">
        <v>0</v>
      </c>
      <c r="AC12" t="s">
        <v>407</v>
      </c>
      <c r="AD12">
        <v>1032</v>
      </c>
      <c r="AE12" t="s">
        <v>1029</v>
      </c>
      <c r="AF12" s="5">
        <v>45443</v>
      </c>
      <c r="AG12" t="s">
        <v>928</v>
      </c>
    </row>
    <row r="13" spans="1:34" x14ac:dyDescent="0.25">
      <c r="A13" t="s">
        <v>433</v>
      </c>
      <c r="B13" t="s">
        <v>434</v>
      </c>
      <c r="C13" t="s">
        <v>779</v>
      </c>
      <c r="D13" t="s">
        <v>55</v>
      </c>
      <c r="E13" t="s">
        <v>76</v>
      </c>
      <c r="F13" t="s">
        <v>235</v>
      </c>
      <c r="G13" t="s">
        <v>268</v>
      </c>
      <c r="H13" t="s">
        <v>68</v>
      </c>
      <c r="I13" t="s">
        <v>989</v>
      </c>
      <c r="J13" t="s">
        <v>1030</v>
      </c>
      <c r="K13" t="s">
        <v>1017</v>
      </c>
      <c r="L13" t="s">
        <v>79</v>
      </c>
      <c r="M13" t="s">
        <v>170</v>
      </c>
      <c r="N13" t="s">
        <v>111</v>
      </c>
      <c r="P13" t="s">
        <v>779</v>
      </c>
      <c r="Q13" t="s">
        <v>188</v>
      </c>
      <c r="R13" t="s">
        <v>77</v>
      </c>
      <c r="S13" t="s">
        <v>68</v>
      </c>
      <c r="T13" t="s">
        <v>102</v>
      </c>
      <c r="U13" t="s">
        <v>92</v>
      </c>
      <c r="V13" t="s">
        <v>989</v>
      </c>
      <c r="W13" t="s">
        <v>1030</v>
      </c>
      <c r="X13" s="5">
        <v>45432</v>
      </c>
      <c r="Y13" t="s">
        <v>1017</v>
      </c>
      <c r="Z13" t="s">
        <v>1001</v>
      </c>
      <c r="AA13" t="s">
        <v>994</v>
      </c>
      <c r="AB13">
        <v>3967.68</v>
      </c>
      <c r="AC13" t="s">
        <v>433</v>
      </c>
      <c r="AD13">
        <v>1136</v>
      </c>
      <c r="AE13" t="s">
        <v>1029</v>
      </c>
      <c r="AF13" s="5">
        <v>45443</v>
      </c>
      <c r="AG13" t="s">
        <v>905</v>
      </c>
    </row>
    <row r="14" spans="1:34" x14ac:dyDescent="0.25">
      <c r="A14" t="s">
        <v>555</v>
      </c>
      <c r="B14" t="s">
        <v>556</v>
      </c>
      <c r="C14" t="s">
        <v>557</v>
      </c>
      <c r="D14" t="s">
        <v>18</v>
      </c>
      <c r="E14" t="s">
        <v>19</v>
      </c>
      <c r="F14" t="s">
        <v>235</v>
      </c>
      <c r="G14" t="s">
        <v>137</v>
      </c>
      <c r="H14" t="s">
        <v>1003</v>
      </c>
      <c r="I14" t="s">
        <v>1012</v>
      </c>
      <c r="J14" t="s">
        <v>1031</v>
      </c>
      <c r="L14" t="s">
        <v>998</v>
      </c>
      <c r="M14" t="s">
        <v>70</v>
      </c>
      <c r="N14" t="s">
        <v>71</v>
      </c>
      <c r="P14" t="s">
        <v>1032</v>
      </c>
      <c r="Q14" t="s">
        <v>162</v>
      </c>
      <c r="R14" t="s">
        <v>77</v>
      </c>
      <c r="S14" t="s">
        <v>195</v>
      </c>
      <c r="T14" t="s">
        <v>143</v>
      </c>
      <c r="U14" t="s">
        <v>70</v>
      </c>
      <c r="V14" t="s">
        <v>1012</v>
      </c>
      <c r="W14" t="s">
        <v>1031</v>
      </c>
      <c r="X14" s="5">
        <v>45507</v>
      </c>
      <c r="Y14" t="s">
        <v>1000</v>
      </c>
      <c r="Z14" t="s">
        <v>1001</v>
      </c>
      <c r="AA14" t="s">
        <v>994</v>
      </c>
      <c r="AB14">
        <v>1350.9</v>
      </c>
      <c r="AC14" t="s">
        <v>555</v>
      </c>
      <c r="AD14">
        <v>1175</v>
      </c>
      <c r="AE14" t="s">
        <v>1024</v>
      </c>
      <c r="AF14" s="5">
        <v>45535</v>
      </c>
      <c r="AG14" t="s">
        <v>906</v>
      </c>
    </row>
    <row r="15" spans="1:34" x14ac:dyDescent="0.25">
      <c r="A15" t="s">
        <v>738</v>
      </c>
      <c r="B15" t="s">
        <v>739</v>
      </c>
      <c r="C15" t="s">
        <v>740</v>
      </c>
      <c r="D15" t="s">
        <v>44</v>
      </c>
      <c r="E15" t="s">
        <v>125</v>
      </c>
      <c r="F15" t="s">
        <v>235</v>
      </c>
      <c r="G15" t="s">
        <v>137</v>
      </c>
      <c r="H15" t="s">
        <v>22</v>
      </c>
      <c r="I15" t="s">
        <v>989</v>
      </c>
      <c r="J15" t="s">
        <v>1033</v>
      </c>
      <c r="L15" t="s">
        <v>37</v>
      </c>
      <c r="M15" t="s">
        <v>158</v>
      </c>
      <c r="N15" t="s">
        <v>39</v>
      </c>
      <c r="O15" t="s">
        <v>93</v>
      </c>
      <c r="P15" t="s">
        <v>1034</v>
      </c>
      <c r="Q15" t="s">
        <v>44</v>
      </c>
      <c r="R15" t="s">
        <v>77</v>
      </c>
      <c r="S15" t="s">
        <v>195</v>
      </c>
      <c r="T15" t="s">
        <v>37</v>
      </c>
      <c r="U15" t="s">
        <v>201</v>
      </c>
      <c r="V15" t="s">
        <v>989</v>
      </c>
      <c r="W15" t="s">
        <v>1033</v>
      </c>
      <c r="X15" s="5">
        <v>45335</v>
      </c>
      <c r="Y15" t="s">
        <v>1000</v>
      </c>
      <c r="Z15" t="s">
        <v>93</v>
      </c>
      <c r="AA15" t="s">
        <v>994</v>
      </c>
      <c r="AB15">
        <v>3354.8</v>
      </c>
      <c r="AC15" t="s">
        <v>738</v>
      </c>
      <c r="AD15">
        <v>1164</v>
      </c>
      <c r="AE15" t="s">
        <v>1011</v>
      </c>
      <c r="AF15" s="5">
        <v>45351</v>
      </c>
      <c r="AG15" t="s">
        <v>908</v>
      </c>
    </row>
    <row r="16" spans="1:34" x14ac:dyDescent="0.25">
      <c r="A16" t="s">
        <v>265</v>
      </c>
      <c r="B16" t="s">
        <v>114</v>
      </c>
      <c r="C16" t="s">
        <v>1035</v>
      </c>
      <c r="D16" t="s">
        <v>18</v>
      </c>
      <c r="F16" t="s">
        <v>235</v>
      </c>
      <c r="G16" t="s">
        <v>268</v>
      </c>
      <c r="H16" t="s">
        <v>35</v>
      </c>
      <c r="I16" t="s">
        <v>1009</v>
      </c>
      <c r="J16" t="s">
        <v>1036</v>
      </c>
      <c r="K16" t="s">
        <v>1037</v>
      </c>
      <c r="L16" t="s">
        <v>79</v>
      </c>
      <c r="M16" t="s">
        <v>170</v>
      </c>
      <c r="N16" t="s">
        <v>26</v>
      </c>
      <c r="O16" t="s">
        <v>87</v>
      </c>
      <c r="P16" t="s">
        <v>1035</v>
      </c>
      <c r="Q16" t="s">
        <v>162</v>
      </c>
      <c r="R16" t="s">
        <v>77</v>
      </c>
      <c r="S16" t="s">
        <v>195</v>
      </c>
      <c r="T16" t="s">
        <v>102</v>
      </c>
      <c r="U16" t="s">
        <v>92</v>
      </c>
      <c r="V16" t="s">
        <v>1009</v>
      </c>
      <c r="W16" t="s">
        <v>1036</v>
      </c>
      <c r="X16" s="5">
        <v>45332</v>
      </c>
      <c r="Y16" t="s">
        <v>1037</v>
      </c>
      <c r="Z16" t="s">
        <v>87</v>
      </c>
      <c r="AA16" t="s">
        <v>994</v>
      </c>
      <c r="AB16">
        <v>2491.2599999999998</v>
      </c>
      <c r="AC16" t="s">
        <v>265</v>
      </c>
      <c r="AD16">
        <v>1031</v>
      </c>
      <c r="AE16" t="s">
        <v>1011</v>
      </c>
      <c r="AF16" s="5">
        <v>45351</v>
      </c>
      <c r="AG16" t="s">
        <v>881</v>
      </c>
    </row>
    <row r="17" spans="1:33" x14ac:dyDescent="0.25">
      <c r="A17" t="s">
        <v>790</v>
      </c>
      <c r="B17" t="s">
        <v>791</v>
      </c>
      <c r="C17" t="s">
        <v>792</v>
      </c>
      <c r="D17" t="s">
        <v>18</v>
      </c>
      <c r="E17" t="s">
        <v>19</v>
      </c>
      <c r="F17" t="s">
        <v>235</v>
      </c>
      <c r="G17" t="s">
        <v>268</v>
      </c>
      <c r="H17" t="s">
        <v>68</v>
      </c>
      <c r="I17" t="s">
        <v>1012</v>
      </c>
      <c r="J17" t="s">
        <v>1038</v>
      </c>
      <c r="L17" t="s">
        <v>79</v>
      </c>
      <c r="M17" t="s">
        <v>208</v>
      </c>
      <c r="N17" t="s">
        <v>71</v>
      </c>
      <c r="O17" t="s">
        <v>991</v>
      </c>
      <c r="P17" t="s">
        <v>1039</v>
      </c>
      <c r="Q17" t="s">
        <v>162</v>
      </c>
      <c r="R17" t="s">
        <v>77</v>
      </c>
      <c r="S17" t="s">
        <v>68</v>
      </c>
      <c r="T17" t="s">
        <v>102</v>
      </c>
      <c r="U17" t="s">
        <v>86</v>
      </c>
      <c r="V17" t="s">
        <v>1012</v>
      </c>
      <c r="W17" t="s">
        <v>1038</v>
      </c>
      <c r="X17" s="5">
        <v>45605</v>
      </c>
      <c r="Y17" t="s">
        <v>1000</v>
      </c>
      <c r="Z17" t="s">
        <v>991</v>
      </c>
      <c r="AA17" t="s">
        <v>994</v>
      </c>
      <c r="AB17">
        <v>1208.8799999999999</v>
      </c>
      <c r="AC17" t="s">
        <v>790</v>
      </c>
      <c r="AD17">
        <v>1092</v>
      </c>
      <c r="AE17" t="s">
        <v>1040</v>
      </c>
      <c r="AF17" s="5">
        <v>45626</v>
      </c>
      <c r="AG17" t="s">
        <v>880</v>
      </c>
    </row>
    <row r="18" spans="1:33" x14ac:dyDescent="0.25">
      <c r="A18" t="s">
        <v>823</v>
      </c>
      <c r="B18" t="s">
        <v>252</v>
      </c>
      <c r="C18" t="s">
        <v>824</v>
      </c>
      <c r="D18" t="s">
        <v>194</v>
      </c>
      <c r="E18" t="s">
        <v>65</v>
      </c>
      <c r="F18" t="s">
        <v>235</v>
      </c>
      <c r="G18" t="s">
        <v>137</v>
      </c>
      <c r="H18" t="s">
        <v>22</v>
      </c>
      <c r="I18" t="s">
        <v>989</v>
      </c>
      <c r="J18" t="s">
        <v>1041</v>
      </c>
      <c r="K18" t="s">
        <v>1017</v>
      </c>
      <c r="L18" t="s">
        <v>998</v>
      </c>
      <c r="M18" t="s">
        <v>70</v>
      </c>
      <c r="N18" t="s">
        <v>26</v>
      </c>
      <c r="O18" t="s">
        <v>126</v>
      </c>
      <c r="P18" t="s">
        <v>1042</v>
      </c>
      <c r="Q18" t="s">
        <v>97</v>
      </c>
      <c r="R18" t="s">
        <v>77</v>
      </c>
      <c r="S18" t="s">
        <v>195</v>
      </c>
      <c r="T18" t="s">
        <v>143</v>
      </c>
      <c r="U18" t="s">
        <v>70</v>
      </c>
      <c r="V18" t="s">
        <v>989</v>
      </c>
      <c r="W18" t="s">
        <v>1041</v>
      </c>
      <c r="X18" s="5">
        <v>45362</v>
      </c>
      <c r="Y18" t="s">
        <v>1017</v>
      </c>
      <c r="Z18" t="s">
        <v>126</v>
      </c>
      <c r="AA18" t="s">
        <v>994</v>
      </c>
      <c r="AB18">
        <v>3121.36</v>
      </c>
      <c r="AC18" t="s">
        <v>823</v>
      </c>
      <c r="AD18">
        <v>1073</v>
      </c>
      <c r="AE18" t="s">
        <v>1002</v>
      </c>
      <c r="AF18" s="5">
        <v>45382</v>
      </c>
      <c r="AG18" t="s">
        <v>886</v>
      </c>
    </row>
    <row r="19" spans="1:33" x14ac:dyDescent="0.25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235</v>
      </c>
      <c r="G19" t="s">
        <v>78</v>
      </c>
      <c r="H19" t="s">
        <v>22</v>
      </c>
      <c r="I19" t="s">
        <v>1016</v>
      </c>
      <c r="J19" t="s">
        <v>1043</v>
      </c>
      <c r="K19" t="s">
        <v>1017</v>
      </c>
      <c r="L19" t="s">
        <v>79</v>
      </c>
      <c r="M19" t="s">
        <v>208</v>
      </c>
      <c r="N19" t="s">
        <v>39</v>
      </c>
      <c r="O19" t="s">
        <v>1044</v>
      </c>
      <c r="P19" t="s">
        <v>1045</v>
      </c>
      <c r="Q19" t="s">
        <v>188</v>
      </c>
      <c r="R19" t="s">
        <v>77</v>
      </c>
      <c r="S19" t="s">
        <v>195</v>
      </c>
      <c r="T19" t="s">
        <v>102</v>
      </c>
      <c r="U19" t="s">
        <v>86</v>
      </c>
      <c r="V19" t="s">
        <v>1016</v>
      </c>
      <c r="W19" t="s">
        <v>1043</v>
      </c>
      <c r="X19" s="5">
        <v>45508</v>
      </c>
      <c r="Y19" t="s">
        <v>1017</v>
      </c>
      <c r="Z19" t="s">
        <v>1046</v>
      </c>
      <c r="AA19" t="s">
        <v>994</v>
      </c>
      <c r="AB19">
        <v>3993.22</v>
      </c>
      <c r="AC19" t="s">
        <v>72</v>
      </c>
      <c r="AD19">
        <v>1104</v>
      </c>
      <c r="AE19" t="s">
        <v>1024</v>
      </c>
      <c r="AF19" s="5">
        <v>45535</v>
      </c>
      <c r="AG19" t="s">
        <v>908</v>
      </c>
    </row>
    <row r="20" spans="1:33" x14ac:dyDescent="0.25">
      <c r="A20" t="s">
        <v>275</v>
      </c>
      <c r="B20" t="s">
        <v>276</v>
      </c>
      <c r="C20" t="s">
        <v>277</v>
      </c>
      <c r="D20" t="s">
        <v>44</v>
      </c>
      <c r="E20" t="s">
        <v>125</v>
      </c>
      <c r="F20" t="s">
        <v>235</v>
      </c>
      <c r="G20" t="s">
        <v>137</v>
      </c>
      <c r="H20" t="s">
        <v>1003</v>
      </c>
      <c r="I20" t="s">
        <v>1047</v>
      </c>
      <c r="J20" t="s">
        <v>1048</v>
      </c>
      <c r="K20" t="s">
        <v>85</v>
      </c>
      <c r="L20" t="s">
        <v>998</v>
      </c>
      <c r="M20" t="s">
        <v>158</v>
      </c>
      <c r="N20" t="s">
        <v>111</v>
      </c>
      <c r="O20" t="s">
        <v>93</v>
      </c>
      <c r="P20" t="s">
        <v>1049</v>
      </c>
      <c r="Q20" t="s">
        <v>44</v>
      </c>
      <c r="R20" t="s">
        <v>77</v>
      </c>
      <c r="S20" t="s">
        <v>195</v>
      </c>
      <c r="T20" t="s">
        <v>143</v>
      </c>
      <c r="U20" t="s">
        <v>201</v>
      </c>
      <c r="V20" t="s">
        <v>1047</v>
      </c>
      <c r="W20" t="s">
        <v>1048</v>
      </c>
      <c r="X20" s="5">
        <v>45533</v>
      </c>
      <c r="Y20" t="s">
        <v>85</v>
      </c>
      <c r="Z20" t="s">
        <v>93</v>
      </c>
      <c r="AA20" t="s">
        <v>1015</v>
      </c>
      <c r="AB20">
        <v>676.1</v>
      </c>
      <c r="AC20" t="s">
        <v>275</v>
      </c>
      <c r="AD20">
        <v>1052</v>
      </c>
      <c r="AE20" t="s">
        <v>1024</v>
      </c>
      <c r="AF20" s="5">
        <v>45535</v>
      </c>
      <c r="AG20" t="s">
        <v>886</v>
      </c>
    </row>
    <row r="21" spans="1:33" x14ac:dyDescent="0.25">
      <c r="A21" t="s">
        <v>453</v>
      </c>
      <c r="B21" t="s">
        <v>454</v>
      </c>
      <c r="C21" t="s">
        <v>391</v>
      </c>
      <c r="D21" t="s">
        <v>194</v>
      </c>
      <c r="E21" t="s">
        <v>98</v>
      </c>
      <c r="F21" t="s">
        <v>235</v>
      </c>
      <c r="G21" t="s">
        <v>268</v>
      </c>
      <c r="H21" t="s">
        <v>22</v>
      </c>
      <c r="I21" t="s">
        <v>1050</v>
      </c>
      <c r="J21" t="s">
        <v>1051</v>
      </c>
      <c r="L21" t="s">
        <v>998</v>
      </c>
      <c r="M21" t="s">
        <v>70</v>
      </c>
      <c r="N21" t="s">
        <v>111</v>
      </c>
      <c r="O21" t="s">
        <v>87</v>
      </c>
      <c r="P21" t="s">
        <v>1052</v>
      </c>
      <c r="Q21" t="s">
        <v>97</v>
      </c>
      <c r="R21" t="s">
        <v>77</v>
      </c>
      <c r="S21" t="s">
        <v>195</v>
      </c>
      <c r="T21" t="s">
        <v>143</v>
      </c>
      <c r="U21" t="s">
        <v>70</v>
      </c>
      <c r="V21" t="s">
        <v>1053</v>
      </c>
      <c r="W21" t="s">
        <v>1051</v>
      </c>
      <c r="X21" s="5">
        <v>45377</v>
      </c>
      <c r="Y21" t="s">
        <v>1000</v>
      </c>
      <c r="Z21" t="s">
        <v>87</v>
      </c>
      <c r="AA21" t="s">
        <v>994</v>
      </c>
      <c r="AB21">
        <v>2950.29</v>
      </c>
      <c r="AC21" t="s">
        <v>453</v>
      </c>
      <c r="AD21">
        <v>1011</v>
      </c>
      <c r="AE21" t="s">
        <v>1002</v>
      </c>
      <c r="AF21" s="5">
        <v>45382</v>
      </c>
      <c r="AG21" t="s">
        <v>921</v>
      </c>
    </row>
    <row r="22" spans="1:33" x14ac:dyDescent="0.25">
      <c r="A22" t="s">
        <v>398</v>
      </c>
      <c r="B22" t="s">
        <v>399</v>
      </c>
      <c r="C22" t="s">
        <v>400</v>
      </c>
      <c r="D22" t="s">
        <v>55</v>
      </c>
      <c r="E22" t="s">
        <v>32</v>
      </c>
      <c r="F22" t="s">
        <v>235</v>
      </c>
      <c r="G22" t="s">
        <v>236</v>
      </c>
      <c r="H22" t="s">
        <v>68</v>
      </c>
      <c r="I22" t="s">
        <v>1012</v>
      </c>
      <c r="J22" t="s">
        <v>1054</v>
      </c>
      <c r="K22" t="s">
        <v>85</v>
      </c>
      <c r="L22" t="s">
        <v>998</v>
      </c>
      <c r="M22" t="s">
        <v>70</v>
      </c>
      <c r="N22" t="s">
        <v>26</v>
      </c>
      <c r="O22" t="s">
        <v>991</v>
      </c>
      <c r="P22" t="s">
        <v>1055</v>
      </c>
      <c r="Q22" t="s">
        <v>188</v>
      </c>
      <c r="R22" t="s">
        <v>77</v>
      </c>
      <c r="S22" t="s">
        <v>68</v>
      </c>
      <c r="T22" t="s">
        <v>143</v>
      </c>
      <c r="U22" t="s">
        <v>70</v>
      </c>
      <c r="V22" t="s">
        <v>1012</v>
      </c>
      <c r="W22" t="s">
        <v>1054</v>
      </c>
      <c r="X22" s="5">
        <v>45619</v>
      </c>
      <c r="Y22" t="s">
        <v>85</v>
      </c>
      <c r="Z22" t="s">
        <v>991</v>
      </c>
      <c r="AA22" t="s">
        <v>1015</v>
      </c>
      <c r="AB22">
        <v>968.87999999999988</v>
      </c>
      <c r="AC22" t="s">
        <v>398</v>
      </c>
      <c r="AD22">
        <v>1085</v>
      </c>
      <c r="AE22" t="s">
        <v>1040</v>
      </c>
      <c r="AF22" s="5">
        <v>45626</v>
      </c>
      <c r="AG22" t="s">
        <v>886</v>
      </c>
    </row>
    <row r="23" spans="1:33" x14ac:dyDescent="0.25">
      <c r="A23" t="s">
        <v>520</v>
      </c>
      <c r="B23" t="s">
        <v>521</v>
      </c>
      <c r="C23" t="s">
        <v>522</v>
      </c>
      <c r="D23" t="s">
        <v>44</v>
      </c>
      <c r="E23" t="s">
        <v>45</v>
      </c>
      <c r="F23" t="s">
        <v>235</v>
      </c>
      <c r="G23" t="s">
        <v>236</v>
      </c>
      <c r="H23" t="s">
        <v>68</v>
      </c>
      <c r="I23" t="s">
        <v>1056</v>
      </c>
      <c r="J23" t="s">
        <v>1057</v>
      </c>
      <c r="K23" t="s">
        <v>1000</v>
      </c>
      <c r="L23" t="s">
        <v>998</v>
      </c>
      <c r="M23" t="s">
        <v>165</v>
      </c>
      <c r="N23" t="s">
        <v>26</v>
      </c>
      <c r="P23" t="s">
        <v>1058</v>
      </c>
      <c r="Q23" t="s">
        <v>44</v>
      </c>
      <c r="R23" t="s">
        <v>77</v>
      </c>
      <c r="S23" t="s">
        <v>68</v>
      </c>
      <c r="T23" t="s">
        <v>143</v>
      </c>
      <c r="U23" t="s">
        <v>92</v>
      </c>
      <c r="V23" t="s">
        <v>1016</v>
      </c>
      <c r="W23" t="s">
        <v>1057</v>
      </c>
      <c r="X23" s="5">
        <v>45495</v>
      </c>
      <c r="Y23" t="s">
        <v>1000</v>
      </c>
      <c r="Z23" t="s">
        <v>1001</v>
      </c>
      <c r="AA23" t="s">
        <v>994</v>
      </c>
      <c r="AB23">
        <v>3295.05</v>
      </c>
      <c r="AC23" t="s">
        <v>520</v>
      </c>
      <c r="AD23">
        <v>1166</v>
      </c>
      <c r="AE23" t="s">
        <v>1020</v>
      </c>
      <c r="AF23" s="5">
        <v>45504</v>
      </c>
      <c r="AG23" t="s">
        <v>889</v>
      </c>
    </row>
    <row r="24" spans="1:33" x14ac:dyDescent="0.25">
      <c r="A24" t="s">
        <v>670</v>
      </c>
      <c r="B24" t="s">
        <v>671</v>
      </c>
      <c r="C24" t="s">
        <v>219</v>
      </c>
      <c r="D24" t="s">
        <v>194</v>
      </c>
      <c r="E24" t="s">
        <v>98</v>
      </c>
      <c r="F24" t="s">
        <v>235</v>
      </c>
      <c r="G24" t="s">
        <v>268</v>
      </c>
      <c r="H24" t="s">
        <v>1003</v>
      </c>
      <c r="I24" t="s">
        <v>1008</v>
      </c>
      <c r="J24" t="s">
        <v>1059</v>
      </c>
      <c r="K24" t="s">
        <v>1037</v>
      </c>
      <c r="L24" t="s">
        <v>998</v>
      </c>
      <c r="M24" t="s">
        <v>165</v>
      </c>
      <c r="N24" t="s">
        <v>50</v>
      </c>
      <c r="P24" t="s">
        <v>1060</v>
      </c>
      <c r="Q24" t="s">
        <v>97</v>
      </c>
      <c r="R24" t="s">
        <v>77</v>
      </c>
      <c r="S24" t="s">
        <v>195</v>
      </c>
      <c r="T24" t="s">
        <v>143</v>
      </c>
      <c r="U24" t="s">
        <v>92</v>
      </c>
      <c r="V24" t="s">
        <v>1009</v>
      </c>
      <c r="W24" t="s">
        <v>1059</v>
      </c>
      <c r="X24" s="5">
        <v>45314</v>
      </c>
      <c r="Y24" t="s">
        <v>1037</v>
      </c>
      <c r="Z24" t="s">
        <v>1001</v>
      </c>
      <c r="AA24" t="s">
        <v>994</v>
      </c>
      <c r="AB24">
        <v>1592.3999999999999</v>
      </c>
      <c r="AC24" t="s">
        <v>670</v>
      </c>
      <c r="AD24">
        <v>1077</v>
      </c>
      <c r="AE24" t="s">
        <v>1061</v>
      </c>
      <c r="AF24" s="5">
        <v>45322</v>
      </c>
      <c r="AG24" t="s">
        <v>922</v>
      </c>
    </row>
    <row r="25" spans="1:33" x14ac:dyDescent="0.25">
      <c r="A25" t="s">
        <v>348</v>
      </c>
      <c r="B25" t="s">
        <v>349</v>
      </c>
      <c r="C25" t="s">
        <v>350</v>
      </c>
      <c r="D25" t="s">
        <v>55</v>
      </c>
      <c r="E25" t="s">
        <v>76</v>
      </c>
      <c r="F25" t="s">
        <v>235</v>
      </c>
      <c r="G25" t="s">
        <v>137</v>
      </c>
      <c r="H25" t="s">
        <v>1003</v>
      </c>
      <c r="J25" t="s">
        <v>1062</v>
      </c>
      <c r="K25" t="s">
        <v>1017</v>
      </c>
      <c r="L25" t="s">
        <v>998</v>
      </c>
      <c r="M25" t="s">
        <v>170</v>
      </c>
      <c r="N25" t="s">
        <v>39</v>
      </c>
      <c r="O25" t="s">
        <v>126</v>
      </c>
      <c r="P25" t="s">
        <v>1063</v>
      </c>
      <c r="Q25" t="s">
        <v>188</v>
      </c>
      <c r="R25" t="s">
        <v>77</v>
      </c>
      <c r="S25" t="s">
        <v>195</v>
      </c>
      <c r="T25" t="s">
        <v>143</v>
      </c>
      <c r="U25" t="s">
        <v>92</v>
      </c>
      <c r="V25" t="s">
        <v>1001</v>
      </c>
      <c r="W25" t="s">
        <v>1062</v>
      </c>
      <c r="X25" s="5">
        <v>45363</v>
      </c>
      <c r="Y25" t="s">
        <v>1017</v>
      </c>
      <c r="Z25" t="s">
        <v>126</v>
      </c>
      <c r="AA25" t="s">
        <v>1005</v>
      </c>
      <c r="AB25">
        <v>0</v>
      </c>
      <c r="AC25" t="s">
        <v>348</v>
      </c>
      <c r="AD25">
        <v>1151</v>
      </c>
      <c r="AE25" t="s">
        <v>1002</v>
      </c>
      <c r="AF25" s="5">
        <v>45382</v>
      </c>
      <c r="AG25" t="s">
        <v>921</v>
      </c>
    </row>
    <row r="26" spans="1:33" x14ac:dyDescent="0.25">
      <c r="A26" t="s">
        <v>458</v>
      </c>
      <c r="B26" t="s">
        <v>459</v>
      </c>
      <c r="C26" t="s">
        <v>147</v>
      </c>
      <c r="D26" t="s">
        <v>55</v>
      </c>
      <c r="E26" t="s">
        <v>32</v>
      </c>
      <c r="F26" t="s">
        <v>235</v>
      </c>
      <c r="G26" t="s">
        <v>318</v>
      </c>
      <c r="H26" t="s">
        <v>1003</v>
      </c>
      <c r="I26" t="s">
        <v>1064</v>
      </c>
      <c r="J26" t="s">
        <v>1065</v>
      </c>
      <c r="K26" t="s">
        <v>1000</v>
      </c>
      <c r="L26" t="s">
        <v>37</v>
      </c>
      <c r="M26" t="s">
        <v>70</v>
      </c>
      <c r="N26" t="s">
        <v>111</v>
      </c>
      <c r="P26" t="s">
        <v>1066</v>
      </c>
      <c r="Q26" t="s">
        <v>188</v>
      </c>
      <c r="R26" t="s">
        <v>77</v>
      </c>
      <c r="S26" t="s">
        <v>195</v>
      </c>
      <c r="T26" t="s">
        <v>37</v>
      </c>
      <c r="U26" t="s">
        <v>70</v>
      </c>
      <c r="V26" t="s">
        <v>1064</v>
      </c>
      <c r="W26" t="s">
        <v>1065</v>
      </c>
      <c r="X26" s="5">
        <v>45399</v>
      </c>
      <c r="Y26" t="s">
        <v>1000</v>
      </c>
      <c r="Z26" t="s">
        <v>1001</v>
      </c>
      <c r="AA26" t="s">
        <v>1015</v>
      </c>
      <c r="AB26">
        <v>177.55</v>
      </c>
      <c r="AC26" t="s">
        <v>458</v>
      </c>
      <c r="AD26">
        <v>1132</v>
      </c>
      <c r="AE26" t="s">
        <v>1067</v>
      </c>
      <c r="AF26" s="5">
        <v>45412</v>
      </c>
      <c r="AG26" t="s">
        <v>883</v>
      </c>
    </row>
    <row r="27" spans="1:33" x14ac:dyDescent="0.25">
      <c r="A27" t="s">
        <v>707</v>
      </c>
      <c r="B27" t="s">
        <v>708</v>
      </c>
      <c r="C27" t="s">
        <v>709</v>
      </c>
      <c r="D27" t="s">
        <v>44</v>
      </c>
      <c r="E27" t="s">
        <v>45</v>
      </c>
      <c r="F27" t="s">
        <v>235</v>
      </c>
      <c r="G27" t="s">
        <v>78</v>
      </c>
      <c r="H27" t="s">
        <v>35</v>
      </c>
      <c r="I27" t="s">
        <v>1068</v>
      </c>
      <c r="J27" t="s">
        <v>1069</v>
      </c>
      <c r="K27" t="s">
        <v>1000</v>
      </c>
      <c r="L27" t="s">
        <v>998</v>
      </c>
      <c r="M27" t="s">
        <v>70</v>
      </c>
      <c r="O27" t="s">
        <v>126</v>
      </c>
      <c r="P27" t="s">
        <v>1070</v>
      </c>
      <c r="Q27" t="s">
        <v>44</v>
      </c>
      <c r="R27" t="s">
        <v>77</v>
      </c>
      <c r="S27" t="s">
        <v>195</v>
      </c>
      <c r="T27" t="s">
        <v>143</v>
      </c>
      <c r="U27" t="s">
        <v>70</v>
      </c>
      <c r="V27" t="s">
        <v>1068</v>
      </c>
      <c r="W27" t="s">
        <v>1069</v>
      </c>
      <c r="X27" s="5">
        <v>45506</v>
      </c>
      <c r="Y27" t="s">
        <v>1000</v>
      </c>
      <c r="Z27" t="s">
        <v>126</v>
      </c>
      <c r="AA27" t="s">
        <v>1015</v>
      </c>
      <c r="AB27">
        <v>705.4</v>
      </c>
      <c r="AC27" t="s">
        <v>707</v>
      </c>
      <c r="AD27">
        <v>1106</v>
      </c>
      <c r="AE27" t="s">
        <v>1024</v>
      </c>
      <c r="AF27" s="5">
        <v>45535</v>
      </c>
      <c r="AG27" t="s">
        <v>880</v>
      </c>
    </row>
    <row r="28" spans="1:33" x14ac:dyDescent="0.25">
      <c r="A28" t="s">
        <v>245</v>
      </c>
      <c r="B28" t="s">
        <v>246</v>
      </c>
      <c r="C28" t="s">
        <v>247</v>
      </c>
      <c r="D28" t="s">
        <v>194</v>
      </c>
      <c r="E28" t="s">
        <v>65</v>
      </c>
      <c r="F28" t="s">
        <v>235</v>
      </c>
      <c r="G28" t="s">
        <v>78</v>
      </c>
      <c r="H28" t="s">
        <v>35</v>
      </c>
      <c r="I28" t="s">
        <v>1009</v>
      </c>
      <c r="J28" t="s">
        <v>1071</v>
      </c>
      <c r="K28" t="s">
        <v>1000</v>
      </c>
      <c r="L28" t="s">
        <v>79</v>
      </c>
      <c r="M28" t="s">
        <v>208</v>
      </c>
      <c r="N28" t="s">
        <v>50</v>
      </c>
      <c r="O28" t="s">
        <v>1044</v>
      </c>
      <c r="P28" t="s">
        <v>1072</v>
      </c>
      <c r="Q28" t="s">
        <v>97</v>
      </c>
      <c r="R28" t="s">
        <v>77</v>
      </c>
      <c r="S28" t="s">
        <v>195</v>
      </c>
      <c r="T28" t="s">
        <v>102</v>
      </c>
      <c r="U28" t="s">
        <v>86</v>
      </c>
      <c r="V28" t="s">
        <v>1009</v>
      </c>
      <c r="W28" t="s">
        <v>1071</v>
      </c>
      <c r="X28" s="5">
        <v>45376</v>
      </c>
      <c r="Y28" t="s">
        <v>1000</v>
      </c>
      <c r="Z28" t="s">
        <v>1046</v>
      </c>
      <c r="AA28" t="s">
        <v>994</v>
      </c>
      <c r="AB28">
        <v>1054.74</v>
      </c>
      <c r="AC28" t="s">
        <v>245</v>
      </c>
      <c r="AD28">
        <v>1210</v>
      </c>
      <c r="AE28" t="s">
        <v>1002</v>
      </c>
      <c r="AF28" s="5">
        <v>45382</v>
      </c>
      <c r="AG28" t="s">
        <v>913</v>
      </c>
    </row>
    <row r="29" spans="1:33" x14ac:dyDescent="0.25">
      <c r="A29" t="s">
        <v>730</v>
      </c>
      <c r="B29" t="s">
        <v>731</v>
      </c>
      <c r="C29" t="s">
        <v>732</v>
      </c>
      <c r="D29" t="s">
        <v>116</v>
      </c>
      <c r="E29" t="s">
        <v>117</v>
      </c>
      <c r="F29" t="s">
        <v>235</v>
      </c>
      <c r="G29" t="s">
        <v>137</v>
      </c>
      <c r="H29" t="s">
        <v>1003</v>
      </c>
      <c r="I29" t="s">
        <v>1073</v>
      </c>
      <c r="J29" t="s">
        <v>1074</v>
      </c>
      <c r="K29" t="s">
        <v>990</v>
      </c>
      <c r="L29" t="s">
        <v>260</v>
      </c>
      <c r="M29" t="s">
        <v>70</v>
      </c>
      <c r="O29" t="s">
        <v>40</v>
      </c>
      <c r="P29" t="s">
        <v>1075</v>
      </c>
      <c r="Q29" t="s">
        <v>162</v>
      </c>
      <c r="R29" t="s">
        <v>77</v>
      </c>
      <c r="S29" t="s">
        <v>195</v>
      </c>
      <c r="T29" t="s">
        <v>143</v>
      </c>
      <c r="U29" t="s">
        <v>70</v>
      </c>
      <c r="V29" t="s">
        <v>1073</v>
      </c>
      <c r="W29" t="s">
        <v>1074</v>
      </c>
      <c r="X29" s="5">
        <v>45616</v>
      </c>
      <c r="Y29" t="s">
        <v>990</v>
      </c>
      <c r="Z29" t="s">
        <v>40</v>
      </c>
      <c r="AA29" t="s">
        <v>994</v>
      </c>
      <c r="AB29">
        <v>1044.2</v>
      </c>
      <c r="AC29" t="s">
        <v>730</v>
      </c>
      <c r="AD29">
        <v>1122</v>
      </c>
      <c r="AE29" t="s">
        <v>1040</v>
      </c>
      <c r="AF29" s="5">
        <v>45626</v>
      </c>
      <c r="AG29" t="s">
        <v>898</v>
      </c>
    </row>
    <row r="30" spans="1:33" x14ac:dyDescent="0.25">
      <c r="A30" t="s">
        <v>730</v>
      </c>
      <c r="B30" t="s">
        <v>731</v>
      </c>
      <c r="C30" t="s">
        <v>732</v>
      </c>
      <c r="D30" t="s">
        <v>116</v>
      </c>
      <c r="E30" t="s">
        <v>117</v>
      </c>
      <c r="F30" t="s">
        <v>235</v>
      </c>
      <c r="G30" t="s">
        <v>137</v>
      </c>
      <c r="H30" t="s">
        <v>1003</v>
      </c>
      <c r="I30" t="s">
        <v>1073</v>
      </c>
      <c r="J30" t="s">
        <v>1074</v>
      </c>
      <c r="K30" t="s">
        <v>990</v>
      </c>
      <c r="L30" t="s">
        <v>260</v>
      </c>
      <c r="M30" t="s">
        <v>70</v>
      </c>
      <c r="O30" t="s">
        <v>40</v>
      </c>
      <c r="P30" t="s">
        <v>1075</v>
      </c>
      <c r="Q30" t="s">
        <v>162</v>
      </c>
      <c r="R30" t="s">
        <v>77</v>
      </c>
      <c r="S30" t="s">
        <v>195</v>
      </c>
      <c r="T30" t="s">
        <v>143</v>
      </c>
      <c r="U30" t="s">
        <v>70</v>
      </c>
      <c r="V30" t="s">
        <v>1073</v>
      </c>
      <c r="W30" t="s">
        <v>1074</v>
      </c>
      <c r="X30" s="5">
        <v>45616</v>
      </c>
      <c r="Y30" t="s">
        <v>990</v>
      </c>
      <c r="Z30" t="s">
        <v>40</v>
      </c>
      <c r="AA30" t="s">
        <v>994</v>
      </c>
      <c r="AB30">
        <v>1044.2</v>
      </c>
      <c r="AC30" t="s">
        <v>730</v>
      </c>
      <c r="AD30">
        <v>1122</v>
      </c>
      <c r="AE30" t="s">
        <v>1040</v>
      </c>
      <c r="AF30" s="5">
        <v>45626</v>
      </c>
      <c r="AG30" t="s">
        <v>898</v>
      </c>
    </row>
    <row r="31" spans="1:33" x14ac:dyDescent="0.25">
      <c r="A31" t="s">
        <v>232</v>
      </c>
      <c r="B31" t="s">
        <v>233</v>
      </c>
      <c r="C31" t="s">
        <v>234</v>
      </c>
      <c r="D31" t="s">
        <v>18</v>
      </c>
      <c r="E31" t="s">
        <v>19</v>
      </c>
      <c r="F31" t="s">
        <v>235</v>
      </c>
      <c r="G31" t="s">
        <v>236</v>
      </c>
      <c r="H31" t="s">
        <v>68</v>
      </c>
      <c r="I31" t="s">
        <v>997</v>
      </c>
      <c r="J31" t="s">
        <v>1076</v>
      </c>
      <c r="K31" t="s">
        <v>1077</v>
      </c>
      <c r="L31" t="s">
        <v>37</v>
      </c>
      <c r="M31" t="s">
        <v>25</v>
      </c>
      <c r="O31" t="s">
        <v>1001</v>
      </c>
      <c r="P31" t="s">
        <v>1078</v>
      </c>
      <c r="Q31" t="s">
        <v>162</v>
      </c>
      <c r="R31" t="s">
        <v>77</v>
      </c>
      <c r="S31" t="s">
        <v>68</v>
      </c>
      <c r="T31" t="s">
        <v>37</v>
      </c>
      <c r="U31" t="s">
        <v>86</v>
      </c>
      <c r="V31" t="s">
        <v>997</v>
      </c>
      <c r="W31" t="s">
        <v>1076</v>
      </c>
      <c r="X31" s="5">
        <v>45465</v>
      </c>
      <c r="Y31" t="s">
        <v>1077</v>
      </c>
      <c r="Z31" t="s">
        <v>1001</v>
      </c>
      <c r="AA31" t="s">
        <v>1015</v>
      </c>
      <c r="AB31">
        <v>489.15</v>
      </c>
      <c r="AC31" t="s">
        <v>232</v>
      </c>
      <c r="AD31">
        <v>1190</v>
      </c>
      <c r="AE31" t="s">
        <v>1079</v>
      </c>
      <c r="AF31" s="5">
        <v>45473</v>
      </c>
      <c r="AG31" t="s">
        <v>902</v>
      </c>
    </row>
    <row r="32" spans="1:33" x14ac:dyDescent="0.25">
      <c r="A32" t="s">
        <v>552</v>
      </c>
      <c r="B32" t="s">
        <v>553</v>
      </c>
      <c r="C32" t="s">
        <v>996</v>
      </c>
      <c r="D32" t="s">
        <v>18</v>
      </c>
      <c r="E32" t="s">
        <v>117</v>
      </c>
      <c r="F32" t="s">
        <v>235</v>
      </c>
      <c r="G32" t="s">
        <v>137</v>
      </c>
      <c r="H32" t="s">
        <v>1003</v>
      </c>
      <c r="I32" t="s">
        <v>989</v>
      </c>
      <c r="J32" t="s">
        <v>1080</v>
      </c>
      <c r="K32" t="s">
        <v>1017</v>
      </c>
      <c r="L32" t="s">
        <v>79</v>
      </c>
      <c r="M32" t="s">
        <v>25</v>
      </c>
      <c r="N32" t="s">
        <v>71</v>
      </c>
      <c r="O32" t="s">
        <v>1044</v>
      </c>
      <c r="P32" t="s">
        <v>996</v>
      </c>
      <c r="Q32" t="s">
        <v>162</v>
      </c>
      <c r="R32" t="s">
        <v>77</v>
      </c>
      <c r="S32" t="s">
        <v>195</v>
      </c>
      <c r="T32" t="s">
        <v>102</v>
      </c>
      <c r="U32" t="s">
        <v>86</v>
      </c>
      <c r="V32" t="s">
        <v>989</v>
      </c>
      <c r="W32" t="s">
        <v>1080</v>
      </c>
      <c r="X32" s="5">
        <v>45612</v>
      </c>
      <c r="Y32" t="s">
        <v>1017</v>
      </c>
      <c r="Z32" t="s">
        <v>1046</v>
      </c>
      <c r="AA32" t="s">
        <v>1015</v>
      </c>
      <c r="AB32">
        <v>736.08</v>
      </c>
      <c r="AC32" t="s">
        <v>552</v>
      </c>
      <c r="AD32">
        <v>1206</v>
      </c>
      <c r="AE32" t="s">
        <v>1040</v>
      </c>
      <c r="AF32" s="5">
        <v>45626</v>
      </c>
      <c r="AG32" t="s">
        <v>922</v>
      </c>
    </row>
    <row r="33" spans="1:33" x14ac:dyDescent="0.25">
      <c r="A33" t="s">
        <v>361</v>
      </c>
      <c r="B33" t="s">
        <v>362</v>
      </c>
      <c r="C33" t="s">
        <v>363</v>
      </c>
      <c r="D33" t="s">
        <v>194</v>
      </c>
      <c r="E33" t="s">
        <v>65</v>
      </c>
      <c r="F33" t="s">
        <v>235</v>
      </c>
      <c r="G33" t="s">
        <v>137</v>
      </c>
      <c r="H33" t="s">
        <v>68</v>
      </c>
      <c r="I33" t="s">
        <v>1056</v>
      </c>
      <c r="J33" t="s">
        <v>1081</v>
      </c>
      <c r="L33" t="s">
        <v>37</v>
      </c>
      <c r="M33" t="s">
        <v>208</v>
      </c>
      <c r="N33" t="s">
        <v>26</v>
      </c>
      <c r="O33" t="s">
        <v>991</v>
      </c>
      <c r="P33" t="s">
        <v>1082</v>
      </c>
      <c r="Q33" t="s">
        <v>97</v>
      </c>
      <c r="R33" t="s">
        <v>77</v>
      </c>
      <c r="S33" t="s">
        <v>68</v>
      </c>
      <c r="T33" t="s">
        <v>37</v>
      </c>
      <c r="U33" t="s">
        <v>86</v>
      </c>
      <c r="V33" t="s">
        <v>1016</v>
      </c>
      <c r="W33" t="s">
        <v>1081</v>
      </c>
      <c r="X33" s="5">
        <v>45490</v>
      </c>
      <c r="Y33" t="s">
        <v>1000</v>
      </c>
      <c r="Z33" t="s">
        <v>991</v>
      </c>
      <c r="AA33" t="s">
        <v>1015</v>
      </c>
      <c r="AB33">
        <v>696.74</v>
      </c>
      <c r="AC33" t="s">
        <v>361</v>
      </c>
      <c r="AD33">
        <v>1129</v>
      </c>
      <c r="AE33" t="s">
        <v>1020</v>
      </c>
      <c r="AF33" s="5">
        <v>45504</v>
      </c>
      <c r="AG33" t="s">
        <v>912</v>
      </c>
    </row>
    <row r="34" spans="1:33" x14ac:dyDescent="0.25">
      <c r="A34" t="s">
        <v>572</v>
      </c>
      <c r="B34" t="s">
        <v>321</v>
      </c>
      <c r="C34" t="s">
        <v>573</v>
      </c>
      <c r="D34" t="s">
        <v>194</v>
      </c>
      <c r="E34" t="s">
        <v>65</v>
      </c>
      <c r="F34" t="s">
        <v>235</v>
      </c>
      <c r="G34" t="s">
        <v>318</v>
      </c>
      <c r="H34" t="s">
        <v>68</v>
      </c>
      <c r="I34" t="s">
        <v>997</v>
      </c>
      <c r="J34" t="s">
        <v>1083</v>
      </c>
      <c r="K34" t="s">
        <v>138</v>
      </c>
      <c r="L34" t="s">
        <v>69</v>
      </c>
      <c r="M34" t="s">
        <v>208</v>
      </c>
      <c r="N34" t="s">
        <v>26</v>
      </c>
      <c r="O34" t="s">
        <v>1026</v>
      </c>
      <c r="P34" t="s">
        <v>1084</v>
      </c>
      <c r="Q34" t="s">
        <v>97</v>
      </c>
      <c r="R34" t="s">
        <v>77</v>
      </c>
      <c r="S34" t="s">
        <v>68</v>
      </c>
      <c r="T34" t="s">
        <v>139</v>
      </c>
      <c r="U34" t="s">
        <v>86</v>
      </c>
      <c r="V34" t="s">
        <v>997</v>
      </c>
      <c r="W34" t="s">
        <v>1083</v>
      </c>
      <c r="X34" s="5">
        <v>45608</v>
      </c>
      <c r="Y34" t="s">
        <v>138</v>
      </c>
      <c r="Z34" t="s">
        <v>1026</v>
      </c>
      <c r="AA34" t="s">
        <v>1015</v>
      </c>
      <c r="AB34">
        <v>274.95</v>
      </c>
      <c r="AC34" t="s">
        <v>572</v>
      </c>
      <c r="AD34">
        <v>1181</v>
      </c>
      <c r="AE34" t="s">
        <v>1040</v>
      </c>
      <c r="AF34" s="5">
        <v>45626</v>
      </c>
      <c r="AG34" t="s">
        <v>922</v>
      </c>
    </row>
    <row r="35" spans="1:33" x14ac:dyDescent="0.25">
      <c r="A35" t="s">
        <v>464</v>
      </c>
      <c r="B35" t="s">
        <v>465</v>
      </c>
      <c r="C35" t="s">
        <v>466</v>
      </c>
      <c r="D35" t="s">
        <v>194</v>
      </c>
      <c r="F35" t="s">
        <v>235</v>
      </c>
      <c r="G35" t="s">
        <v>318</v>
      </c>
      <c r="H35" t="s">
        <v>68</v>
      </c>
      <c r="I35" t="s">
        <v>1073</v>
      </c>
      <c r="J35" t="s">
        <v>1085</v>
      </c>
      <c r="K35" t="s">
        <v>1077</v>
      </c>
      <c r="L35" t="s">
        <v>260</v>
      </c>
      <c r="M35" t="s">
        <v>158</v>
      </c>
      <c r="N35" t="s">
        <v>39</v>
      </c>
      <c r="O35" t="s">
        <v>991</v>
      </c>
      <c r="P35" t="s">
        <v>1086</v>
      </c>
      <c r="Q35" t="s">
        <v>97</v>
      </c>
      <c r="R35" t="s">
        <v>77</v>
      </c>
      <c r="S35" t="s">
        <v>68</v>
      </c>
      <c r="T35" t="s">
        <v>143</v>
      </c>
      <c r="U35" t="s">
        <v>201</v>
      </c>
      <c r="V35" t="s">
        <v>1073</v>
      </c>
      <c r="W35" t="s">
        <v>1085</v>
      </c>
      <c r="X35" s="5">
        <v>45347</v>
      </c>
      <c r="Y35" t="s">
        <v>1077</v>
      </c>
      <c r="Z35" t="s">
        <v>991</v>
      </c>
      <c r="AA35" t="s">
        <v>1015</v>
      </c>
      <c r="AB35">
        <v>300.2</v>
      </c>
      <c r="AC35" t="s">
        <v>464</v>
      </c>
      <c r="AD35">
        <v>1090</v>
      </c>
      <c r="AE35" t="s">
        <v>1011</v>
      </c>
      <c r="AF35" s="5">
        <v>45351</v>
      </c>
      <c r="AG35" t="s">
        <v>918</v>
      </c>
    </row>
    <row r="36" spans="1:33" x14ac:dyDescent="0.25">
      <c r="A36" t="s">
        <v>640</v>
      </c>
      <c r="B36" t="s">
        <v>641</v>
      </c>
      <c r="C36" t="s">
        <v>642</v>
      </c>
      <c r="D36" t="s">
        <v>194</v>
      </c>
      <c r="E36" t="s">
        <v>98</v>
      </c>
      <c r="F36" t="s">
        <v>235</v>
      </c>
      <c r="G36" t="s">
        <v>137</v>
      </c>
      <c r="H36" t="s">
        <v>68</v>
      </c>
      <c r="I36" t="s">
        <v>989</v>
      </c>
      <c r="J36" t="s">
        <v>1087</v>
      </c>
      <c r="L36" t="s">
        <v>79</v>
      </c>
      <c r="M36" t="s">
        <v>208</v>
      </c>
      <c r="N36" t="s">
        <v>39</v>
      </c>
      <c r="O36" t="s">
        <v>1026</v>
      </c>
      <c r="P36" t="s">
        <v>642</v>
      </c>
      <c r="Q36" t="s">
        <v>97</v>
      </c>
      <c r="R36" t="s">
        <v>77</v>
      </c>
      <c r="S36" t="s">
        <v>68</v>
      </c>
      <c r="T36" t="s">
        <v>102</v>
      </c>
      <c r="U36" t="s">
        <v>86</v>
      </c>
      <c r="V36" t="s">
        <v>989</v>
      </c>
      <c r="W36" t="s">
        <v>1087</v>
      </c>
      <c r="X36" s="5">
        <v>45601</v>
      </c>
      <c r="Y36" t="s">
        <v>1000</v>
      </c>
      <c r="Z36" t="s">
        <v>1026</v>
      </c>
      <c r="AA36" t="s">
        <v>1015</v>
      </c>
      <c r="AB36">
        <v>110.4</v>
      </c>
      <c r="AC36" t="s">
        <v>640</v>
      </c>
      <c r="AD36">
        <v>1188</v>
      </c>
      <c r="AE36" t="s">
        <v>1040</v>
      </c>
      <c r="AF36" s="5">
        <v>45626</v>
      </c>
      <c r="AG36" t="s">
        <v>927</v>
      </c>
    </row>
    <row r="37" spans="1:33" x14ac:dyDescent="0.25">
      <c r="A37" t="s">
        <v>498</v>
      </c>
      <c r="B37" t="s">
        <v>186</v>
      </c>
      <c r="C37" t="s">
        <v>499</v>
      </c>
      <c r="D37" t="s">
        <v>44</v>
      </c>
      <c r="E37" t="s">
        <v>45</v>
      </c>
      <c r="F37" t="s">
        <v>235</v>
      </c>
      <c r="G37" t="s">
        <v>236</v>
      </c>
      <c r="H37" t="s">
        <v>1003</v>
      </c>
      <c r="I37" t="s">
        <v>1008</v>
      </c>
      <c r="J37" t="s">
        <v>1088</v>
      </c>
      <c r="K37" t="s">
        <v>990</v>
      </c>
      <c r="L37" t="s">
        <v>998</v>
      </c>
      <c r="M37" t="s">
        <v>208</v>
      </c>
      <c r="N37" t="s">
        <v>39</v>
      </c>
      <c r="O37" t="s">
        <v>87</v>
      </c>
      <c r="P37" t="s">
        <v>1089</v>
      </c>
      <c r="Q37" t="s">
        <v>44</v>
      </c>
      <c r="R37" t="s">
        <v>77</v>
      </c>
      <c r="S37" t="s">
        <v>195</v>
      </c>
      <c r="T37" t="s">
        <v>143</v>
      </c>
      <c r="U37" t="s">
        <v>86</v>
      </c>
      <c r="V37" t="s">
        <v>1009</v>
      </c>
      <c r="W37" t="s">
        <v>1088</v>
      </c>
      <c r="X37" s="5">
        <v>45416</v>
      </c>
      <c r="Y37" t="s">
        <v>990</v>
      </c>
      <c r="Z37" t="s">
        <v>87</v>
      </c>
      <c r="AA37" t="s">
        <v>1015</v>
      </c>
      <c r="AB37">
        <v>45.42</v>
      </c>
      <c r="AC37" t="s">
        <v>498</v>
      </c>
      <c r="AD37">
        <v>1119</v>
      </c>
      <c r="AE37" t="s">
        <v>1029</v>
      </c>
      <c r="AF37" s="5">
        <v>45443</v>
      </c>
      <c r="AG37" t="s">
        <v>908</v>
      </c>
    </row>
    <row r="38" spans="1:33" x14ac:dyDescent="0.25">
      <c r="A38" t="s">
        <v>494</v>
      </c>
      <c r="B38" t="s">
        <v>495</v>
      </c>
      <c r="C38" t="s">
        <v>854</v>
      </c>
      <c r="D38" t="s">
        <v>55</v>
      </c>
      <c r="E38" t="s">
        <v>76</v>
      </c>
      <c r="F38" t="s">
        <v>136</v>
      </c>
      <c r="G38" t="s">
        <v>268</v>
      </c>
      <c r="H38" t="s">
        <v>1003</v>
      </c>
      <c r="I38" t="s">
        <v>1090</v>
      </c>
      <c r="J38" t="s">
        <v>1091</v>
      </c>
      <c r="L38" t="s">
        <v>260</v>
      </c>
      <c r="M38" t="s">
        <v>170</v>
      </c>
      <c r="N38" t="s">
        <v>26</v>
      </c>
      <c r="O38" t="s">
        <v>87</v>
      </c>
      <c r="P38" t="s">
        <v>1092</v>
      </c>
      <c r="Q38" t="s">
        <v>188</v>
      </c>
      <c r="R38" t="s">
        <v>77</v>
      </c>
      <c r="S38" t="s">
        <v>195</v>
      </c>
      <c r="T38" t="s">
        <v>143</v>
      </c>
      <c r="U38" t="s">
        <v>92</v>
      </c>
      <c r="V38" t="s">
        <v>1090</v>
      </c>
      <c r="W38" t="s">
        <v>1093</v>
      </c>
      <c r="X38" s="5">
        <v>45587</v>
      </c>
      <c r="Y38" t="s">
        <v>1000</v>
      </c>
      <c r="Z38" t="s">
        <v>87</v>
      </c>
      <c r="AA38" t="s">
        <v>994</v>
      </c>
      <c r="AB38">
        <v>1523.6899999999998</v>
      </c>
      <c r="AC38" t="s">
        <v>494</v>
      </c>
      <c r="AD38">
        <v>1135</v>
      </c>
      <c r="AE38" t="s">
        <v>1094</v>
      </c>
      <c r="AF38" s="5">
        <v>45596</v>
      </c>
      <c r="AG38" t="s">
        <v>918</v>
      </c>
    </row>
    <row r="39" spans="1:33" x14ac:dyDescent="0.25">
      <c r="A39" t="s">
        <v>494</v>
      </c>
      <c r="B39" t="s">
        <v>495</v>
      </c>
      <c r="C39" t="s">
        <v>496</v>
      </c>
      <c r="D39" t="s">
        <v>55</v>
      </c>
      <c r="E39" t="s">
        <v>76</v>
      </c>
      <c r="F39" t="s">
        <v>136</v>
      </c>
      <c r="G39" t="s">
        <v>268</v>
      </c>
      <c r="H39" t="s">
        <v>1003</v>
      </c>
      <c r="I39" t="s">
        <v>1090</v>
      </c>
      <c r="J39" t="s">
        <v>1091</v>
      </c>
      <c r="L39" t="s">
        <v>260</v>
      </c>
      <c r="M39" t="s">
        <v>170</v>
      </c>
      <c r="N39" t="s">
        <v>26</v>
      </c>
      <c r="O39" t="s">
        <v>87</v>
      </c>
      <c r="P39" t="s">
        <v>1095</v>
      </c>
      <c r="Q39" t="s">
        <v>188</v>
      </c>
      <c r="R39" t="s">
        <v>77</v>
      </c>
      <c r="S39" t="s">
        <v>195</v>
      </c>
      <c r="T39" t="s">
        <v>143</v>
      </c>
      <c r="U39" t="s">
        <v>92</v>
      </c>
      <c r="V39" t="s">
        <v>1090</v>
      </c>
      <c r="W39" t="s">
        <v>1093</v>
      </c>
      <c r="X39" s="5">
        <v>45587</v>
      </c>
      <c r="Y39" t="s">
        <v>1000</v>
      </c>
      <c r="Z39" t="s">
        <v>87</v>
      </c>
      <c r="AA39" t="s">
        <v>994</v>
      </c>
      <c r="AB39">
        <v>1523.6899999999998</v>
      </c>
      <c r="AC39" t="s">
        <v>494</v>
      </c>
      <c r="AD39">
        <v>1135</v>
      </c>
      <c r="AE39" t="s">
        <v>1094</v>
      </c>
      <c r="AF39" s="5">
        <v>45596</v>
      </c>
      <c r="AG39" t="s">
        <v>918</v>
      </c>
    </row>
    <row r="40" spans="1:33" x14ac:dyDescent="0.25">
      <c r="A40" t="s">
        <v>421</v>
      </c>
      <c r="B40" t="s">
        <v>422</v>
      </c>
      <c r="C40" t="s">
        <v>423</v>
      </c>
      <c r="D40" t="s">
        <v>116</v>
      </c>
      <c r="E40" t="s">
        <v>117</v>
      </c>
      <c r="F40" t="s">
        <v>136</v>
      </c>
      <c r="G40" t="s">
        <v>236</v>
      </c>
      <c r="H40" t="s">
        <v>68</v>
      </c>
      <c r="I40" t="s">
        <v>1012</v>
      </c>
      <c r="J40" t="s">
        <v>1096</v>
      </c>
      <c r="K40" t="s">
        <v>347</v>
      </c>
      <c r="L40" t="s">
        <v>998</v>
      </c>
      <c r="M40" t="s">
        <v>208</v>
      </c>
      <c r="N40" t="s">
        <v>111</v>
      </c>
      <c r="P40" t="s">
        <v>1097</v>
      </c>
      <c r="Q40" t="s">
        <v>162</v>
      </c>
      <c r="R40" t="s">
        <v>77</v>
      </c>
      <c r="S40" t="s">
        <v>68</v>
      </c>
      <c r="T40" t="s">
        <v>143</v>
      </c>
      <c r="U40" t="s">
        <v>86</v>
      </c>
      <c r="V40" t="s">
        <v>1012</v>
      </c>
      <c r="W40" t="s">
        <v>1096</v>
      </c>
      <c r="X40" s="5">
        <v>45467</v>
      </c>
      <c r="Y40" t="s">
        <v>347</v>
      </c>
      <c r="Z40" t="s">
        <v>1001</v>
      </c>
      <c r="AA40" t="s">
        <v>994</v>
      </c>
      <c r="AB40">
        <v>1393.92</v>
      </c>
      <c r="AC40" t="s">
        <v>421</v>
      </c>
      <c r="AD40">
        <v>1229</v>
      </c>
      <c r="AE40" t="s">
        <v>1079</v>
      </c>
      <c r="AF40" s="5">
        <v>45473</v>
      </c>
      <c r="AG40" t="s">
        <v>915</v>
      </c>
    </row>
    <row r="41" spans="1:33" x14ac:dyDescent="0.25">
      <c r="A41" t="s">
        <v>503</v>
      </c>
      <c r="B41" t="s">
        <v>504</v>
      </c>
      <c r="C41" t="s">
        <v>505</v>
      </c>
      <c r="D41" t="s">
        <v>55</v>
      </c>
      <c r="F41" t="s">
        <v>136</v>
      </c>
      <c r="G41" t="s">
        <v>236</v>
      </c>
      <c r="H41" t="s">
        <v>1003</v>
      </c>
      <c r="I41" t="s">
        <v>1090</v>
      </c>
      <c r="J41" t="s">
        <v>1098</v>
      </c>
      <c r="K41" t="s">
        <v>347</v>
      </c>
      <c r="L41" t="s">
        <v>998</v>
      </c>
      <c r="M41" t="s">
        <v>25</v>
      </c>
      <c r="N41" t="s">
        <v>71</v>
      </c>
      <c r="O41" t="s">
        <v>93</v>
      </c>
      <c r="P41" t="s">
        <v>1099</v>
      </c>
      <c r="Q41" t="s">
        <v>188</v>
      </c>
      <c r="R41" t="s">
        <v>77</v>
      </c>
      <c r="S41" t="s">
        <v>195</v>
      </c>
      <c r="T41" t="s">
        <v>143</v>
      </c>
      <c r="U41" t="s">
        <v>86</v>
      </c>
      <c r="V41" t="s">
        <v>1090</v>
      </c>
      <c r="W41" t="s">
        <v>1098</v>
      </c>
      <c r="X41" s="5">
        <v>45403</v>
      </c>
      <c r="Y41" t="s">
        <v>347</v>
      </c>
      <c r="Z41" t="s">
        <v>93</v>
      </c>
      <c r="AA41" t="s">
        <v>994</v>
      </c>
      <c r="AB41">
        <v>2566.2000000000003</v>
      </c>
      <c r="AC41" t="s">
        <v>503</v>
      </c>
      <c r="AD41">
        <v>1012</v>
      </c>
      <c r="AE41" t="s">
        <v>1067</v>
      </c>
      <c r="AF41" s="5">
        <v>45412</v>
      </c>
      <c r="AG41" t="s">
        <v>918</v>
      </c>
    </row>
    <row r="42" spans="1:33" x14ac:dyDescent="0.25">
      <c r="A42" t="s">
        <v>512</v>
      </c>
      <c r="B42" t="s">
        <v>513</v>
      </c>
      <c r="C42" t="s">
        <v>216</v>
      </c>
      <c r="D42" t="s">
        <v>55</v>
      </c>
      <c r="E42" t="s">
        <v>76</v>
      </c>
      <c r="F42" t="s">
        <v>136</v>
      </c>
      <c r="G42" t="s">
        <v>78</v>
      </c>
      <c r="H42" t="s">
        <v>68</v>
      </c>
      <c r="I42" t="s">
        <v>1100</v>
      </c>
      <c r="J42" t="s">
        <v>1101</v>
      </c>
      <c r="K42" t="s">
        <v>1000</v>
      </c>
      <c r="L42" t="s">
        <v>37</v>
      </c>
      <c r="M42" t="s">
        <v>25</v>
      </c>
      <c r="N42" t="s">
        <v>26</v>
      </c>
      <c r="O42" t="s">
        <v>991</v>
      </c>
      <c r="P42" t="s">
        <v>1102</v>
      </c>
      <c r="Q42" t="s">
        <v>188</v>
      </c>
      <c r="R42" t="s">
        <v>77</v>
      </c>
      <c r="S42" t="s">
        <v>68</v>
      </c>
      <c r="T42" t="s">
        <v>37</v>
      </c>
      <c r="U42" t="s">
        <v>86</v>
      </c>
      <c r="V42" t="s">
        <v>1012</v>
      </c>
      <c r="W42" t="s">
        <v>1101</v>
      </c>
      <c r="X42" s="5">
        <v>45490</v>
      </c>
      <c r="Y42" t="s">
        <v>1000</v>
      </c>
      <c r="Z42" t="s">
        <v>991</v>
      </c>
      <c r="AA42" t="s">
        <v>1015</v>
      </c>
      <c r="AB42">
        <v>990.44999999999993</v>
      </c>
      <c r="AC42" t="s">
        <v>512</v>
      </c>
      <c r="AD42">
        <v>1155</v>
      </c>
      <c r="AE42" t="s">
        <v>1020</v>
      </c>
      <c r="AF42" s="5">
        <v>45504</v>
      </c>
      <c r="AG42" t="s">
        <v>888</v>
      </c>
    </row>
    <row r="43" spans="1:33" x14ac:dyDescent="0.25">
      <c r="A43" t="s">
        <v>386</v>
      </c>
      <c r="B43" t="s">
        <v>387</v>
      </c>
      <c r="C43" t="s">
        <v>1103</v>
      </c>
      <c r="D43" t="s">
        <v>44</v>
      </c>
      <c r="E43" t="s">
        <v>45</v>
      </c>
      <c r="F43" t="s">
        <v>136</v>
      </c>
      <c r="G43" t="s">
        <v>318</v>
      </c>
      <c r="H43" t="s">
        <v>68</v>
      </c>
      <c r="I43" t="s">
        <v>1009</v>
      </c>
      <c r="J43" t="s">
        <v>1104</v>
      </c>
      <c r="K43" t="s">
        <v>1077</v>
      </c>
      <c r="L43" t="s">
        <v>998</v>
      </c>
      <c r="M43" t="s">
        <v>25</v>
      </c>
      <c r="N43" t="s">
        <v>50</v>
      </c>
      <c r="O43" t="s">
        <v>87</v>
      </c>
      <c r="P43" t="s">
        <v>1103</v>
      </c>
      <c r="Q43" t="s">
        <v>44</v>
      </c>
      <c r="R43" t="s">
        <v>77</v>
      </c>
      <c r="S43" t="s">
        <v>68</v>
      </c>
      <c r="T43" t="s">
        <v>143</v>
      </c>
      <c r="U43" t="s">
        <v>86</v>
      </c>
      <c r="V43" t="s">
        <v>1009</v>
      </c>
      <c r="W43" t="s">
        <v>1104</v>
      </c>
      <c r="X43" s="5">
        <v>45579</v>
      </c>
      <c r="Y43" t="s">
        <v>1077</v>
      </c>
      <c r="Z43" t="s">
        <v>87</v>
      </c>
      <c r="AA43" t="s">
        <v>994</v>
      </c>
      <c r="AB43">
        <v>1869.66</v>
      </c>
      <c r="AC43" t="s">
        <v>386</v>
      </c>
      <c r="AD43">
        <v>1130</v>
      </c>
      <c r="AE43" t="s">
        <v>1094</v>
      </c>
      <c r="AF43" s="5">
        <v>45596</v>
      </c>
      <c r="AG43" t="s">
        <v>913</v>
      </c>
    </row>
    <row r="44" spans="1:33" x14ac:dyDescent="0.25">
      <c r="A44" t="s">
        <v>369</v>
      </c>
      <c r="B44" t="s">
        <v>370</v>
      </c>
      <c r="C44" t="s">
        <v>1105</v>
      </c>
      <c r="D44" t="s">
        <v>44</v>
      </c>
      <c r="E44" t="s">
        <v>125</v>
      </c>
      <c r="F44" t="s">
        <v>136</v>
      </c>
      <c r="G44" t="s">
        <v>318</v>
      </c>
      <c r="H44" t="s">
        <v>1003</v>
      </c>
      <c r="I44" t="s">
        <v>1106</v>
      </c>
      <c r="J44" t="s">
        <v>1107</v>
      </c>
      <c r="K44" t="s">
        <v>138</v>
      </c>
      <c r="L44" t="s">
        <v>69</v>
      </c>
      <c r="M44" t="s">
        <v>170</v>
      </c>
      <c r="O44" t="s">
        <v>991</v>
      </c>
      <c r="P44" t="s">
        <v>1105</v>
      </c>
      <c r="Q44" t="s">
        <v>44</v>
      </c>
      <c r="R44" t="s">
        <v>77</v>
      </c>
      <c r="S44" t="s">
        <v>195</v>
      </c>
      <c r="T44" t="s">
        <v>139</v>
      </c>
      <c r="U44" t="s">
        <v>92</v>
      </c>
      <c r="V44" t="s">
        <v>1106</v>
      </c>
      <c r="W44" t="s">
        <v>1107</v>
      </c>
      <c r="X44" s="5">
        <v>45644</v>
      </c>
      <c r="Y44" t="s">
        <v>138</v>
      </c>
      <c r="Z44" t="s">
        <v>991</v>
      </c>
      <c r="AA44" t="s">
        <v>994</v>
      </c>
      <c r="AB44">
        <v>3705.4800000000005</v>
      </c>
      <c r="AC44" t="s">
        <v>369</v>
      </c>
      <c r="AD44">
        <v>1158</v>
      </c>
      <c r="AE44" t="s">
        <v>995</v>
      </c>
      <c r="AF44" s="5">
        <v>45657</v>
      </c>
      <c r="AG44" t="s">
        <v>888</v>
      </c>
    </row>
    <row r="45" spans="1:33" x14ac:dyDescent="0.25">
      <c r="A45" t="s">
        <v>205</v>
      </c>
      <c r="B45" t="s">
        <v>206</v>
      </c>
      <c r="C45" t="s">
        <v>207</v>
      </c>
      <c r="D45" t="s">
        <v>18</v>
      </c>
      <c r="E45" t="s">
        <v>19</v>
      </c>
      <c r="F45" t="s">
        <v>136</v>
      </c>
      <c r="G45" t="s">
        <v>78</v>
      </c>
      <c r="H45" t="s">
        <v>1003</v>
      </c>
      <c r="I45" t="s">
        <v>1106</v>
      </c>
      <c r="J45" t="s">
        <v>1108</v>
      </c>
      <c r="L45" t="s">
        <v>69</v>
      </c>
      <c r="M45" t="s">
        <v>208</v>
      </c>
      <c r="N45" t="s">
        <v>39</v>
      </c>
      <c r="O45" t="s">
        <v>40</v>
      </c>
      <c r="P45" t="s">
        <v>207</v>
      </c>
      <c r="Q45" t="s">
        <v>162</v>
      </c>
      <c r="R45" t="s">
        <v>77</v>
      </c>
      <c r="S45" t="s">
        <v>195</v>
      </c>
      <c r="T45" t="s">
        <v>139</v>
      </c>
      <c r="U45" t="s">
        <v>86</v>
      </c>
      <c r="V45" t="s">
        <v>1106</v>
      </c>
      <c r="W45" t="s">
        <v>1108</v>
      </c>
      <c r="X45" s="5">
        <v>45452</v>
      </c>
      <c r="Y45" t="s">
        <v>1000</v>
      </c>
      <c r="Z45" t="s">
        <v>40</v>
      </c>
      <c r="AA45" t="s">
        <v>994</v>
      </c>
      <c r="AB45">
        <v>3419.3999999999996</v>
      </c>
      <c r="AC45" t="s">
        <v>205</v>
      </c>
      <c r="AD45">
        <v>1205</v>
      </c>
      <c r="AE45" t="s">
        <v>1079</v>
      </c>
      <c r="AF45" s="5">
        <v>45473</v>
      </c>
      <c r="AG45" t="s">
        <v>899</v>
      </c>
    </row>
    <row r="46" spans="1:33" x14ac:dyDescent="0.25">
      <c r="A46" t="s">
        <v>269</v>
      </c>
      <c r="B46" t="s">
        <v>270</v>
      </c>
      <c r="C46" t="s">
        <v>271</v>
      </c>
      <c r="D46" t="s">
        <v>116</v>
      </c>
      <c r="E46" t="s">
        <v>19</v>
      </c>
      <c r="F46" t="s">
        <v>136</v>
      </c>
      <c r="G46" t="s">
        <v>236</v>
      </c>
      <c r="H46" t="s">
        <v>68</v>
      </c>
      <c r="J46" t="s">
        <v>1109</v>
      </c>
      <c r="L46" t="s">
        <v>79</v>
      </c>
      <c r="M46" t="s">
        <v>208</v>
      </c>
      <c r="N46" t="s">
        <v>71</v>
      </c>
      <c r="O46" t="s">
        <v>1001</v>
      </c>
      <c r="P46" t="s">
        <v>1110</v>
      </c>
      <c r="Q46" t="s">
        <v>162</v>
      </c>
      <c r="R46" t="s">
        <v>77</v>
      </c>
      <c r="S46" t="s">
        <v>68</v>
      </c>
      <c r="T46" t="s">
        <v>102</v>
      </c>
      <c r="U46" t="s">
        <v>86</v>
      </c>
      <c r="V46" t="s">
        <v>1001</v>
      </c>
      <c r="W46" t="s">
        <v>1109</v>
      </c>
      <c r="X46" s="5">
        <v>45455</v>
      </c>
      <c r="Y46" t="s">
        <v>1000</v>
      </c>
      <c r="Z46" t="s">
        <v>1001</v>
      </c>
      <c r="AA46" t="s">
        <v>1005</v>
      </c>
      <c r="AB46">
        <v>0</v>
      </c>
      <c r="AC46" t="s">
        <v>269</v>
      </c>
      <c r="AD46">
        <v>1088</v>
      </c>
      <c r="AE46" t="s">
        <v>1079</v>
      </c>
      <c r="AF46" s="5">
        <v>45473</v>
      </c>
      <c r="AG46" t="s">
        <v>918</v>
      </c>
    </row>
    <row r="47" spans="1:33" x14ac:dyDescent="0.25">
      <c r="A47" t="s">
        <v>683</v>
      </c>
      <c r="B47" t="s">
        <v>62</v>
      </c>
      <c r="C47" t="s">
        <v>684</v>
      </c>
      <c r="D47" t="s">
        <v>116</v>
      </c>
      <c r="E47" t="s">
        <v>19</v>
      </c>
      <c r="F47" t="s">
        <v>136</v>
      </c>
      <c r="G47" t="s">
        <v>236</v>
      </c>
      <c r="H47" t="s">
        <v>1003</v>
      </c>
      <c r="I47" t="s">
        <v>989</v>
      </c>
      <c r="J47" t="s">
        <v>1111</v>
      </c>
      <c r="K47" t="s">
        <v>1077</v>
      </c>
      <c r="L47" t="s">
        <v>79</v>
      </c>
      <c r="M47" t="s">
        <v>158</v>
      </c>
      <c r="N47" t="s">
        <v>111</v>
      </c>
      <c r="O47" t="s">
        <v>991</v>
      </c>
      <c r="P47" t="s">
        <v>1112</v>
      </c>
      <c r="Q47" t="s">
        <v>162</v>
      </c>
      <c r="R47" t="s">
        <v>77</v>
      </c>
      <c r="S47" t="s">
        <v>195</v>
      </c>
      <c r="T47" t="s">
        <v>102</v>
      </c>
      <c r="U47" t="s">
        <v>201</v>
      </c>
      <c r="V47" t="s">
        <v>989</v>
      </c>
      <c r="W47" t="s">
        <v>1111</v>
      </c>
      <c r="X47" s="5">
        <v>45526</v>
      </c>
      <c r="Y47" t="s">
        <v>1077</v>
      </c>
      <c r="Z47" t="s">
        <v>991</v>
      </c>
      <c r="AA47" t="s">
        <v>994</v>
      </c>
      <c r="AB47">
        <v>1470.08</v>
      </c>
      <c r="AC47" t="s">
        <v>683</v>
      </c>
      <c r="AD47">
        <v>1121</v>
      </c>
      <c r="AE47" t="s">
        <v>1024</v>
      </c>
      <c r="AF47" s="5">
        <v>45535</v>
      </c>
      <c r="AG47" t="s">
        <v>882</v>
      </c>
    </row>
    <row r="48" spans="1:33" x14ac:dyDescent="0.25">
      <c r="A48" t="s">
        <v>309</v>
      </c>
      <c r="B48" t="s">
        <v>310</v>
      </c>
      <c r="C48" t="s">
        <v>1113</v>
      </c>
      <c r="D48" t="s">
        <v>18</v>
      </c>
      <c r="E48" t="s">
        <v>19</v>
      </c>
      <c r="F48" t="s">
        <v>136</v>
      </c>
      <c r="G48" t="s">
        <v>236</v>
      </c>
      <c r="H48" t="s">
        <v>1003</v>
      </c>
      <c r="I48" t="s">
        <v>1064</v>
      </c>
      <c r="J48" t="s">
        <v>1114</v>
      </c>
      <c r="K48" t="s">
        <v>1077</v>
      </c>
      <c r="L48" t="s">
        <v>79</v>
      </c>
      <c r="M48" t="s">
        <v>208</v>
      </c>
      <c r="O48" t="s">
        <v>1001</v>
      </c>
      <c r="P48" t="s">
        <v>1113</v>
      </c>
      <c r="Q48" t="s">
        <v>162</v>
      </c>
      <c r="R48" t="s">
        <v>77</v>
      </c>
      <c r="S48" t="s">
        <v>195</v>
      </c>
      <c r="T48" t="s">
        <v>102</v>
      </c>
      <c r="U48" t="s">
        <v>86</v>
      </c>
      <c r="V48" t="s">
        <v>1064</v>
      </c>
      <c r="W48" t="s">
        <v>1114</v>
      </c>
      <c r="X48" s="5">
        <v>45392</v>
      </c>
      <c r="Y48" t="s">
        <v>1077</v>
      </c>
      <c r="Z48" t="s">
        <v>1001</v>
      </c>
      <c r="AA48" t="s">
        <v>1015</v>
      </c>
      <c r="AB48">
        <v>160.69</v>
      </c>
      <c r="AC48" t="s">
        <v>309</v>
      </c>
      <c r="AD48">
        <v>1041</v>
      </c>
      <c r="AE48" t="s">
        <v>1067</v>
      </c>
      <c r="AF48" s="5">
        <v>45412</v>
      </c>
      <c r="AG48" t="s">
        <v>902</v>
      </c>
    </row>
    <row r="49" spans="1:33" x14ac:dyDescent="0.25">
      <c r="A49" t="s">
        <v>836</v>
      </c>
      <c r="B49" t="s">
        <v>428</v>
      </c>
      <c r="C49" t="s">
        <v>837</v>
      </c>
      <c r="D49" t="s">
        <v>18</v>
      </c>
      <c r="E49" t="s">
        <v>19</v>
      </c>
      <c r="F49" t="s">
        <v>136</v>
      </c>
      <c r="G49" t="s">
        <v>318</v>
      </c>
      <c r="H49" t="s">
        <v>68</v>
      </c>
      <c r="I49" t="s">
        <v>1106</v>
      </c>
      <c r="J49" t="s">
        <v>1115</v>
      </c>
      <c r="L49" t="s">
        <v>79</v>
      </c>
      <c r="M49" t="s">
        <v>158</v>
      </c>
      <c r="N49" t="s">
        <v>50</v>
      </c>
      <c r="P49" t="s">
        <v>1116</v>
      </c>
      <c r="Q49" t="s">
        <v>162</v>
      </c>
      <c r="R49" t="s">
        <v>77</v>
      </c>
      <c r="S49" t="s">
        <v>68</v>
      </c>
      <c r="T49" t="s">
        <v>102</v>
      </c>
      <c r="U49" t="s">
        <v>201</v>
      </c>
      <c r="V49" t="s">
        <v>1106</v>
      </c>
      <c r="W49" t="s">
        <v>1115</v>
      </c>
      <c r="X49" s="5">
        <v>45510</v>
      </c>
      <c r="Y49" t="s">
        <v>1000</v>
      </c>
      <c r="Z49" t="s">
        <v>1001</v>
      </c>
      <c r="AA49" t="s">
        <v>994</v>
      </c>
      <c r="AB49">
        <v>1812.48</v>
      </c>
      <c r="AC49" t="s">
        <v>836</v>
      </c>
      <c r="AD49">
        <v>1100</v>
      </c>
      <c r="AE49" t="s">
        <v>1024</v>
      </c>
      <c r="AF49" s="5">
        <v>45535</v>
      </c>
      <c r="AG49" t="s">
        <v>885</v>
      </c>
    </row>
    <row r="50" spans="1:33" x14ac:dyDescent="0.25">
      <c r="A50" t="s">
        <v>529</v>
      </c>
      <c r="B50" t="s">
        <v>530</v>
      </c>
      <c r="C50" t="s">
        <v>1117</v>
      </c>
      <c r="D50" t="s">
        <v>18</v>
      </c>
      <c r="E50" t="s">
        <v>19</v>
      </c>
      <c r="F50" t="s">
        <v>136</v>
      </c>
      <c r="G50" t="s">
        <v>236</v>
      </c>
      <c r="H50" t="s">
        <v>68</v>
      </c>
      <c r="I50" t="s">
        <v>1118</v>
      </c>
      <c r="J50" t="s">
        <v>1119</v>
      </c>
      <c r="K50" t="s">
        <v>259</v>
      </c>
      <c r="L50" t="s">
        <v>998</v>
      </c>
      <c r="M50" t="s">
        <v>170</v>
      </c>
      <c r="N50" t="s">
        <v>71</v>
      </c>
      <c r="O50" t="s">
        <v>93</v>
      </c>
      <c r="P50" t="s">
        <v>1117</v>
      </c>
      <c r="Q50" t="s">
        <v>162</v>
      </c>
      <c r="R50" t="s">
        <v>77</v>
      </c>
      <c r="S50" t="s">
        <v>68</v>
      </c>
      <c r="T50" t="s">
        <v>143</v>
      </c>
      <c r="U50" t="s">
        <v>92</v>
      </c>
      <c r="V50" t="s">
        <v>1064</v>
      </c>
      <c r="W50" t="s">
        <v>1119</v>
      </c>
      <c r="X50" s="5">
        <v>45492</v>
      </c>
      <c r="Y50" t="s">
        <v>259</v>
      </c>
      <c r="Z50" t="s">
        <v>93</v>
      </c>
      <c r="AA50" t="s">
        <v>1015</v>
      </c>
      <c r="AB50">
        <v>114.89</v>
      </c>
      <c r="AC50" t="s">
        <v>529</v>
      </c>
      <c r="AD50">
        <v>1125</v>
      </c>
      <c r="AE50" t="s">
        <v>1020</v>
      </c>
      <c r="AF50" s="5">
        <v>45504</v>
      </c>
      <c r="AG50" t="s">
        <v>889</v>
      </c>
    </row>
    <row r="51" spans="1:33" x14ac:dyDescent="0.25">
      <c r="A51" t="s">
        <v>523</v>
      </c>
      <c r="B51" t="s">
        <v>524</v>
      </c>
      <c r="C51" t="s">
        <v>525</v>
      </c>
      <c r="D51" t="s">
        <v>194</v>
      </c>
      <c r="E51" t="s">
        <v>98</v>
      </c>
      <c r="F51" t="s">
        <v>136</v>
      </c>
      <c r="G51" t="s">
        <v>78</v>
      </c>
      <c r="H51" t="s">
        <v>68</v>
      </c>
      <c r="I51" t="s">
        <v>1073</v>
      </c>
      <c r="J51" t="s">
        <v>1120</v>
      </c>
      <c r="K51" t="s">
        <v>85</v>
      </c>
      <c r="L51" t="s">
        <v>79</v>
      </c>
      <c r="M51" t="s">
        <v>208</v>
      </c>
      <c r="N51" t="s">
        <v>111</v>
      </c>
      <c r="O51" t="s">
        <v>93</v>
      </c>
      <c r="P51" t="s">
        <v>1121</v>
      </c>
      <c r="Q51" t="s">
        <v>97</v>
      </c>
      <c r="R51" t="s">
        <v>77</v>
      </c>
      <c r="S51" t="s">
        <v>68</v>
      </c>
      <c r="T51" t="s">
        <v>102</v>
      </c>
      <c r="U51" t="s">
        <v>86</v>
      </c>
      <c r="V51" t="s">
        <v>1073</v>
      </c>
      <c r="W51" t="s">
        <v>1120</v>
      </c>
      <c r="X51" s="5">
        <v>45414</v>
      </c>
      <c r="Y51" t="s">
        <v>85</v>
      </c>
      <c r="Z51" t="s">
        <v>93</v>
      </c>
      <c r="AA51" t="s">
        <v>1015</v>
      </c>
      <c r="AB51">
        <v>541.19999999999993</v>
      </c>
      <c r="AC51" t="s">
        <v>523</v>
      </c>
      <c r="AD51">
        <v>1037</v>
      </c>
      <c r="AE51" t="s">
        <v>1029</v>
      </c>
      <c r="AF51" s="5">
        <v>45443</v>
      </c>
      <c r="AG51" t="s">
        <v>883</v>
      </c>
    </row>
    <row r="52" spans="1:33" x14ac:dyDescent="0.25">
      <c r="A52" t="s">
        <v>133</v>
      </c>
      <c r="B52" t="s">
        <v>134</v>
      </c>
      <c r="C52" t="s">
        <v>135</v>
      </c>
      <c r="D52" t="s">
        <v>194</v>
      </c>
      <c r="E52" t="s">
        <v>65</v>
      </c>
      <c r="F52" t="s">
        <v>136</v>
      </c>
      <c r="G52" t="s">
        <v>137</v>
      </c>
      <c r="H52" t="s">
        <v>35</v>
      </c>
      <c r="I52" t="s">
        <v>1090</v>
      </c>
      <c r="J52" t="s">
        <v>1122</v>
      </c>
      <c r="K52" t="s">
        <v>138</v>
      </c>
      <c r="L52" t="s">
        <v>69</v>
      </c>
      <c r="M52" t="s">
        <v>70</v>
      </c>
      <c r="O52" t="s">
        <v>87</v>
      </c>
      <c r="P52" t="s">
        <v>135</v>
      </c>
      <c r="Q52" t="s">
        <v>97</v>
      </c>
      <c r="R52" t="s">
        <v>77</v>
      </c>
      <c r="S52" t="s">
        <v>195</v>
      </c>
      <c r="T52" t="s">
        <v>139</v>
      </c>
      <c r="U52" t="s">
        <v>70</v>
      </c>
      <c r="V52" t="s">
        <v>1090</v>
      </c>
      <c r="W52" t="s">
        <v>1122</v>
      </c>
      <c r="X52" s="5">
        <v>45405</v>
      </c>
      <c r="Y52" t="s">
        <v>138</v>
      </c>
      <c r="Z52" t="s">
        <v>87</v>
      </c>
      <c r="AA52" t="s">
        <v>1015</v>
      </c>
      <c r="AB52">
        <v>157.36000000000001</v>
      </c>
      <c r="AC52" t="s">
        <v>133</v>
      </c>
      <c r="AD52">
        <v>1174</v>
      </c>
      <c r="AE52" t="s">
        <v>1067</v>
      </c>
      <c r="AF52" s="5">
        <v>45412</v>
      </c>
      <c r="AG52" t="s">
        <v>884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8739-01B2-4AC9-983F-3DB1A2050642}">
  <dimension ref="A1:C10"/>
  <sheetViews>
    <sheetView topLeftCell="A2" zoomScaleNormal="100" workbookViewId="0">
      <selection activeCell="N18" sqref="N18"/>
    </sheetView>
  </sheetViews>
  <sheetFormatPr defaultRowHeight="15" x14ac:dyDescent="0.25"/>
  <cols>
    <col min="1" max="1" width="15.5703125" bestFit="1" customWidth="1"/>
    <col min="2" max="2" width="16.28515625" bestFit="1" customWidth="1"/>
    <col min="3" max="3" width="10" bestFit="1" customWidth="1"/>
    <col min="4" max="4" width="11.28515625" bestFit="1" customWidth="1"/>
  </cols>
  <sheetData>
    <row r="1" spans="1:3" ht="213.75" customHeight="1" x14ac:dyDescent="0.25"/>
    <row r="3" spans="1:3" x14ac:dyDescent="0.25">
      <c r="A3" s="9" t="s">
        <v>954</v>
      </c>
      <c r="B3" s="9" t="s">
        <v>953</v>
      </c>
    </row>
    <row r="4" spans="1:3" x14ac:dyDescent="0.25">
      <c r="A4" s="9" t="s">
        <v>951</v>
      </c>
      <c r="B4" t="s">
        <v>195</v>
      </c>
      <c r="C4" t="s">
        <v>68</v>
      </c>
    </row>
    <row r="5" spans="1:3" x14ac:dyDescent="0.25">
      <c r="A5" s="10" t="s">
        <v>153</v>
      </c>
      <c r="B5" s="15">
        <v>33823.730000000003</v>
      </c>
      <c r="C5" s="15">
        <v>53959.12999999999</v>
      </c>
    </row>
    <row r="6" spans="1:3" x14ac:dyDescent="0.25">
      <c r="A6" s="10" t="s">
        <v>298</v>
      </c>
      <c r="B6" s="15">
        <v>50919.959999999992</v>
      </c>
      <c r="C6" s="15">
        <v>29750.89</v>
      </c>
    </row>
    <row r="7" spans="1:3" x14ac:dyDescent="0.25">
      <c r="A7" s="10" t="s">
        <v>106</v>
      </c>
      <c r="B7" s="15">
        <v>35566.629999999997</v>
      </c>
      <c r="C7" s="15">
        <v>37437.71</v>
      </c>
    </row>
    <row r="8" spans="1:3" x14ac:dyDescent="0.25">
      <c r="A8" s="10" t="s">
        <v>77</v>
      </c>
      <c r="B8" s="15">
        <v>45323.090000000011</v>
      </c>
      <c r="C8" s="15">
        <v>24164.61</v>
      </c>
    </row>
    <row r="9" spans="1:3" x14ac:dyDescent="0.25">
      <c r="A9" s="10" t="s">
        <v>99</v>
      </c>
      <c r="B9" s="15">
        <v>52611.519999999997</v>
      </c>
      <c r="C9" s="15">
        <v>16397.650000000001</v>
      </c>
    </row>
    <row r="10" spans="1:3" x14ac:dyDescent="0.25">
      <c r="A10" s="10" t="s">
        <v>952</v>
      </c>
      <c r="B10" s="15">
        <v>218244.93000000002</v>
      </c>
      <c r="C10" s="15">
        <v>161709.99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2000-2583-431A-AC88-F24468B53E28}">
  <dimension ref="A3:C8"/>
  <sheetViews>
    <sheetView workbookViewId="0">
      <selection activeCell="G12" sqref="G12"/>
    </sheetView>
  </sheetViews>
  <sheetFormatPr defaultRowHeight="15" x14ac:dyDescent="0.25"/>
  <cols>
    <col min="1" max="1" width="13.140625" bestFit="1" customWidth="1"/>
    <col min="2" max="2" width="11.85546875" bestFit="1" customWidth="1"/>
    <col min="3" max="3" width="19.7109375" bestFit="1" customWidth="1"/>
  </cols>
  <sheetData>
    <row r="3" spans="1:3" x14ac:dyDescent="0.25">
      <c r="A3" s="9" t="s">
        <v>951</v>
      </c>
      <c r="B3" t="s">
        <v>1125</v>
      </c>
      <c r="C3" t="s">
        <v>1124</v>
      </c>
    </row>
    <row r="4" spans="1:3" x14ac:dyDescent="0.25">
      <c r="A4" s="10" t="s">
        <v>162</v>
      </c>
      <c r="B4" s="15">
        <v>72</v>
      </c>
      <c r="C4" s="12">
        <v>1702.2501388888884</v>
      </c>
    </row>
    <row r="5" spans="1:3" x14ac:dyDescent="0.25">
      <c r="A5" s="10" t="s">
        <v>188</v>
      </c>
      <c r="B5" s="15">
        <v>58</v>
      </c>
      <c r="C5" s="12">
        <v>1405.2456896551719</v>
      </c>
    </row>
    <row r="6" spans="1:3" x14ac:dyDescent="0.25">
      <c r="A6" s="10" t="s">
        <v>44</v>
      </c>
      <c r="B6" s="15">
        <v>52</v>
      </c>
      <c r="C6" s="12">
        <v>1796.5034615384616</v>
      </c>
    </row>
    <row r="7" spans="1:3" x14ac:dyDescent="0.25">
      <c r="A7" s="10" t="s">
        <v>97</v>
      </c>
      <c r="B7" s="15">
        <v>62</v>
      </c>
      <c r="C7" s="12">
        <v>1330.1690322580646</v>
      </c>
    </row>
    <row r="8" spans="1:3" x14ac:dyDescent="0.25">
      <c r="A8" s="10" t="s">
        <v>952</v>
      </c>
      <c r="B8" s="15">
        <v>244</v>
      </c>
      <c r="C8" s="12">
        <v>1557.1922950819669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2A00-9797-4CE0-B297-F5D0055E8EFA}">
  <dimension ref="A1:B11"/>
  <sheetViews>
    <sheetView workbookViewId="0">
      <selection activeCell="J12" sqref="J12"/>
    </sheetView>
  </sheetViews>
  <sheetFormatPr defaultRowHeight="15" x14ac:dyDescent="0.25"/>
  <cols>
    <col min="1" max="1" width="20.140625" bestFit="1" customWidth="1"/>
    <col min="2" max="2" width="15.5703125" bestFit="1" customWidth="1"/>
    <col min="3" max="4" width="6.140625" bestFit="1" customWidth="1"/>
    <col min="5" max="5" width="5.7109375" bestFit="1" customWidth="1"/>
    <col min="6" max="6" width="11.28515625" bestFit="1" customWidth="1"/>
  </cols>
  <sheetData>
    <row r="1" spans="1:2" x14ac:dyDescent="0.25">
      <c r="A1" s="9" t="s">
        <v>866</v>
      </c>
      <c r="B1" t="s">
        <v>86</v>
      </c>
    </row>
    <row r="3" spans="1:2" x14ac:dyDescent="0.25">
      <c r="A3" s="9" t="s">
        <v>951</v>
      </c>
      <c r="B3" t="s">
        <v>954</v>
      </c>
    </row>
    <row r="4" spans="1:2" x14ac:dyDescent="0.25">
      <c r="A4" s="10" t="s">
        <v>281</v>
      </c>
      <c r="B4" s="15">
        <v>31328.870000000003</v>
      </c>
    </row>
    <row r="5" spans="1:2" x14ac:dyDescent="0.25">
      <c r="A5" s="10" t="s">
        <v>79</v>
      </c>
      <c r="B5" s="15">
        <v>28938.38</v>
      </c>
    </row>
    <row r="6" spans="1:2" x14ac:dyDescent="0.25">
      <c r="A6" s="10" t="s">
        <v>69</v>
      </c>
      <c r="B6" s="15">
        <v>19855.3</v>
      </c>
    </row>
    <row r="7" spans="1:2" x14ac:dyDescent="0.25">
      <c r="A7" s="10" t="s">
        <v>132</v>
      </c>
      <c r="B7" s="15">
        <v>14903.96</v>
      </c>
    </row>
    <row r="8" spans="1:2" x14ac:dyDescent="0.25">
      <c r="A8" s="10" t="s">
        <v>37</v>
      </c>
      <c r="B8" s="15">
        <v>13382.449999999999</v>
      </c>
    </row>
    <row r="9" spans="1:2" x14ac:dyDescent="0.25">
      <c r="A9" s="10" t="s">
        <v>260</v>
      </c>
      <c r="B9" s="15">
        <v>10555.29</v>
      </c>
    </row>
    <row r="10" spans="1:2" x14ac:dyDescent="0.25">
      <c r="A10" s="10" t="s">
        <v>24</v>
      </c>
      <c r="B10" s="15">
        <v>6195.9800000000005</v>
      </c>
    </row>
    <row r="11" spans="1:2" x14ac:dyDescent="0.25">
      <c r="A11" s="10" t="s">
        <v>952</v>
      </c>
      <c r="B11" s="15">
        <v>125160.23000000001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CBD1-018B-4171-8949-DF2E549AC451}">
  <dimension ref="A3:C17"/>
  <sheetViews>
    <sheetView workbookViewId="0">
      <selection activeCell="S15" sqref="S15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1.42578125" bestFit="1" customWidth="1"/>
    <col min="4" max="6" width="6" bestFit="1" customWidth="1"/>
    <col min="7" max="7" width="5" bestFit="1" customWidth="1"/>
    <col min="8" max="10" width="6" bestFit="1" customWidth="1"/>
    <col min="11" max="11" width="7" bestFit="1" customWidth="1"/>
    <col min="12" max="12" width="6" bestFit="1" customWidth="1"/>
    <col min="13" max="25" width="7" bestFit="1" customWidth="1"/>
    <col min="26" max="26" width="4" bestFit="1" customWidth="1"/>
    <col min="27" max="27" width="7" bestFit="1" customWidth="1"/>
    <col min="28" max="28" width="6" bestFit="1" customWidth="1"/>
    <col min="29" max="30" width="7" bestFit="1" customWidth="1"/>
    <col min="31" max="31" width="6" bestFit="1" customWidth="1"/>
    <col min="32" max="34" width="7" bestFit="1" customWidth="1"/>
    <col min="35" max="37" width="6" bestFit="1" customWidth="1"/>
    <col min="38" max="38" width="7" bestFit="1" customWidth="1"/>
    <col min="39" max="39" width="6" bestFit="1" customWidth="1"/>
    <col min="40" max="48" width="7" bestFit="1" customWidth="1"/>
    <col min="49" max="49" width="6" bestFit="1" customWidth="1"/>
    <col min="50" max="52" width="7" bestFit="1" customWidth="1"/>
    <col min="53" max="53" width="6" bestFit="1" customWidth="1"/>
    <col min="54" max="59" width="7" bestFit="1" customWidth="1"/>
    <col min="60" max="60" width="6" bestFit="1" customWidth="1"/>
    <col min="61" max="62" width="7" bestFit="1" customWidth="1"/>
    <col min="63" max="63" width="6" bestFit="1" customWidth="1"/>
    <col min="64" max="64" width="7" bestFit="1" customWidth="1"/>
    <col min="65" max="65" width="6" bestFit="1" customWidth="1"/>
    <col min="66" max="68" width="7" bestFit="1" customWidth="1"/>
    <col min="69" max="69" width="6" bestFit="1" customWidth="1"/>
    <col min="70" max="72" width="7" bestFit="1" customWidth="1"/>
    <col min="73" max="73" width="6" bestFit="1" customWidth="1"/>
    <col min="74" max="75" width="7" bestFit="1" customWidth="1"/>
    <col min="76" max="76" width="6" bestFit="1" customWidth="1"/>
    <col min="77" max="79" width="7" bestFit="1" customWidth="1"/>
    <col min="80" max="80" width="6" bestFit="1" customWidth="1"/>
    <col min="81" max="82" width="7" bestFit="1" customWidth="1"/>
    <col min="83" max="84" width="8" bestFit="1" customWidth="1"/>
    <col min="85" max="85" width="7" bestFit="1" customWidth="1"/>
    <col min="86" max="86" width="8" bestFit="1" customWidth="1"/>
    <col min="87" max="87" width="7" bestFit="1" customWidth="1"/>
    <col min="88" max="96" width="8" bestFit="1" customWidth="1"/>
    <col min="97" max="97" width="7" bestFit="1" customWidth="1"/>
    <col min="98" max="99" width="8" bestFit="1" customWidth="1"/>
    <col min="100" max="100" width="5" bestFit="1" customWidth="1"/>
    <col min="101" max="102" width="8" bestFit="1" customWidth="1"/>
    <col min="103" max="103" width="7" bestFit="1" customWidth="1"/>
    <col min="104" max="109" width="8" bestFit="1" customWidth="1"/>
    <col min="110" max="112" width="7" bestFit="1" customWidth="1"/>
    <col min="113" max="113" width="8" bestFit="1" customWidth="1"/>
    <col min="114" max="114" width="5" bestFit="1" customWidth="1"/>
    <col min="115" max="115" width="8" bestFit="1" customWidth="1"/>
    <col min="116" max="116" width="7" bestFit="1" customWidth="1"/>
    <col min="117" max="118" width="8" bestFit="1" customWidth="1"/>
    <col min="119" max="119" width="7" bestFit="1" customWidth="1"/>
    <col min="120" max="121" width="8" bestFit="1" customWidth="1"/>
    <col min="122" max="122" width="7" bestFit="1" customWidth="1"/>
    <col min="123" max="127" width="8" bestFit="1" customWidth="1"/>
    <col min="128" max="130" width="7" bestFit="1" customWidth="1"/>
    <col min="131" max="131" width="8" bestFit="1" customWidth="1"/>
    <col min="132" max="132" width="7" bestFit="1" customWidth="1"/>
    <col min="133" max="136" width="8" bestFit="1" customWidth="1"/>
    <col min="137" max="137" width="7" bestFit="1" customWidth="1"/>
    <col min="138" max="138" width="8" bestFit="1" customWidth="1"/>
    <col min="139" max="140" width="7" bestFit="1" customWidth="1"/>
    <col min="141" max="142" width="8" bestFit="1" customWidth="1"/>
    <col min="143" max="144" width="7" bestFit="1" customWidth="1"/>
    <col min="145" max="151" width="8" bestFit="1" customWidth="1"/>
    <col min="152" max="153" width="7" bestFit="1" customWidth="1"/>
    <col min="154" max="158" width="8" bestFit="1" customWidth="1"/>
    <col min="159" max="159" width="7" bestFit="1" customWidth="1"/>
    <col min="160" max="160" width="5" bestFit="1" customWidth="1"/>
    <col min="161" max="161" width="7" bestFit="1" customWidth="1"/>
    <col min="162" max="163" width="8" bestFit="1" customWidth="1"/>
    <col min="164" max="164" width="7" bestFit="1" customWidth="1"/>
    <col min="165" max="171" width="8" bestFit="1" customWidth="1"/>
    <col min="172" max="172" width="7" bestFit="1" customWidth="1"/>
    <col min="173" max="175" width="8" bestFit="1" customWidth="1"/>
    <col min="176" max="177" width="7" bestFit="1" customWidth="1"/>
    <col min="178" max="178" width="8" bestFit="1" customWidth="1"/>
    <col min="179" max="179" width="7" bestFit="1" customWidth="1"/>
    <col min="180" max="180" width="8" bestFit="1" customWidth="1"/>
    <col min="181" max="181" width="7" bestFit="1" customWidth="1"/>
    <col min="182" max="182" width="8" bestFit="1" customWidth="1"/>
    <col min="183" max="183" width="7" bestFit="1" customWidth="1"/>
    <col min="184" max="194" width="8" bestFit="1" customWidth="1"/>
    <col min="195" max="196" width="7" bestFit="1" customWidth="1"/>
    <col min="197" max="197" width="8" bestFit="1" customWidth="1"/>
    <col min="198" max="198" width="7" bestFit="1" customWidth="1"/>
    <col min="199" max="199" width="8" bestFit="1" customWidth="1"/>
    <col min="200" max="204" width="7" bestFit="1" customWidth="1"/>
    <col min="205" max="206" width="8" bestFit="1" customWidth="1"/>
    <col min="207" max="207" width="11.28515625" bestFit="1" customWidth="1"/>
  </cols>
  <sheetData>
    <row r="3" spans="1:3" x14ac:dyDescent="0.25">
      <c r="A3" s="9" t="s">
        <v>951</v>
      </c>
      <c r="B3" t="s">
        <v>954</v>
      </c>
      <c r="C3" t="s">
        <v>1149</v>
      </c>
    </row>
    <row r="4" spans="1:3" x14ac:dyDescent="0.25">
      <c r="A4" s="10" t="s">
        <v>1138</v>
      </c>
      <c r="B4" s="15">
        <v>379954.92000000016</v>
      </c>
      <c r="C4" s="15">
        <v>244</v>
      </c>
    </row>
    <row r="5" spans="1:3" x14ac:dyDescent="0.25">
      <c r="A5" s="13" t="s">
        <v>1126</v>
      </c>
      <c r="B5" s="15">
        <v>17245.77</v>
      </c>
      <c r="C5" s="15">
        <v>10</v>
      </c>
    </row>
    <row r="6" spans="1:3" x14ac:dyDescent="0.25">
      <c r="A6" s="13" t="s">
        <v>1127</v>
      </c>
      <c r="B6" s="15">
        <v>31669.22</v>
      </c>
      <c r="C6" s="15">
        <v>17</v>
      </c>
    </row>
    <row r="7" spans="1:3" x14ac:dyDescent="0.25">
      <c r="A7" s="13" t="s">
        <v>1128</v>
      </c>
      <c r="B7" s="15">
        <v>40626.090000000004</v>
      </c>
      <c r="C7" s="15">
        <v>23</v>
      </c>
    </row>
    <row r="8" spans="1:3" x14ac:dyDescent="0.25">
      <c r="A8" s="13" t="s">
        <v>1129</v>
      </c>
      <c r="B8" s="15">
        <v>24408.01</v>
      </c>
      <c r="C8" s="15">
        <v>20</v>
      </c>
    </row>
    <row r="9" spans="1:3" x14ac:dyDescent="0.25">
      <c r="A9" s="13" t="s">
        <v>1130</v>
      </c>
      <c r="B9" s="15">
        <v>26801.609999999997</v>
      </c>
      <c r="C9" s="15">
        <v>24</v>
      </c>
    </row>
    <row r="10" spans="1:3" x14ac:dyDescent="0.25">
      <c r="A10" s="13" t="s">
        <v>1131</v>
      </c>
      <c r="B10" s="15">
        <v>32460.670000000002</v>
      </c>
      <c r="C10" s="15">
        <v>22</v>
      </c>
    </row>
    <row r="11" spans="1:3" x14ac:dyDescent="0.25">
      <c r="A11" s="13" t="s">
        <v>1132</v>
      </c>
      <c r="B11" s="15">
        <v>42306.64</v>
      </c>
      <c r="C11" s="15">
        <v>23</v>
      </c>
    </row>
    <row r="12" spans="1:3" x14ac:dyDescent="0.25">
      <c r="A12" s="13" t="s">
        <v>1133</v>
      </c>
      <c r="B12" s="15">
        <v>60793.100000000006</v>
      </c>
      <c r="C12" s="15">
        <v>28</v>
      </c>
    </row>
    <row r="13" spans="1:3" x14ac:dyDescent="0.25">
      <c r="A13" s="13" t="s">
        <v>1134</v>
      </c>
      <c r="B13" s="15">
        <v>24267.749999999996</v>
      </c>
      <c r="C13" s="15">
        <v>14</v>
      </c>
    </row>
    <row r="14" spans="1:3" x14ac:dyDescent="0.25">
      <c r="A14" s="13" t="s">
        <v>1135</v>
      </c>
      <c r="B14" s="15">
        <v>24898.749999999996</v>
      </c>
      <c r="C14" s="15">
        <v>23</v>
      </c>
    </row>
    <row r="15" spans="1:3" x14ac:dyDescent="0.25">
      <c r="A15" s="13" t="s">
        <v>1136</v>
      </c>
      <c r="B15" s="15">
        <v>15474.369999999999</v>
      </c>
      <c r="C15" s="15">
        <v>16</v>
      </c>
    </row>
    <row r="16" spans="1:3" x14ac:dyDescent="0.25">
      <c r="A16" s="13" t="s">
        <v>1137</v>
      </c>
      <c r="B16" s="15">
        <v>39002.94</v>
      </c>
      <c r="C16" s="15">
        <v>24</v>
      </c>
    </row>
    <row r="17" spans="1:3" x14ac:dyDescent="0.25">
      <c r="A17" s="10" t="s">
        <v>952</v>
      </c>
      <c r="B17" s="15">
        <v>379954.92000000016</v>
      </c>
      <c r="C17" s="15">
        <v>244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4987-4401-40E3-ACBE-7D82EF3EC114}">
  <dimension ref="A1:N15"/>
  <sheetViews>
    <sheetView workbookViewId="0">
      <selection activeCell="C10" sqref="C10"/>
    </sheetView>
  </sheetViews>
  <sheetFormatPr defaultRowHeight="15" x14ac:dyDescent="0.25"/>
  <cols>
    <col min="1" max="1" width="13.28515625" customWidth="1"/>
    <col min="2" max="2" width="12.28515625" customWidth="1"/>
  </cols>
  <sheetData>
    <row r="1" spans="1:14" x14ac:dyDescent="0.25">
      <c r="A1" s="11" t="s">
        <v>13</v>
      </c>
      <c r="B1" s="19">
        <v>45292</v>
      </c>
      <c r="C1" s="19">
        <v>45323</v>
      </c>
      <c r="D1" s="19">
        <v>45352</v>
      </c>
      <c r="E1" s="19">
        <v>45383</v>
      </c>
      <c r="F1" s="19">
        <v>45413</v>
      </c>
      <c r="G1" s="19">
        <v>45444</v>
      </c>
      <c r="H1" s="19">
        <v>45474</v>
      </c>
      <c r="I1" s="19">
        <v>45505</v>
      </c>
      <c r="J1" s="19">
        <v>45536</v>
      </c>
      <c r="K1" s="19">
        <v>45566</v>
      </c>
      <c r="L1" s="19">
        <v>45597</v>
      </c>
      <c r="M1" s="19">
        <v>45627</v>
      </c>
      <c r="N1" s="11" t="s">
        <v>1150</v>
      </c>
    </row>
    <row r="2" spans="1:14" x14ac:dyDescent="0.25">
      <c r="A2" s="11" t="str" cm="1">
        <f t="array" ref="A2:A6">_xlfn._xlws.SORT(_xlfn.UNIQUE(_xlfn._xlws.FILTER(tblOrders[SalesRep],tblOrders[SalesRep]&lt;&gt;"")))</f>
        <v>A. Malik</v>
      </c>
      <c r="B2">
        <f>SUMIFS(Orders_Raw!$AB$2:$AB$245,Orders_Raw!$N$2:$N$245,$A2,Orders_Raw!$AE$2:$AE$245,TEXT(B$1,"mmm-yyyy"))</f>
        <v>1381.6499999999999</v>
      </c>
      <c r="C2">
        <f>SUMIFS(Orders_Raw!$AB$2:$AB$245,Orders_Raw!$N$2:$N$245,$A2,Orders_Raw!$AE$2:$AE$245,TEXT(C$1,"mmm-yyyy"))</f>
        <v>9588.01</v>
      </c>
      <c r="D2">
        <f>SUMIFS(Orders_Raw!$AB$2:$AB$245,Orders_Raw!$N$2:$N$245,$A2,Orders_Raw!$AE$2:$AE$245,TEXT(D$1,"mmm-yyyy"))</f>
        <v>9914.5000000000018</v>
      </c>
      <c r="E2">
        <f>SUMIFS(Orders_Raw!$AB$2:$AB$245,Orders_Raw!$N$2:$N$245,$A2,Orders_Raw!$AE$2:$AE$245,TEXT(E$1,"mmm-yyyy"))</f>
        <v>0</v>
      </c>
      <c r="F2">
        <f>SUMIFS(Orders_Raw!$AB$2:$AB$245,Orders_Raw!$N$2:$N$245,$A2,Orders_Raw!$AE$2:$AE$245,TEXT(F$1,"mmm-yyyy"))</f>
        <v>5807.2000000000007</v>
      </c>
      <c r="G2">
        <f>SUMIFS(Orders_Raw!$AB$2:$AB$245,Orders_Raw!$N$2:$N$245,$A2,Orders_Raw!$AE$2:$AE$245,TEXT(G$1,"mmm-yyyy"))</f>
        <v>5442.18</v>
      </c>
      <c r="H2">
        <f>SUMIFS(Orders_Raw!$AB$2:$AB$245,Orders_Raw!$N$2:$N$245,$A2,Orders_Raw!$AE$2:$AE$245,TEXT(H$1,"mmm-yyyy"))</f>
        <v>10755.06</v>
      </c>
      <c r="I2">
        <f>SUMIFS(Orders_Raw!$AB$2:$AB$245,Orders_Raw!$N$2:$N$245,$A2,Orders_Raw!$AE$2:$AE$245,TEXT(I$1,"mmm-yyyy"))</f>
        <v>5151.58</v>
      </c>
      <c r="J2">
        <f>SUMIFS(Orders_Raw!$AB$2:$AB$245,Orders_Raw!$N$2:$N$245,$A2,Orders_Raw!$AE$2:$AE$245,TEXT(J$1,"mmm-yyyy"))</f>
        <v>4526.5300000000007</v>
      </c>
      <c r="K2">
        <f>SUMIFS(Orders_Raw!$AB$2:$AB$245,Orders_Raw!$N$2:$N$245,$A2,Orders_Raw!$AE$2:$AE$245,TEXT(K$1,"mmm-yyyy"))</f>
        <v>2727.7299999999996</v>
      </c>
      <c r="L2">
        <f>SUMIFS(Orders_Raw!$AB$2:$AB$245,Orders_Raw!$N$2:$N$245,$A2,Orders_Raw!$AE$2:$AE$245,TEXT(L$1,"mmm-yyyy"))</f>
        <v>4065.1800000000003</v>
      </c>
      <c r="M2">
        <f>SUMIFS(Orders_Raw!$AB$2:$AB$245,Orders_Raw!$N$2:$N$245,$A2,Orders_Raw!$AE$2:$AE$245,TEXT(M$1,"mmm-yyyy"))</f>
        <v>2232</v>
      </c>
    </row>
    <row r="3" spans="1:14" x14ac:dyDescent="0.25">
      <c r="A3" s="11" t="str">
        <v>B. Fernandes</v>
      </c>
      <c r="B3">
        <f>SUMIFS(Orders_Raw!$AB$2:$AB$245,Orders_Raw!$N$2:$N$245,$A3,Orders_Raw!$AE$2:$AE$245,TEXT(B$1,"mmm-yyyy"))</f>
        <v>4630.91</v>
      </c>
      <c r="C3">
        <f>SUMIFS(Orders_Raw!$AB$2:$AB$245,Orders_Raw!$N$2:$N$245,$A3,Orders_Raw!$AE$2:$AE$245,TEXT(C$1,"mmm-yyyy"))</f>
        <v>2023.26</v>
      </c>
      <c r="D3">
        <f>SUMIFS(Orders_Raw!$AB$2:$AB$245,Orders_Raw!$N$2:$N$245,$A3,Orders_Raw!$AE$2:$AE$245,TEXT(D$1,"mmm-yyyy"))</f>
        <v>9445.5999999999985</v>
      </c>
      <c r="E3">
        <f>SUMIFS(Orders_Raw!$AB$2:$AB$245,Orders_Raw!$N$2:$N$245,$A3,Orders_Raw!$AE$2:$AE$245,TEXT(E$1,"mmm-yyyy"))</f>
        <v>4572.05</v>
      </c>
      <c r="F3">
        <f>SUMIFS(Orders_Raw!$AB$2:$AB$245,Orders_Raw!$N$2:$N$245,$A3,Orders_Raw!$AE$2:$AE$245,TEXT(F$1,"mmm-yyyy"))</f>
        <v>10664.140000000001</v>
      </c>
      <c r="G3">
        <f>SUMIFS(Orders_Raw!$AB$2:$AB$245,Orders_Raw!$N$2:$N$245,$A3,Orders_Raw!$AE$2:$AE$245,TEXT(G$1,"mmm-yyyy"))</f>
        <v>1393.92</v>
      </c>
      <c r="H3">
        <f>SUMIFS(Orders_Raw!$AB$2:$AB$245,Orders_Raw!$N$2:$N$245,$A3,Orders_Raw!$AE$2:$AE$245,TEXT(H$1,"mmm-yyyy"))</f>
        <v>1767.5</v>
      </c>
      <c r="I3">
        <f>SUMIFS(Orders_Raw!$AB$2:$AB$245,Orders_Raw!$N$2:$N$245,$A3,Orders_Raw!$AE$2:$AE$245,TEXT(I$1,"mmm-yyyy"))</f>
        <v>2541.4499999999998</v>
      </c>
      <c r="J3">
        <f>SUMIFS(Orders_Raw!$AB$2:$AB$245,Orders_Raw!$N$2:$N$245,$A3,Orders_Raw!$AE$2:$AE$245,TEXT(J$1,"mmm-yyyy"))</f>
        <v>3120.5699999999997</v>
      </c>
      <c r="K3">
        <f>SUMIFS(Orders_Raw!$AB$2:$AB$245,Orders_Raw!$N$2:$N$245,$A3,Orders_Raw!$AE$2:$AE$245,TEXT(K$1,"mmm-yyyy"))</f>
        <v>2080.44</v>
      </c>
      <c r="L3">
        <f>SUMIFS(Orders_Raw!$AB$2:$AB$245,Orders_Raw!$N$2:$N$245,$A3,Orders_Raw!$AE$2:$AE$245,TEXT(L$1,"mmm-yyyy"))</f>
        <v>184.85999999999999</v>
      </c>
      <c r="M3">
        <f>SUMIFS(Orders_Raw!$AB$2:$AB$245,Orders_Raw!$N$2:$N$245,$A3,Orders_Raw!$AE$2:$AE$245,TEXT(M$1,"mmm-yyyy"))</f>
        <v>3953.1600000000003</v>
      </c>
    </row>
    <row r="4" spans="1:14" x14ac:dyDescent="0.25">
      <c r="A4" s="11" t="str">
        <v>C. Osei</v>
      </c>
      <c r="B4">
        <f>SUMIFS(Orders_Raw!$AB$2:$AB$245,Orders_Raw!$N$2:$N$245,$A4,Orders_Raw!$AE$2:$AE$245,TEXT(B$1,"mmm-yyyy"))</f>
        <v>0</v>
      </c>
      <c r="C4">
        <f>SUMIFS(Orders_Raw!$AB$2:$AB$245,Orders_Raw!$N$2:$N$245,$A4,Orders_Raw!$AE$2:$AE$245,TEXT(C$1,"mmm-yyyy"))</f>
        <v>1950.03</v>
      </c>
      <c r="D4">
        <f>SUMIFS(Orders_Raw!$AB$2:$AB$245,Orders_Raw!$N$2:$N$245,$A4,Orders_Raw!$AE$2:$AE$245,TEXT(D$1,"mmm-yyyy"))</f>
        <v>7267.1200000000008</v>
      </c>
      <c r="E4">
        <f>SUMIFS(Orders_Raw!$AB$2:$AB$245,Orders_Raw!$N$2:$N$245,$A4,Orders_Raw!$AE$2:$AE$245,TEXT(E$1,"mmm-yyyy"))</f>
        <v>7615.4</v>
      </c>
      <c r="F4">
        <f>SUMIFS(Orders_Raw!$AB$2:$AB$245,Orders_Raw!$N$2:$N$245,$A4,Orders_Raw!$AE$2:$AE$245,TEXT(F$1,"mmm-yyyy"))</f>
        <v>583.64</v>
      </c>
      <c r="G4">
        <f>SUMIFS(Orders_Raw!$AB$2:$AB$245,Orders_Raw!$N$2:$N$245,$A4,Orders_Raw!$AE$2:$AE$245,TEXT(G$1,"mmm-yyyy"))</f>
        <v>1963.2</v>
      </c>
      <c r="H4">
        <f>SUMIFS(Orders_Raw!$AB$2:$AB$245,Orders_Raw!$N$2:$N$245,$A4,Orders_Raw!$AE$2:$AE$245,TEXT(H$1,"mmm-yyyy"))</f>
        <v>4404.68</v>
      </c>
      <c r="I4">
        <f>SUMIFS(Orders_Raw!$AB$2:$AB$245,Orders_Raw!$N$2:$N$245,$A4,Orders_Raw!$AE$2:$AE$245,TEXT(I$1,"mmm-yyyy"))</f>
        <v>20851.11</v>
      </c>
      <c r="J4">
        <f>SUMIFS(Orders_Raw!$AB$2:$AB$245,Orders_Raw!$N$2:$N$245,$A4,Orders_Raw!$AE$2:$AE$245,TEXT(J$1,"mmm-yyyy"))</f>
        <v>10147.86</v>
      </c>
      <c r="K4">
        <f>SUMIFS(Orders_Raw!$AB$2:$AB$245,Orders_Raw!$N$2:$N$245,$A4,Orders_Raw!$AE$2:$AE$245,TEXT(K$1,"mmm-yyyy"))</f>
        <v>828.88</v>
      </c>
      <c r="L4">
        <f>SUMIFS(Orders_Raw!$AB$2:$AB$245,Orders_Raw!$N$2:$N$245,$A4,Orders_Raw!$AE$2:$AE$245,TEXT(L$1,"mmm-yyyy"))</f>
        <v>1944.96</v>
      </c>
      <c r="M4">
        <f>SUMIFS(Orders_Raw!$AB$2:$AB$245,Orders_Raw!$N$2:$N$245,$A4,Orders_Raw!$AE$2:$AE$245,TEXT(M$1,"mmm-yyyy"))</f>
        <v>8104.84</v>
      </c>
    </row>
    <row r="5" spans="1:14" x14ac:dyDescent="0.25">
      <c r="A5" s="11" t="str">
        <v>D. Iqbal</v>
      </c>
      <c r="B5">
        <f>SUMIFS(Orders_Raw!$AB$2:$AB$245,Orders_Raw!$N$2:$N$245,$A5,Orders_Raw!$AE$2:$AE$245,TEXT(B$1,"mmm-yyyy"))</f>
        <v>3509.4299999999994</v>
      </c>
      <c r="C5">
        <f>SUMIFS(Orders_Raw!$AB$2:$AB$245,Orders_Raw!$N$2:$N$245,$A5,Orders_Raw!$AE$2:$AE$245,TEXT(C$1,"mmm-yyyy"))</f>
        <v>4329.6099999999997</v>
      </c>
      <c r="D5">
        <f>SUMIFS(Orders_Raw!$AB$2:$AB$245,Orders_Raw!$N$2:$N$245,$A5,Orders_Raw!$AE$2:$AE$245,TEXT(D$1,"mmm-yyyy"))</f>
        <v>5993.34</v>
      </c>
      <c r="E5">
        <f>SUMIFS(Orders_Raw!$AB$2:$AB$245,Orders_Raw!$N$2:$N$245,$A5,Orders_Raw!$AE$2:$AE$245,TEXT(E$1,"mmm-yyyy"))</f>
        <v>1896.03</v>
      </c>
      <c r="F5">
        <f>SUMIFS(Orders_Raw!$AB$2:$AB$245,Orders_Raw!$N$2:$N$245,$A5,Orders_Raw!$AE$2:$AE$245,TEXT(F$1,"mmm-yyyy"))</f>
        <v>4217.37</v>
      </c>
      <c r="G5">
        <f>SUMIFS(Orders_Raw!$AB$2:$AB$245,Orders_Raw!$N$2:$N$245,$A5,Orders_Raw!$AE$2:$AE$245,TEXT(G$1,"mmm-yyyy"))</f>
        <v>6663.1</v>
      </c>
      <c r="H5">
        <f>SUMIFS(Orders_Raw!$AB$2:$AB$245,Orders_Raw!$N$2:$N$245,$A5,Orders_Raw!$AE$2:$AE$245,TEXT(H$1,"mmm-yyyy"))</f>
        <v>5673.96</v>
      </c>
      <c r="I5">
        <f>SUMIFS(Orders_Raw!$AB$2:$AB$245,Orders_Raw!$N$2:$N$245,$A5,Orders_Raw!$AE$2:$AE$245,TEXT(I$1,"mmm-yyyy"))</f>
        <v>7491.19</v>
      </c>
      <c r="J5">
        <f>SUMIFS(Orders_Raw!$AB$2:$AB$245,Orders_Raw!$N$2:$N$245,$A5,Orders_Raw!$AE$2:$AE$245,TEXT(J$1,"mmm-yyyy"))</f>
        <v>791.16</v>
      </c>
      <c r="K5">
        <f>SUMIFS(Orders_Raw!$AB$2:$AB$245,Orders_Raw!$N$2:$N$245,$A5,Orders_Raw!$AE$2:$AE$245,TEXT(K$1,"mmm-yyyy"))</f>
        <v>9626.26</v>
      </c>
      <c r="L5">
        <f>SUMIFS(Orders_Raw!$AB$2:$AB$245,Orders_Raw!$N$2:$N$245,$A5,Orders_Raw!$AE$2:$AE$245,TEXT(L$1,"mmm-yyyy"))</f>
        <v>772.08</v>
      </c>
      <c r="M5">
        <f>SUMIFS(Orders_Raw!$AB$2:$AB$245,Orders_Raw!$N$2:$N$245,$A5,Orders_Raw!$AE$2:$AE$245,TEXT(M$1,"mmm-yyyy"))</f>
        <v>7976.0099999999993</v>
      </c>
    </row>
    <row r="6" spans="1:14" x14ac:dyDescent="0.25">
      <c r="A6" s="11" t="str">
        <v>E. Tanaka</v>
      </c>
      <c r="B6">
        <f>SUMIFS(Orders_Raw!$AB$2:$AB$245,Orders_Raw!$N$2:$N$245,$A6,Orders_Raw!$AE$2:$AE$245,TEXT(B$1,"mmm-yyyy"))</f>
        <v>7723.7800000000007</v>
      </c>
      <c r="C6">
        <f>SUMIFS(Orders_Raw!$AB$2:$AB$245,Orders_Raw!$N$2:$N$245,$A6,Orders_Raw!$AE$2:$AE$245,TEXT(C$1,"mmm-yyyy"))</f>
        <v>4282.3799999999992</v>
      </c>
      <c r="D6">
        <f>SUMIFS(Orders_Raw!$AB$2:$AB$245,Orders_Raw!$N$2:$N$245,$A6,Orders_Raw!$AE$2:$AE$245,TEXT(D$1,"mmm-yyyy"))</f>
        <v>6252.38</v>
      </c>
      <c r="E6">
        <f>SUMIFS(Orders_Raw!$AB$2:$AB$245,Orders_Raw!$N$2:$N$245,$A6,Orders_Raw!$AE$2:$AE$245,TEXT(E$1,"mmm-yyyy"))</f>
        <v>4045.1299999999997</v>
      </c>
      <c r="F6">
        <f>SUMIFS(Orders_Raw!$AB$2:$AB$245,Orders_Raw!$N$2:$N$245,$A6,Orders_Raw!$AE$2:$AE$245,TEXT(F$1,"mmm-yyyy"))</f>
        <v>4209.7700000000004</v>
      </c>
      <c r="G6">
        <f>SUMIFS(Orders_Raw!$AB$2:$AB$245,Orders_Raw!$N$2:$N$245,$A6,Orders_Raw!$AE$2:$AE$245,TEXT(G$1,"mmm-yyyy"))</f>
        <v>11035.68</v>
      </c>
      <c r="H6">
        <f>SUMIFS(Orders_Raw!$AB$2:$AB$245,Orders_Raw!$N$2:$N$245,$A6,Orders_Raw!$AE$2:$AE$245,TEXT(H$1,"mmm-yyyy"))</f>
        <v>10756.58</v>
      </c>
      <c r="I6">
        <f>SUMIFS(Orders_Raw!$AB$2:$AB$245,Orders_Raw!$N$2:$N$245,$A6,Orders_Raw!$AE$2:$AE$245,TEXT(I$1,"mmm-yyyy"))</f>
        <v>9685.67</v>
      </c>
      <c r="J6">
        <f>SUMIFS(Orders_Raw!$AB$2:$AB$245,Orders_Raw!$N$2:$N$245,$A6,Orders_Raw!$AE$2:$AE$245,TEXT(J$1,"mmm-yyyy"))</f>
        <v>2155.16</v>
      </c>
      <c r="K6">
        <f>SUMIFS(Orders_Raw!$AB$2:$AB$245,Orders_Raw!$N$2:$N$245,$A6,Orders_Raw!$AE$2:$AE$245,TEXT(K$1,"mmm-yyyy"))</f>
        <v>4551.82</v>
      </c>
      <c r="L6">
        <f>SUMIFS(Orders_Raw!$AB$2:$AB$245,Orders_Raw!$N$2:$N$245,$A6,Orders_Raw!$AE$2:$AE$245,TEXT(L$1,"mmm-yyyy"))</f>
        <v>4264.8899999999994</v>
      </c>
      <c r="M6">
        <f>SUMIFS(Orders_Raw!$AB$2:$AB$245,Orders_Raw!$N$2:$N$245,$A6,Orders_Raw!$AE$2:$AE$245,TEXT(M$1,"mmm-yyyy"))</f>
        <v>7998.7800000000007</v>
      </c>
    </row>
    <row r="15" spans="1:14" x14ac:dyDescent="0.25">
      <c r="J15">
        <f>COUNTIFS(tblOrders[SalesRep],$A2,tblOrders[MonthLabel],B$1)</f>
        <v>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C3390C4-F1A2-4D41-A551-4E91E0D4498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Sparklines_Practice!B2:M2</xm:f>
              <xm:sqref>N2</xm:sqref>
            </x14:sparkline>
            <x14:sparkline>
              <xm:f>Sparklines_Practice!B3:M3</xm:f>
              <xm:sqref>N3</xm:sqref>
            </x14:sparkline>
            <x14:sparkline>
              <xm:f>Sparklines_Practice!B4:M4</xm:f>
              <xm:sqref>N4</xm:sqref>
            </x14:sparkline>
            <x14:sparkline>
              <xm:f>Sparklines_Practice!B5:M5</xm:f>
              <xm:sqref>N5</xm:sqref>
            </x14:sparkline>
            <x14:sparkline>
              <xm:f>Sparklines_Practice!B6:M6</xm:f>
              <xm:sqref>N6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CA4A-02D5-4C2A-8650-B8A14BFCA82F}">
  <dimension ref="A3:B9"/>
  <sheetViews>
    <sheetView workbookViewId="0">
      <selection activeCell="H12" sqref="H12"/>
    </sheetView>
  </sheetViews>
  <sheetFormatPr defaultRowHeight="15" x14ac:dyDescent="0.25"/>
  <cols>
    <col min="1" max="1" width="13.140625" bestFit="1" customWidth="1"/>
    <col min="2" max="2" width="25.140625" bestFit="1" customWidth="1"/>
  </cols>
  <sheetData>
    <row r="3" spans="1:2" x14ac:dyDescent="0.25">
      <c r="A3" s="9" t="s">
        <v>951</v>
      </c>
      <c r="B3" t="s">
        <v>1144</v>
      </c>
    </row>
    <row r="4" spans="1:2" x14ac:dyDescent="0.25">
      <c r="A4" s="10" t="s">
        <v>106</v>
      </c>
      <c r="B4" s="15">
        <v>6.0869565217391321E-2</v>
      </c>
    </row>
    <row r="5" spans="1:2" x14ac:dyDescent="0.25">
      <c r="A5" s="10" t="s">
        <v>153</v>
      </c>
      <c r="B5" s="15">
        <v>5.9302325581395365E-2</v>
      </c>
    </row>
    <row r="6" spans="1:2" x14ac:dyDescent="0.25">
      <c r="A6" s="10" t="s">
        <v>99</v>
      </c>
      <c r="B6" s="15">
        <v>5.6250000000000015E-2</v>
      </c>
    </row>
    <row r="7" spans="1:2" x14ac:dyDescent="0.25">
      <c r="A7" s="10" t="s">
        <v>77</v>
      </c>
      <c r="B7" s="15">
        <v>5.2631578947368418E-2</v>
      </c>
    </row>
    <row r="8" spans="1:2" x14ac:dyDescent="0.25">
      <c r="A8" s="10" t="s">
        <v>298</v>
      </c>
      <c r="B8" s="15">
        <v>4.8936170212765966E-2</v>
      </c>
    </row>
    <row r="9" spans="1:2" x14ac:dyDescent="0.25">
      <c r="A9" s="10" t="s">
        <v>952</v>
      </c>
      <c r="B9" s="15">
        <v>5.5582524271844666E-2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EC36-7136-46A1-AA5F-0F7CC3AA123B}">
  <dimension ref="A1:B10"/>
  <sheetViews>
    <sheetView workbookViewId="0">
      <selection activeCell="H9" sqref="H9"/>
    </sheetView>
  </sheetViews>
  <sheetFormatPr defaultRowHeight="15" x14ac:dyDescent="0.25"/>
  <cols>
    <col min="1" max="1" width="20.140625" bestFit="1" customWidth="1"/>
    <col min="2" max="2" width="17.85546875" bestFit="1" customWidth="1"/>
  </cols>
  <sheetData>
    <row r="1" spans="1:2" x14ac:dyDescent="0.25">
      <c r="A1" s="9" t="s">
        <v>866</v>
      </c>
      <c r="B1" t="s">
        <v>1147</v>
      </c>
    </row>
    <row r="3" spans="1:2" x14ac:dyDescent="0.25">
      <c r="A3" s="9" t="s">
        <v>951</v>
      </c>
      <c r="B3" t="s">
        <v>1146</v>
      </c>
    </row>
    <row r="4" spans="1:2" x14ac:dyDescent="0.25">
      <c r="A4" s="10" t="s">
        <v>39</v>
      </c>
      <c r="B4" s="15">
        <v>31</v>
      </c>
    </row>
    <row r="5" spans="1:2" x14ac:dyDescent="0.25">
      <c r="A5" s="10" t="s">
        <v>111</v>
      </c>
      <c r="B5" s="15">
        <v>29</v>
      </c>
    </row>
    <row r="6" spans="1:2" x14ac:dyDescent="0.25">
      <c r="A6" s="10" t="s">
        <v>71</v>
      </c>
      <c r="B6" s="15">
        <v>32</v>
      </c>
    </row>
    <row r="7" spans="1:2" x14ac:dyDescent="0.25">
      <c r="A7" s="10" t="s">
        <v>50</v>
      </c>
      <c r="B7" s="15">
        <v>27</v>
      </c>
    </row>
    <row r="8" spans="1:2" x14ac:dyDescent="0.25">
      <c r="A8" s="10" t="s">
        <v>26</v>
      </c>
      <c r="B8" s="15">
        <v>35</v>
      </c>
    </row>
    <row r="9" spans="1:2" x14ac:dyDescent="0.25">
      <c r="A9" s="10" t="s">
        <v>1145</v>
      </c>
      <c r="B9" s="15">
        <v>26</v>
      </c>
    </row>
    <row r="10" spans="1:2" x14ac:dyDescent="0.25">
      <c r="A10" s="10" t="s">
        <v>952</v>
      </c>
      <c r="B10" s="15">
        <v>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D9EB-D196-4F12-9A4B-9777C88F3BC6}">
  <dimension ref="A3:B28"/>
  <sheetViews>
    <sheetView workbookViewId="0">
      <selection activeCell="F19" sqref="F19"/>
    </sheetView>
  </sheetViews>
  <sheetFormatPr defaultRowHeight="15" x14ac:dyDescent="0.25"/>
  <cols>
    <col min="1" max="1" width="14.28515625" bestFit="1" customWidth="1"/>
    <col min="2" max="2" width="15.5703125" bestFit="1" customWidth="1"/>
    <col min="3" max="6" width="6" bestFit="1" customWidth="1"/>
    <col min="7" max="7" width="5" bestFit="1" customWidth="1"/>
    <col min="8" max="10" width="6" bestFit="1" customWidth="1"/>
    <col min="11" max="11" width="7" bestFit="1" customWidth="1"/>
    <col min="12" max="12" width="6" bestFit="1" customWidth="1"/>
    <col min="13" max="25" width="7" bestFit="1" customWidth="1"/>
    <col min="26" max="26" width="4" bestFit="1" customWidth="1"/>
    <col min="27" max="27" width="7" bestFit="1" customWidth="1"/>
    <col min="28" max="28" width="6" bestFit="1" customWidth="1"/>
    <col min="29" max="30" width="7" bestFit="1" customWidth="1"/>
    <col min="31" max="31" width="6" bestFit="1" customWidth="1"/>
    <col min="32" max="34" width="7" bestFit="1" customWidth="1"/>
    <col min="35" max="37" width="6" bestFit="1" customWidth="1"/>
    <col min="38" max="38" width="7" bestFit="1" customWidth="1"/>
    <col min="39" max="39" width="6" bestFit="1" customWidth="1"/>
    <col min="40" max="48" width="7" bestFit="1" customWidth="1"/>
    <col min="49" max="49" width="6" bestFit="1" customWidth="1"/>
    <col min="50" max="52" width="7" bestFit="1" customWidth="1"/>
    <col min="53" max="53" width="6" bestFit="1" customWidth="1"/>
    <col min="54" max="59" width="7" bestFit="1" customWidth="1"/>
    <col min="60" max="60" width="6" bestFit="1" customWidth="1"/>
    <col min="61" max="62" width="7" bestFit="1" customWidth="1"/>
    <col min="63" max="63" width="6" bestFit="1" customWidth="1"/>
    <col min="64" max="64" width="7" bestFit="1" customWidth="1"/>
    <col min="65" max="65" width="6" bestFit="1" customWidth="1"/>
    <col min="66" max="68" width="7" bestFit="1" customWidth="1"/>
    <col min="69" max="69" width="6" bestFit="1" customWidth="1"/>
    <col min="70" max="72" width="7" bestFit="1" customWidth="1"/>
    <col min="73" max="73" width="6" bestFit="1" customWidth="1"/>
    <col min="74" max="75" width="7" bestFit="1" customWidth="1"/>
    <col min="76" max="76" width="6" bestFit="1" customWidth="1"/>
    <col min="77" max="79" width="7" bestFit="1" customWidth="1"/>
    <col min="80" max="80" width="6" bestFit="1" customWidth="1"/>
    <col min="81" max="82" width="7" bestFit="1" customWidth="1"/>
    <col min="83" max="84" width="8" bestFit="1" customWidth="1"/>
    <col min="85" max="85" width="7" bestFit="1" customWidth="1"/>
    <col min="86" max="86" width="8" bestFit="1" customWidth="1"/>
    <col min="87" max="87" width="7" bestFit="1" customWidth="1"/>
    <col min="88" max="96" width="8" bestFit="1" customWidth="1"/>
    <col min="97" max="97" width="7" bestFit="1" customWidth="1"/>
    <col min="98" max="99" width="8" bestFit="1" customWidth="1"/>
    <col min="100" max="100" width="5" bestFit="1" customWidth="1"/>
    <col min="101" max="102" width="8" bestFit="1" customWidth="1"/>
    <col min="103" max="103" width="7" bestFit="1" customWidth="1"/>
    <col min="104" max="109" width="8" bestFit="1" customWidth="1"/>
    <col min="110" max="112" width="7" bestFit="1" customWidth="1"/>
    <col min="113" max="113" width="8" bestFit="1" customWidth="1"/>
    <col min="114" max="114" width="5" bestFit="1" customWidth="1"/>
    <col min="115" max="115" width="8" bestFit="1" customWidth="1"/>
    <col min="116" max="116" width="7" bestFit="1" customWidth="1"/>
    <col min="117" max="118" width="8" bestFit="1" customWidth="1"/>
    <col min="119" max="119" width="7" bestFit="1" customWidth="1"/>
    <col min="120" max="121" width="8" bestFit="1" customWidth="1"/>
    <col min="122" max="122" width="7" bestFit="1" customWidth="1"/>
    <col min="123" max="127" width="8" bestFit="1" customWidth="1"/>
    <col min="128" max="130" width="7" bestFit="1" customWidth="1"/>
    <col min="131" max="131" width="8" bestFit="1" customWidth="1"/>
    <col min="132" max="132" width="7" bestFit="1" customWidth="1"/>
    <col min="133" max="136" width="8" bestFit="1" customWidth="1"/>
    <col min="137" max="137" width="7" bestFit="1" customWidth="1"/>
    <col min="138" max="138" width="8" bestFit="1" customWidth="1"/>
    <col min="139" max="140" width="7" bestFit="1" customWidth="1"/>
    <col min="141" max="142" width="8" bestFit="1" customWidth="1"/>
    <col min="143" max="144" width="7" bestFit="1" customWidth="1"/>
    <col min="145" max="151" width="8" bestFit="1" customWidth="1"/>
    <col min="152" max="153" width="7" bestFit="1" customWidth="1"/>
    <col min="154" max="158" width="8" bestFit="1" customWidth="1"/>
    <col min="159" max="159" width="7" bestFit="1" customWidth="1"/>
    <col min="160" max="160" width="5" bestFit="1" customWidth="1"/>
    <col min="161" max="161" width="7" bestFit="1" customWidth="1"/>
    <col min="162" max="163" width="8" bestFit="1" customWidth="1"/>
    <col min="164" max="164" width="7" bestFit="1" customWidth="1"/>
    <col min="165" max="171" width="8" bestFit="1" customWidth="1"/>
    <col min="172" max="172" width="7" bestFit="1" customWidth="1"/>
    <col min="173" max="175" width="8" bestFit="1" customWidth="1"/>
    <col min="176" max="177" width="7" bestFit="1" customWidth="1"/>
    <col min="178" max="178" width="8" bestFit="1" customWidth="1"/>
    <col min="179" max="179" width="7" bestFit="1" customWidth="1"/>
    <col min="180" max="180" width="8" bestFit="1" customWidth="1"/>
    <col min="181" max="181" width="7" bestFit="1" customWidth="1"/>
    <col min="182" max="182" width="8" bestFit="1" customWidth="1"/>
    <col min="183" max="183" width="7" bestFit="1" customWidth="1"/>
    <col min="184" max="194" width="8" bestFit="1" customWidth="1"/>
    <col min="195" max="196" width="7" bestFit="1" customWidth="1"/>
    <col min="197" max="197" width="8" bestFit="1" customWidth="1"/>
    <col min="198" max="198" width="7" bestFit="1" customWidth="1"/>
    <col min="199" max="199" width="8" bestFit="1" customWidth="1"/>
    <col min="200" max="204" width="7" bestFit="1" customWidth="1"/>
    <col min="205" max="206" width="8" bestFit="1" customWidth="1"/>
    <col min="207" max="207" width="11.28515625" bestFit="1" customWidth="1"/>
  </cols>
  <sheetData>
    <row r="3" spans="1:2" x14ac:dyDescent="0.25">
      <c r="A3" s="9" t="s">
        <v>951</v>
      </c>
      <c r="B3" t="s">
        <v>954</v>
      </c>
    </row>
    <row r="4" spans="1:2" x14ac:dyDescent="0.25">
      <c r="A4" s="10" t="s">
        <v>162</v>
      </c>
      <c r="B4" s="15">
        <v>122562.01000000001</v>
      </c>
    </row>
    <row r="5" spans="1:2" x14ac:dyDescent="0.25">
      <c r="A5" s="13" t="s">
        <v>298</v>
      </c>
      <c r="B5" s="15">
        <v>48513.41</v>
      </c>
    </row>
    <row r="6" spans="1:2" x14ac:dyDescent="0.25">
      <c r="A6" s="13" t="s">
        <v>99</v>
      </c>
      <c r="B6" s="15">
        <v>18793.25</v>
      </c>
    </row>
    <row r="7" spans="1:2" x14ac:dyDescent="0.25">
      <c r="A7" s="13" t="s">
        <v>153</v>
      </c>
      <c r="B7" s="15">
        <v>11400.92</v>
      </c>
    </row>
    <row r="8" spans="1:2" x14ac:dyDescent="0.25">
      <c r="A8" s="13" t="s">
        <v>77</v>
      </c>
      <c r="B8" s="15">
        <v>20535.169999999998</v>
      </c>
    </row>
    <row r="9" spans="1:2" x14ac:dyDescent="0.25">
      <c r="A9" s="13" t="s">
        <v>106</v>
      </c>
      <c r="B9" s="15">
        <v>23319.260000000002</v>
      </c>
    </row>
    <row r="10" spans="1:2" x14ac:dyDescent="0.25">
      <c r="A10" s="10" t="s">
        <v>188</v>
      </c>
      <c r="B10" s="15">
        <v>81504.25</v>
      </c>
    </row>
    <row r="11" spans="1:2" x14ac:dyDescent="0.25">
      <c r="A11" s="13" t="s">
        <v>298</v>
      </c>
      <c r="B11" s="15">
        <v>10126.17</v>
      </c>
    </row>
    <row r="12" spans="1:2" x14ac:dyDescent="0.25">
      <c r="A12" s="13" t="s">
        <v>99</v>
      </c>
      <c r="B12" s="15">
        <v>21763.410000000003</v>
      </c>
    </row>
    <row r="13" spans="1:2" x14ac:dyDescent="0.25">
      <c r="A13" s="13" t="s">
        <v>153</v>
      </c>
      <c r="B13" s="15">
        <v>16882.46</v>
      </c>
    </row>
    <row r="14" spans="1:2" x14ac:dyDescent="0.25">
      <c r="A14" s="13" t="s">
        <v>77</v>
      </c>
      <c r="B14" s="15">
        <v>17248.38</v>
      </c>
    </row>
    <row r="15" spans="1:2" x14ac:dyDescent="0.25">
      <c r="A15" s="13" t="s">
        <v>106</v>
      </c>
      <c r="B15" s="15">
        <v>15483.83</v>
      </c>
    </row>
    <row r="16" spans="1:2" x14ac:dyDescent="0.25">
      <c r="A16" s="10" t="s">
        <v>44</v>
      </c>
      <c r="B16" s="15">
        <v>93418.18</v>
      </c>
    </row>
    <row r="17" spans="1:2" x14ac:dyDescent="0.25">
      <c r="A17" s="13" t="s">
        <v>298</v>
      </c>
      <c r="B17" s="15">
        <v>7072.6500000000005</v>
      </c>
    </row>
    <row r="18" spans="1:2" x14ac:dyDescent="0.25">
      <c r="A18" s="13" t="s">
        <v>99</v>
      </c>
      <c r="B18" s="15">
        <v>14401.119999999999</v>
      </c>
    </row>
    <row r="19" spans="1:2" x14ac:dyDescent="0.25">
      <c r="A19" s="13" t="s">
        <v>153</v>
      </c>
      <c r="B19" s="15">
        <v>34783.449999999997</v>
      </c>
    </row>
    <row r="20" spans="1:2" x14ac:dyDescent="0.25">
      <c r="A20" s="13" t="s">
        <v>77</v>
      </c>
      <c r="B20" s="15">
        <v>20227.170000000002</v>
      </c>
    </row>
    <row r="21" spans="1:2" x14ac:dyDescent="0.25">
      <c r="A21" s="13" t="s">
        <v>106</v>
      </c>
      <c r="B21" s="15">
        <v>16933.789999999997</v>
      </c>
    </row>
    <row r="22" spans="1:2" x14ac:dyDescent="0.25">
      <c r="A22" s="10" t="s">
        <v>97</v>
      </c>
      <c r="B22" s="15">
        <v>82470.48000000001</v>
      </c>
    </row>
    <row r="23" spans="1:2" x14ac:dyDescent="0.25">
      <c r="A23" s="13" t="s">
        <v>298</v>
      </c>
      <c r="B23" s="15">
        <v>14958.620000000003</v>
      </c>
    </row>
    <row r="24" spans="1:2" x14ac:dyDescent="0.25">
      <c r="A24" s="13" t="s">
        <v>99</v>
      </c>
      <c r="B24" s="15">
        <v>14051.390000000001</v>
      </c>
    </row>
    <row r="25" spans="1:2" x14ac:dyDescent="0.25">
      <c r="A25" s="13" t="s">
        <v>153</v>
      </c>
      <c r="B25" s="15">
        <v>24716.030000000006</v>
      </c>
    </row>
    <row r="26" spans="1:2" x14ac:dyDescent="0.25">
      <c r="A26" s="13" t="s">
        <v>77</v>
      </c>
      <c r="B26" s="15">
        <v>11476.980000000001</v>
      </c>
    </row>
    <row r="27" spans="1:2" x14ac:dyDescent="0.25">
      <c r="A27" s="13" t="s">
        <v>106</v>
      </c>
      <c r="B27" s="15">
        <v>17267.46</v>
      </c>
    </row>
    <row r="28" spans="1:2" x14ac:dyDescent="0.25">
      <c r="A28" s="10" t="s">
        <v>952</v>
      </c>
      <c r="B28" s="15">
        <v>379954.92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16D6-83F5-45C8-AE02-9D005C841316}">
  <dimension ref="A1:B6"/>
  <sheetViews>
    <sheetView workbookViewId="0">
      <selection activeCell="L15" sqref="L15"/>
    </sheetView>
  </sheetViews>
  <sheetFormatPr defaultRowHeight="15" x14ac:dyDescent="0.25"/>
  <cols>
    <col min="1" max="1" width="13.28515625" bestFit="1" customWidth="1"/>
    <col min="2" max="2" width="15.5703125" bestFit="1" customWidth="1"/>
  </cols>
  <sheetData>
    <row r="1" spans="1:2" x14ac:dyDescent="0.25">
      <c r="A1" s="9" t="s">
        <v>862</v>
      </c>
      <c r="B1" t="s">
        <v>1148</v>
      </c>
    </row>
    <row r="3" spans="1:2" x14ac:dyDescent="0.25">
      <c r="A3" s="9" t="s">
        <v>951</v>
      </c>
      <c r="B3" t="s">
        <v>954</v>
      </c>
    </row>
    <row r="4" spans="1:2" x14ac:dyDescent="0.25">
      <c r="A4" s="10" t="s">
        <v>195</v>
      </c>
      <c r="B4" s="15">
        <v>218244.93000000002</v>
      </c>
    </row>
    <row r="5" spans="1:2" x14ac:dyDescent="0.25">
      <c r="A5" s="10" t="s">
        <v>68</v>
      </c>
      <c r="B5" s="15">
        <v>161709.99</v>
      </c>
    </row>
    <row r="6" spans="1:2" x14ac:dyDescent="0.25">
      <c r="A6" s="10" t="s">
        <v>952</v>
      </c>
      <c r="B6" s="15">
        <v>379954.92000000004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F5A1-BC23-4F52-BB31-270DF822250D}">
  <dimension ref="A3:B10"/>
  <sheetViews>
    <sheetView workbookViewId="0">
      <selection activeCell="N9" sqref="N9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9" t="s">
        <v>951</v>
      </c>
      <c r="B3" t="s">
        <v>954</v>
      </c>
    </row>
    <row r="4" spans="1:2" x14ac:dyDescent="0.25">
      <c r="A4" s="10" t="s">
        <v>26</v>
      </c>
      <c r="B4" s="15">
        <v>76962.02</v>
      </c>
    </row>
    <row r="5" spans="1:2" x14ac:dyDescent="0.25">
      <c r="A5" s="10" t="s">
        <v>1145</v>
      </c>
      <c r="B5" s="15">
        <v>70422.16</v>
      </c>
    </row>
    <row r="6" spans="1:2" x14ac:dyDescent="0.25">
      <c r="A6" s="10" t="s">
        <v>71</v>
      </c>
      <c r="B6" s="15">
        <v>65661.72</v>
      </c>
    </row>
    <row r="7" spans="1:2" x14ac:dyDescent="0.25">
      <c r="A7" s="10" t="s">
        <v>39</v>
      </c>
      <c r="B7" s="15">
        <v>61591.62000000001</v>
      </c>
    </row>
    <row r="8" spans="1:2" x14ac:dyDescent="0.25">
      <c r="A8" s="10" t="s">
        <v>50</v>
      </c>
      <c r="B8" s="15">
        <v>58939.540000000023</v>
      </c>
    </row>
    <row r="9" spans="1:2" x14ac:dyDescent="0.25">
      <c r="A9" s="10" t="s">
        <v>111</v>
      </c>
      <c r="B9" s="15">
        <v>46377.859999999993</v>
      </c>
    </row>
    <row r="10" spans="1:2" x14ac:dyDescent="0.25">
      <c r="A10" s="10" t="s">
        <v>952</v>
      </c>
      <c r="B10" s="15">
        <v>379954.92000000004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1EFE-DA9F-4C80-8CB3-EE0304A1FAE5}">
  <dimension ref="A1:B8"/>
  <sheetViews>
    <sheetView workbookViewId="0">
      <selection activeCell="A3" sqref="A3"/>
    </sheetView>
  </sheetViews>
  <sheetFormatPr defaultRowHeight="15" x14ac:dyDescent="0.25"/>
  <cols>
    <col min="1" max="1" width="14.42578125" bestFit="1" customWidth="1"/>
    <col min="2" max="2" width="16.140625" bestFit="1" customWidth="1"/>
  </cols>
  <sheetData>
    <row r="1" spans="1:2" x14ac:dyDescent="0.25">
      <c r="A1" s="9" t="s">
        <v>864</v>
      </c>
      <c r="B1" t="s">
        <v>68</v>
      </c>
    </row>
    <row r="3" spans="1:2" x14ac:dyDescent="0.25">
      <c r="A3" s="9" t="s">
        <v>951</v>
      </c>
      <c r="B3" t="s">
        <v>1146</v>
      </c>
    </row>
    <row r="4" spans="1:2" x14ac:dyDescent="0.25">
      <c r="A4" s="10" t="s">
        <v>92</v>
      </c>
      <c r="B4" s="15">
        <v>22</v>
      </c>
    </row>
    <row r="5" spans="1:2" x14ac:dyDescent="0.25">
      <c r="A5" s="10" t="s">
        <v>86</v>
      </c>
      <c r="B5" s="15">
        <v>35</v>
      </c>
    </row>
    <row r="6" spans="1:2" x14ac:dyDescent="0.25">
      <c r="A6" s="10" t="s">
        <v>201</v>
      </c>
      <c r="B6" s="15">
        <v>27</v>
      </c>
    </row>
    <row r="7" spans="1:2" x14ac:dyDescent="0.25">
      <c r="A7" s="10" t="s">
        <v>70</v>
      </c>
      <c r="B7" s="15">
        <v>20</v>
      </c>
    </row>
    <row r="8" spans="1:2" x14ac:dyDescent="0.25">
      <c r="A8" s="10" t="s">
        <v>952</v>
      </c>
      <c r="B8" s="15">
        <v>104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A3CD-7806-4B47-96C6-CBEDBF4C96FB}">
  <dimension ref="A3:C6"/>
  <sheetViews>
    <sheetView workbookViewId="0">
      <selection activeCell="C16" sqref="C16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27.85546875" bestFit="1" customWidth="1"/>
  </cols>
  <sheetData>
    <row r="3" spans="1:3" x14ac:dyDescent="0.25">
      <c r="A3" s="9" t="s">
        <v>951</v>
      </c>
      <c r="B3" t="s">
        <v>954</v>
      </c>
      <c r="C3" t="s">
        <v>1151</v>
      </c>
    </row>
    <row r="4" spans="1:3" x14ac:dyDescent="0.25">
      <c r="A4" s="10" t="s">
        <v>195</v>
      </c>
      <c r="B4" s="15">
        <v>218244.93000000002</v>
      </c>
      <c r="C4" s="15">
        <v>6.107142857142854E-2</v>
      </c>
    </row>
    <row r="5" spans="1:3" x14ac:dyDescent="0.25">
      <c r="A5" s="10" t="s">
        <v>68</v>
      </c>
      <c r="B5" s="15">
        <v>161709.99</v>
      </c>
      <c r="C5" s="15">
        <v>6.971153846153845E-2</v>
      </c>
    </row>
    <row r="6" spans="1:3" x14ac:dyDescent="0.25">
      <c r="A6" s="10" t="s">
        <v>952</v>
      </c>
      <c r="B6" s="15">
        <v>379954.92000000016</v>
      </c>
      <c r="C6" s="15">
        <v>6.4754098360655737E-2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D596-E5F1-49BC-96F8-4B2DAF04D723}">
  <dimension ref="A1:N14"/>
  <sheetViews>
    <sheetView tabSelected="1" workbookViewId="0">
      <selection activeCell="K13" sqref="K13"/>
    </sheetView>
  </sheetViews>
  <sheetFormatPr defaultRowHeight="15" x14ac:dyDescent="0.25"/>
  <cols>
    <col min="1" max="1" width="12.140625" customWidth="1"/>
  </cols>
  <sheetData>
    <row r="1" spans="1:14" x14ac:dyDescent="0.25">
      <c r="A1" s="17" t="s">
        <v>5</v>
      </c>
      <c r="B1" s="18">
        <v>45292</v>
      </c>
      <c r="C1" s="18">
        <v>45323</v>
      </c>
      <c r="D1" s="18">
        <v>45352</v>
      </c>
      <c r="E1" s="18">
        <v>45383</v>
      </c>
      <c r="F1" s="18">
        <v>45413</v>
      </c>
      <c r="G1" s="18">
        <v>45444</v>
      </c>
      <c r="H1" s="18">
        <v>45474</v>
      </c>
      <c r="I1" s="18">
        <v>45505</v>
      </c>
      <c r="J1" s="18">
        <v>45536</v>
      </c>
      <c r="K1" s="18">
        <v>45566</v>
      </c>
      <c r="L1" s="18">
        <v>45597</v>
      </c>
      <c r="M1" s="18">
        <v>45627</v>
      </c>
      <c r="N1" s="17" t="s">
        <v>1150</v>
      </c>
    </row>
    <row r="2" spans="1:14" x14ac:dyDescent="0.25">
      <c r="A2" s="18" t="s">
        <v>99</v>
      </c>
      <c r="B2">
        <f>SUMIFS(Orders_Raw!$AB$2:$AB$245,Orders_Raw!$R$2:$R$245,$A2,Orders_Raw!$AE$2:$AE$245,B$1)</f>
        <v>4818.3</v>
      </c>
      <c r="C2">
        <f>SUMIFS(Orders_Raw!$AB$2:$AB$245,Orders_Raw!$R$2:$R$245,$A2,Orders_Raw!$AE$2:$AE$245,C$1)</f>
        <v>7378.98</v>
      </c>
      <c r="D2">
        <f>SUMIFS(Orders_Raw!$AB$2:$AB$245,Orders_Raw!$R$2:$R$245,$A2,Orders_Raw!$AE$2:$AE$245,D$1)</f>
        <v>6274.95</v>
      </c>
      <c r="E2">
        <f>SUMIFS(Orders_Raw!$AB$2:$AB$245,Orders_Raw!$R$2:$R$245,$A2,Orders_Raw!$AE$2:$AE$245,E$1)</f>
        <v>9618.08</v>
      </c>
      <c r="F2">
        <f>SUMIFS(Orders_Raw!$AB$2:$AB$245,Orders_Raw!$R$2:$R$245,$A2,Orders_Raw!$AE$2:$AE$245,F$1)</f>
        <v>141.82000000000002</v>
      </c>
      <c r="G2">
        <f>SUMIFS(Orders_Raw!$AB$2:$AB$245,Orders_Raw!$R$2:$R$245,$A2,Orders_Raw!$AE$2:$AE$245,G$1)</f>
        <v>2831.6400000000003</v>
      </c>
      <c r="H2">
        <f>SUMIFS(Orders_Raw!$AB$2:$AB$245,Orders_Raw!$R$2:$R$245,$A2,Orders_Raw!$AE$2:$AE$245,H$1)</f>
        <v>6060.7</v>
      </c>
      <c r="I2">
        <f>SUMIFS(Orders_Raw!$AB$2:$AB$245,Orders_Raw!$R$2:$R$245,$A2,Orders_Raw!$AE$2:$AE$245,I$1)</f>
        <v>5259.06</v>
      </c>
      <c r="J2">
        <f>SUMIFS(Orders_Raw!$AB$2:$AB$245,Orders_Raw!$R$2:$R$245,$A2,Orders_Raw!$AE$2:$AE$245,J$1)</f>
        <v>9017.7999999999993</v>
      </c>
      <c r="K2">
        <f>SUMIFS(Orders_Raw!$AB$2:$AB$245,Orders_Raw!$R$2:$R$245,$A2,Orders_Raw!$AE$2:$AE$245,K$1)</f>
        <v>1860.4499999999998</v>
      </c>
      <c r="L2">
        <f>SUMIFS(Orders_Raw!$AB$2:$AB$245,Orders_Raw!$R$2:$R$245,$A2,Orders_Raw!$AE$2:$AE$245,L$1)</f>
        <v>902.46</v>
      </c>
      <c r="M2">
        <f>SUMIFS(Orders_Raw!$AB$2:$AB$245,Orders_Raw!$R$2:$R$245,$A2,Orders_Raw!$AE$2:$AE$245,M$1)</f>
        <v>14844.93</v>
      </c>
    </row>
    <row r="3" spans="1:14" x14ac:dyDescent="0.25">
      <c r="A3" s="18" t="s">
        <v>153</v>
      </c>
      <c r="B3">
        <f>SUMIFS(Orders_Raw!$AB$2:$AB$245,Orders_Raw!$R$2:$R$245,$A3,Orders_Raw!$AE$2:$AE$245,B$1)</f>
        <v>4069.35</v>
      </c>
      <c r="C3">
        <f>SUMIFS(Orders_Raw!$AB$2:$AB$245,Orders_Raw!$R$2:$R$245,$A3,Orders_Raw!$AE$2:$AE$245,C$1)</f>
        <v>6317.43</v>
      </c>
      <c r="D3">
        <f>SUMIFS(Orders_Raw!$AB$2:$AB$245,Orders_Raw!$R$2:$R$245,$A3,Orders_Raw!$AE$2:$AE$245,D$1)</f>
        <v>13376.87</v>
      </c>
      <c r="E3">
        <f>SUMIFS(Orders_Raw!$AB$2:$AB$245,Orders_Raw!$R$2:$R$245,$A3,Orders_Raw!$AE$2:$AE$245,E$1)</f>
        <v>978.65</v>
      </c>
      <c r="F3">
        <f>SUMIFS(Orders_Raw!$AB$2:$AB$245,Orders_Raw!$R$2:$R$245,$A3,Orders_Raw!$AE$2:$AE$245,F$1)</f>
        <v>7946.7000000000007</v>
      </c>
      <c r="G3">
        <f>SUMIFS(Orders_Raw!$AB$2:$AB$245,Orders_Raw!$R$2:$R$245,$A3,Orders_Raw!$AE$2:$AE$245,G$1)</f>
        <v>4700.62</v>
      </c>
      <c r="H3">
        <f>SUMIFS(Orders_Raw!$AB$2:$AB$245,Orders_Raw!$R$2:$R$245,$A3,Orders_Raw!$AE$2:$AE$245,H$1)</f>
        <v>5616.64</v>
      </c>
      <c r="I3">
        <f>SUMIFS(Orders_Raw!$AB$2:$AB$245,Orders_Raw!$R$2:$R$245,$A3,Orders_Raw!$AE$2:$AE$245,I$1)</f>
        <v>17151.18</v>
      </c>
      <c r="J3">
        <f>SUMIFS(Orders_Raw!$AB$2:$AB$245,Orders_Raw!$R$2:$R$245,$A3,Orders_Raw!$AE$2:$AE$245,J$1)</f>
        <v>7192.6500000000005</v>
      </c>
      <c r="K3">
        <f>SUMIFS(Orders_Raw!$AB$2:$AB$245,Orders_Raw!$R$2:$R$245,$A3,Orders_Raw!$AE$2:$AE$245,K$1)</f>
        <v>13721.82</v>
      </c>
      <c r="L3">
        <f>SUMIFS(Orders_Raw!$AB$2:$AB$245,Orders_Raw!$R$2:$R$245,$A3,Orders_Raw!$AE$2:$AE$245,L$1)</f>
        <v>921.34</v>
      </c>
      <c r="M3">
        <f>SUMIFS(Orders_Raw!$AB$2:$AB$245,Orders_Raw!$R$2:$R$245,$A3,Orders_Raw!$AE$2:$AE$245,M$1)</f>
        <v>5789.61</v>
      </c>
    </row>
    <row r="4" spans="1:14" x14ac:dyDescent="0.25">
      <c r="A4" s="18" t="s">
        <v>298</v>
      </c>
      <c r="B4">
        <f>SUMIFS(Orders_Raw!$AB$2:$AB$245,Orders_Raw!$R$2:$R$245,$A4,Orders_Raw!$AE$2:$AE$245,B$1)</f>
        <v>94.52</v>
      </c>
      <c r="C4">
        <f>SUMIFS(Orders_Raw!$AB$2:$AB$245,Orders_Raw!$R$2:$R$245,$A4,Orders_Raw!$AE$2:$AE$245,C$1)</f>
        <v>652.6</v>
      </c>
      <c r="D4">
        <f>SUMIFS(Orders_Raw!$AB$2:$AB$245,Orders_Raw!$R$2:$R$245,$A4,Orders_Raw!$AE$2:$AE$245,D$1)</f>
        <v>10307.76</v>
      </c>
      <c r="E4">
        <f>SUMIFS(Orders_Raw!$AB$2:$AB$245,Orders_Raw!$R$2:$R$245,$A4,Orders_Raw!$AE$2:$AE$245,E$1)</f>
        <v>3625.76</v>
      </c>
      <c r="F4">
        <f>SUMIFS(Orders_Raw!$AB$2:$AB$245,Orders_Raw!$R$2:$R$245,$A4,Orders_Raw!$AE$2:$AE$245,F$1)</f>
        <v>4625.7599999999993</v>
      </c>
      <c r="G4">
        <f>SUMIFS(Orders_Raw!$AB$2:$AB$245,Orders_Raw!$R$2:$R$245,$A4,Orders_Raw!$AE$2:$AE$245,G$1)</f>
        <v>13994.53</v>
      </c>
      <c r="H4">
        <f>SUMIFS(Orders_Raw!$AB$2:$AB$245,Orders_Raw!$R$2:$R$245,$A4,Orders_Raw!$AE$2:$AE$245,H$1)</f>
        <v>12641.68</v>
      </c>
      <c r="I4">
        <f>SUMIFS(Orders_Raw!$AB$2:$AB$245,Orders_Raw!$R$2:$R$245,$A4,Orders_Raw!$AE$2:$AE$245,I$1)</f>
        <v>25647.320000000003</v>
      </c>
      <c r="J4">
        <f>SUMIFS(Orders_Raw!$AB$2:$AB$245,Orders_Raw!$R$2:$R$245,$A4,Orders_Raw!$AE$2:$AE$245,J$1)</f>
        <v>0</v>
      </c>
      <c r="K4">
        <f>SUMIFS(Orders_Raw!$AB$2:$AB$245,Orders_Raw!$R$2:$R$245,$A4,Orders_Raw!$AE$2:$AE$245,K$1)</f>
        <v>3489.34</v>
      </c>
      <c r="L4">
        <f>SUMIFS(Orders_Raw!$AB$2:$AB$245,Orders_Raw!$R$2:$R$245,$A4,Orders_Raw!$AE$2:$AE$245,L$1)</f>
        <v>0</v>
      </c>
      <c r="M4">
        <f>SUMIFS(Orders_Raw!$AB$2:$AB$245,Orders_Raw!$R$2:$R$245,$A4,Orders_Raw!$AE$2:$AE$245,M$1)</f>
        <v>5591.5800000000008</v>
      </c>
    </row>
    <row r="5" spans="1:14" x14ac:dyDescent="0.25">
      <c r="A5" s="18" t="s">
        <v>77</v>
      </c>
      <c r="B5">
        <f>SUMIFS(Orders_Raw!$AB$2:$AB$245,Orders_Raw!$R$2:$R$245,$A5,Orders_Raw!$AE$2:$AE$245,B$1)</f>
        <v>1592.3999999999999</v>
      </c>
      <c r="C5">
        <f>SUMIFS(Orders_Raw!$AB$2:$AB$245,Orders_Raw!$R$2:$R$245,$A5,Orders_Raw!$AE$2:$AE$245,C$1)</f>
        <v>7683.28</v>
      </c>
      <c r="D5">
        <f>SUMIFS(Orders_Raw!$AB$2:$AB$245,Orders_Raw!$R$2:$R$245,$A5,Orders_Raw!$AE$2:$AE$245,D$1)</f>
        <v>8780.09</v>
      </c>
      <c r="E5">
        <f>SUMIFS(Orders_Raw!$AB$2:$AB$245,Orders_Raw!$R$2:$R$245,$A5,Orders_Raw!$AE$2:$AE$245,E$1)</f>
        <v>3061.8000000000006</v>
      </c>
      <c r="F5">
        <f>SUMIFS(Orders_Raw!$AB$2:$AB$245,Orders_Raw!$R$2:$R$245,$A5,Orders_Raw!$AE$2:$AE$245,F$1)</f>
        <v>4554.3</v>
      </c>
      <c r="G5">
        <f>SUMIFS(Orders_Raw!$AB$2:$AB$245,Orders_Raw!$R$2:$R$245,$A5,Orders_Raw!$AE$2:$AE$245,G$1)</f>
        <v>5302.4699999999993</v>
      </c>
      <c r="H5">
        <f>SUMIFS(Orders_Raw!$AB$2:$AB$245,Orders_Raw!$R$2:$R$245,$A5,Orders_Raw!$AE$2:$AE$245,H$1)</f>
        <v>9610.2100000000009</v>
      </c>
      <c r="I5">
        <f>SUMIFS(Orders_Raw!$AB$2:$AB$245,Orders_Raw!$R$2:$R$245,$A5,Orders_Raw!$AE$2:$AE$245,I$1)</f>
        <v>10416.66</v>
      </c>
      <c r="J5">
        <f>SUMIFS(Orders_Raw!$AB$2:$AB$245,Orders_Raw!$R$2:$R$245,$A5,Orders_Raw!$AE$2:$AE$245,J$1)</f>
        <v>0</v>
      </c>
      <c r="K5">
        <f>SUMIFS(Orders_Raw!$AB$2:$AB$245,Orders_Raw!$R$2:$R$245,$A5,Orders_Raw!$AE$2:$AE$245,K$1)</f>
        <v>4917.04</v>
      </c>
      <c r="L5">
        <f>SUMIFS(Orders_Raw!$AB$2:$AB$245,Orders_Raw!$R$2:$R$245,$A5,Orders_Raw!$AE$2:$AE$245,L$1)</f>
        <v>5387.5899999999992</v>
      </c>
      <c r="M5">
        <f>SUMIFS(Orders_Raw!$AB$2:$AB$245,Orders_Raw!$R$2:$R$245,$A5,Orders_Raw!$AE$2:$AE$245,M$1)</f>
        <v>8181.8600000000006</v>
      </c>
    </row>
    <row r="6" spans="1:14" x14ac:dyDescent="0.25">
      <c r="A6" s="18" t="s">
        <v>106</v>
      </c>
      <c r="B6">
        <f>SUMIFS(Orders_Raw!$AB$2:$AB$245,Orders_Raw!$R$2:$R$245,$A6,Orders_Raw!$AE$2:$AE$245,B$1)</f>
        <v>6671.1999999999989</v>
      </c>
      <c r="C6">
        <f>SUMIFS(Orders_Raw!$AB$2:$AB$245,Orders_Raw!$R$2:$R$245,$A6,Orders_Raw!$AE$2:$AE$245,C$1)</f>
        <v>9636.93</v>
      </c>
      <c r="D6">
        <f>SUMIFS(Orders_Raw!$AB$2:$AB$245,Orders_Raw!$R$2:$R$245,$A6,Orders_Raw!$AE$2:$AE$245,D$1)</f>
        <v>1886.42</v>
      </c>
      <c r="E6">
        <f>SUMIFS(Orders_Raw!$AB$2:$AB$245,Orders_Raw!$R$2:$R$245,$A6,Orders_Raw!$AE$2:$AE$245,E$1)</f>
        <v>7123.72</v>
      </c>
      <c r="F6">
        <f>SUMIFS(Orders_Raw!$AB$2:$AB$245,Orders_Raw!$R$2:$R$245,$A6,Orders_Raw!$AE$2:$AE$245,F$1)</f>
        <v>9533.0299999999988</v>
      </c>
      <c r="G6">
        <f>SUMIFS(Orders_Raw!$AB$2:$AB$245,Orders_Raw!$R$2:$R$245,$A6,Orders_Raw!$AE$2:$AE$245,G$1)</f>
        <v>5631.41</v>
      </c>
      <c r="H6">
        <f>SUMIFS(Orders_Raw!$AB$2:$AB$245,Orders_Raw!$R$2:$R$245,$A6,Orders_Raw!$AE$2:$AE$245,H$1)</f>
        <v>8377.41</v>
      </c>
      <c r="I6">
        <f>SUMIFS(Orders_Raw!$AB$2:$AB$245,Orders_Raw!$R$2:$R$245,$A6,Orders_Raw!$AE$2:$AE$245,I$1)</f>
        <v>2318.88</v>
      </c>
      <c r="J6">
        <f>SUMIFS(Orders_Raw!$AB$2:$AB$245,Orders_Raw!$R$2:$R$245,$A6,Orders_Raw!$AE$2:$AE$245,J$1)</f>
        <v>8057.2999999999993</v>
      </c>
      <c r="K6">
        <f>SUMIFS(Orders_Raw!$AB$2:$AB$245,Orders_Raw!$R$2:$R$245,$A6,Orders_Raw!$AE$2:$AE$245,K$1)</f>
        <v>910.1</v>
      </c>
      <c r="L6">
        <f>SUMIFS(Orders_Raw!$AB$2:$AB$245,Orders_Raw!$R$2:$R$245,$A6,Orders_Raw!$AE$2:$AE$245,L$1)</f>
        <v>8262.98</v>
      </c>
      <c r="M6">
        <f>SUMIFS(Orders_Raw!$AB$2:$AB$245,Orders_Raw!$R$2:$R$245,$A6,Orders_Raw!$AE$2:$AE$245,M$1)</f>
        <v>4594.96</v>
      </c>
    </row>
    <row r="7" spans="1:14" x14ac:dyDescent="0.25">
      <c r="A7" s="16"/>
    </row>
    <row r="8" spans="1:14" x14ac:dyDescent="0.25">
      <c r="A8" s="16"/>
    </row>
    <row r="9" spans="1:14" x14ac:dyDescent="0.25">
      <c r="A9" s="16"/>
    </row>
    <row r="10" spans="1:14" x14ac:dyDescent="0.25">
      <c r="A10" s="16"/>
    </row>
    <row r="11" spans="1:14" x14ac:dyDescent="0.25">
      <c r="A11" s="16"/>
    </row>
    <row r="12" spans="1:14" x14ac:dyDescent="0.25">
      <c r="A12" s="16"/>
    </row>
    <row r="13" spans="1:14" x14ac:dyDescent="0.25">
      <c r="A13" s="16"/>
    </row>
    <row r="14" spans="1:14" x14ac:dyDescent="0.25">
      <c r="A14" s="7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54DF78F-B7AC-470B-869F-91526C09D3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Category_Sparklines!B2:M2</xm:f>
              <xm:sqref>N2</xm:sqref>
            </x14:sparkline>
            <x14:sparkline>
              <xm:f>Category_Sparklines!B3:M3</xm:f>
              <xm:sqref>N3</xm:sqref>
            </x14:sparkline>
            <x14:sparkline>
              <xm:f>Category_Sparklines!B4:M4</xm:f>
              <xm:sqref>N4</xm:sqref>
            </x14:sparkline>
            <x14:sparkline>
              <xm:f>Category_Sparklines!B5:M5</xm:f>
              <xm:sqref>N5</xm:sqref>
            </x14:sparkline>
            <x14:sparkline>
              <xm:f>Category_Sparklines!B6:M6</xm:f>
              <xm:sqref>N6</xm:sqref>
            </x14:sparkline>
          </x14:sparklines>
        </x14:sparklineGroup>
      </x14:sparklineGroup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5"/>
  <sheetViews>
    <sheetView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1.28515625" customWidth="1"/>
    <col min="2" max="2" width="14" customWidth="1"/>
    <col min="3" max="3" width="20" customWidth="1"/>
    <col min="4" max="4" width="10.42578125" customWidth="1"/>
    <col min="5" max="5" width="12" customWidth="1"/>
    <col min="6" max="6" width="14" customWidth="1"/>
    <col min="7" max="7" width="20" customWidth="1"/>
    <col min="8" max="8" width="12" customWidth="1"/>
    <col min="9" max="9" width="11.5703125" customWidth="1"/>
    <col min="10" max="10" width="12.5703125" customWidth="1"/>
    <col min="11" max="11" width="12.140625" customWidth="1"/>
    <col min="12" max="12" width="19.42578125" customWidth="1"/>
    <col min="13" max="13" width="15.5703125" customWidth="1"/>
    <col min="14" max="14" width="12.85546875" customWidth="1"/>
    <col min="15" max="15" width="26" customWidth="1"/>
    <col min="16" max="16" width="20.7109375" customWidth="1"/>
    <col min="17" max="17" width="19.140625" customWidth="1"/>
    <col min="18" max="18" width="18.42578125" customWidth="1"/>
    <col min="19" max="19" width="14" customWidth="1"/>
    <col min="20" max="20" width="17.140625" customWidth="1"/>
    <col min="21" max="21" width="16.28515625" customWidth="1"/>
    <col min="22" max="22" width="12.7109375" customWidth="1"/>
    <col min="23" max="23" width="14.42578125" customWidth="1"/>
    <col min="24" max="24" width="15.42578125" style="5" customWidth="1"/>
    <col min="25" max="25" width="15.7109375" customWidth="1"/>
    <col min="26" max="26" width="27.140625" customWidth="1"/>
    <col min="27" max="27" width="16" customWidth="1"/>
    <col min="28" max="28" width="11.42578125" customWidth="1"/>
    <col min="29" max="29" width="15.7109375" customWidth="1"/>
    <col min="30" max="30" width="14.140625" customWidth="1"/>
    <col min="31" max="31" width="15.7109375" customWidth="1"/>
    <col min="32" max="32" width="13.85546875" style="5" customWidth="1"/>
    <col min="33" max="33" width="11.7109375" customWidth="1"/>
    <col min="34" max="34" width="17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861</v>
      </c>
      <c r="Q1" s="1" t="s">
        <v>862</v>
      </c>
      <c r="R1" s="1" t="s">
        <v>863</v>
      </c>
      <c r="S1" s="1" t="s">
        <v>864</v>
      </c>
      <c r="T1" s="1" t="s">
        <v>865</v>
      </c>
      <c r="U1" s="1" t="s">
        <v>866</v>
      </c>
      <c r="V1" s="1" t="s">
        <v>867</v>
      </c>
      <c r="W1" s="1" t="s">
        <v>868</v>
      </c>
      <c r="X1" s="4" t="s">
        <v>877</v>
      </c>
      <c r="Y1" s="1" t="s">
        <v>869</v>
      </c>
      <c r="Z1" s="1" t="s">
        <v>870</v>
      </c>
      <c r="AA1" s="1" t="s">
        <v>872</v>
      </c>
      <c r="AB1" s="1" t="s">
        <v>873</v>
      </c>
      <c r="AC1" s="1" t="s">
        <v>874</v>
      </c>
      <c r="AD1" s="1" t="s">
        <v>875</v>
      </c>
      <c r="AE1" s="1" t="s">
        <v>876</v>
      </c>
      <c r="AF1" s="4" t="s">
        <v>878</v>
      </c>
      <c r="AG1" s="1" t="s">
        <v>879</v>
      </c>
      <c r="AH1" s="1" t="s">
        <v>1139</v>
      </c>
    </row>
    <row r="2" spans="1:34" x14ac:dyDescent="0.25">
      <c r="A2" s="2" t="s">
        <v>607</v>
      </c>
      <c r="B2" s="2" t="s">
        <v>262</v>
      </c>
      <c r="C2" s="2" t="s">
        <v>608</v>
      </c>
      <c r="D2" s="2" t="s">
        <v>194</v>
      </c>
      <c r="E2" s="2" t="s">
        <v>65</v>
      </c>
      <c r="F2" s="2" t="s">
        <v>66</v>
      </c>
      <c r="G2" s="2" t="s">
        <v>330</v>
      </c>
      <c r="H2" s="2" t="s">
        <v>48</v>
      </c>
      <c r="I2" s="2">
        <v>7</v>
      </c>
      <c r="J2" s="2" t="s">
        <v>609</v>
      </c>
      <c r="K2" s="2"/>
      <c r="L2" s="2" t="s">
        <v>24</v>
      </c>
      <c r="M2" s="2" t="s">
        <v>170</v>
      </c>
      <c r="N2" s="2"/>
      <c r="O2" s="2"/>
      <c r="P2" s="2" t="str">
        <f t="shared" ref="P2:P65" si="0">PROPER(TRIM(C2))</f>
        <v>Chen Malik</v>
      </c>
      <c r="Q2" s="2" t="str">
        <f>IF(OR(PROPER(TRIM(tblOrders[[#This Row],[Region]]))="Nort",PROPER(TRIM(tblOrders[[#This Row],[Region]]))="Northh"),"North",PROPER(TRIM(tblOrders[[#This Row],[Region]])))</f>
        <v>West</v>
      </c>
      <c r="R2" s="2" t="str">
        <f t="shared" ref="R2:R65" si="1">IF(PROPER(TRIM(F2))="Cloth Ing","Clothing",IF(PROPER(TRIM(F2))="Electronic","Electronics",IF(PROPER(TRIM(F2))="Grocery","Groceries",SUBSTITUTE(PROPER(TRIM(F2)),"Stationary","Stationery"))))</f>
        <v>Furniture</v>
      </c>
      <c r="S2" s="2" t="str">
        <f t="shared" ref="S2:S65" si="2">IF(LOWER(TRIM(H2))="online","Online",IF(OR(LOWER(TRIM(H2))="in-store",LOWER(TRIM(H2))="in store",LOWER(TRIM(H2))="instore"),"In-Store",PROPER(TRIM(H2))))</f>
        <v>In-Store</v>
      </c>
      <c r="T2" s="2" t="str">
        <f t="shared" ref="T2:T65" si="3">IF(UPPER(TRIM(L2))="CC","Credit Card",PROPER(TRIM(L2)))</f>
        <v>Credit Card</v>
      </c>
      <c r="U2" s="2" t="str">
        <f t="shared" ref="U2:U65" si="4">IF(PROPER(TRIM(M2))="Complete","Completed",IF(PROPER(TRIM(M2))="Canceled","Cancelled",PROPER(TRIM(M2))))</f>
        <v>Cancelled</v>
      </c>
      <c r="V2" s="2">
        <f t="shared" ref="V2:V65" si="5">IFERROR(VALUE(TRIM(I2)),"")</f>
        <v>7</v>
      </c>
      <c r="W2" s="2">
        <f t="shared" ref="W2:W65" si="6">IFERROR(VALUE(SUBSTITUTE(TRIM(J2),"$","")),"")</f>
        <v>280.86</v>
      </c>
      <c r="X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45567</v>
      </c>
      <c r="Y2" s="2">
        <f t="shared" ref="Y2:Y65" si="7">IF(K2="",0,K2)</f>
        <v>0</v>
      </c>
      <c r="Z2" s="2" t="str">
        <f>TRIM(CLEAN(tblOrders[[#This Row],[Notes]]))</f>
        <v/>
      </c>
      <c r="AA2" s="2" t="str">
        <f t="shared" ref="AA2:AA65" si="8">IF(OR(V2="",W2=""),"Review",IF(V2*W2&gt;=1000,"High Value","Standard"))</f>
        <v>High Value</v>
      </c>
      <c r="AB2" s="2">
        <f>IF(OR(tblOrders[[#This Row],[Quantity_Clean]]="",tblOrders[[#This Row],[UnitPrice_Clean]]=""),0,tblOrders[[#This Row],[Quantity_Clean]]*tblOrders[[#This Row],[UnitPrice_Clean]])</f>
        <v>1966.02</v>
      </c>
      <c r="AC2" s="2" t="str">
        <f>UPPER(TRIM(tblOrders[[#This Row],[OrderID]]))</f>
        <v>ORD-1109</v>
      </c>
      <c r="AD2" s="2">
        <f>VALUE(RIGHT(tblOrders[[#This Row],[OrderID]],4))</f>
        <v>1109</v>
      </c>
      <c r="AE2" s="2" t="str">
        <f>TEXT(tblOrders[[#This Row],[OrderDate_Clean]],"mmm-yyyy")</f>
        <v>Oct-2024</v>
      </c>
      <c r="AF2" s="3">
        <f>EOMONTH(tblOrders[[#This Row],[OrderDate_Clean]],0)</f>
        <v>45596</v>
      </c>
      <c r="AG2" s="2" t="s">
        <v>880</v>
      </c>
      <c r="AH2" s="2">
        <f>IF(tblOrders[[#This Row],[Discount]]="",0,IF(ISNUMBER(tblOrders[[#This Row],[Discount]]),tblOrders[[#This Row],[Discount]],VALUE(SUBSTITUTE(TRIM(tblOrders[[#This Row],[Discount]]),"%",""))/100))</f>
        <v>0</v>
      </c>
    </row>
    <row r="3" spans="1:34" x14ac:dyDescent="0.25">
      <c r="A3" s="2" t="s">
        <v>278</v>
      </c>
      <c r="B3" s="2" t="s">
        <v>279</v>
      </c>
      <c r="C3" s="2" t="s">
        <v>280</v>
      </c>
      <c r="D3" s="2" t="s">
        <v>97</v>
      </c>
      <c r="E3" s="2" t="s">
        <v>98</v>
      </c>
      <c r="F3" s="2" t="s">
        <v>66</v>
      </c>
      <c r="G3" s="2" t="s">
        <v>57</v>
      </c>
      <c r="H3" s="2" t="s">
        <v>35</v>
      </c>
      <c r="I3" s="2">
        <v>8</v>
      </c>
      <c r="J3" s="2">
        <v>453.85</v>
      </c>
      <c r="K3" s="2" t="s">
        <v>259</v>
      </c>
      <c r="L3" s="2" t="s">
        <v>281</v>
      </c>
      <c r="M3" s="2" t="s">
        <v>158</v>
      </c>
      <c r="N3" s="2" t="s">
        <v>71</v>
      </c>
      <c r="O3" s="2" t="s">
        <v>93</v>
      </c>
      <c r="P3" s="2" t="str">
        <f t="shared" si="0"/>
        <v>Grace Khan</v>
      </c>
      <c r="Q3" s="2" t="str">
        <f>IF(OR(PROPER(TRIM(tblOrders[[#This Row],[Region]]))="Nort",PROPER(TRIM(tblOrders[[#This Row],[Region]]))="Northh"),"North",PROPER(TRIM(tblOrders[[#This Row],[Region]])))</f>
        <v>West</v>
      </c>
      <c r="R3" s="2" t="str">
        <f t="shared" si="1"/>
        <v>Furniture</v>
      </c>
      <c r="S3" s="2" t="str">
        <f t="shared" si="2"/>
        <v>In-Store</v>
      </c>
      <c r="T3" s="2" t="str">
        <f t="shared" si="3"/>
        <v>Credit Card</v>
      </c>
      <c r="U3" s="2" t="str">
        <f t="shared" si="4"/>
        <v>Pending</v>
      </c>
      <c r="V3" s="2">
        <f t="shared" si="5"/>
        <v>8</v>
      </c>
      <c r="W3" s="2">
        <f t="shared" si="6"/>
        <v>453.85</v>
      </c>
      <c r="X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45352</v>
      </c>
      <c r="Y3" s="2" t="str">
        <f t="shared" si="7"/>
        <v>20%</v>
      </c>
      <c r="Z3" s="2" t="str">
        <f>TRIM(CLEAN(tblOrders[[#This Row],[Notes]]))</f>
        <v>Bulk order - business account</v>
      </c>
      <c r="AA3" s="2" t="str">
        <f t="shared" si="8"/>
        <v>High Value</v>
      </c>
      <c r="AB3" s="2">
        <f>IF(OR(tblOrders[[#This Row],[Quantity_Clean]]="",tblOrders[[#This Row],[UnitPrice_Clean]]=""),0,tblOrders[[#This Row],[Quantity_Clean]]*tblOrders[[#This Row],[UnitPrice_Clean]])</f>
        <v>3630.8</v>
      </c>
      <c r="AC3" s="2" t="str">
        <f>UPPER(TRIM(tblOrders[[#This Row],[OrderID]]))</f>
        <v>ORD-1105</v>
      </c>
      <c r="AD3" s="2">
        <f>VALUE(RIGHT(tblOrders[[#This Row],[OrderID]],4))</f>
        <v>1105</v>
      </c>
      <c r="AE3" s="2" t="str">
        <f>TEXT(tblOrders[[#This Row],[OrderDate_Clean]],"mmm-yyyy")</f>
        <v>Mar-2024</v>
      </c>
      <c r="AF3" s="3">
        <f>EOMONTH(tblOrders[[#This Row],[OrderDate_Clean]],0)</f>
        <v>45382</v>
      </c>
      <c r="AG3" s="2" t="s">
        <v>881</v>
      </c>
      <c r="AH3" s="2">
        <f>IF(tblOrders[[#This Row],[Discount]]="",0,IF(ISNUMBER(tblOrders[[#This Row],[Discount]]),tblOrders[[#This Row],[Discount]],VALUE(SUBSTITUTE(TRIM(tblOrders[[#This Row],[Discount]]),"%",""))/100))</f>
        <v>0.2</v>
      </c>
    </row>
    <row r="4" spans="1:34" x14ac:dyDescent="0.25">
      <c r="A4" s="2" t="s">
        <v>735</v>
      </c>
      <c r="B4" s="2" t="s">
        <v>736</v>
      </c>
      <c r="C4" s="2" t="s">
        <v>737</v>
      </c>
      <c r="D4" s="2" t="s">
        <v>55</v>
      </c>
      <c r="E4" s="2" t="s">
        <v>199</v>
      </c>
      <c r="F4" s="2" t="s">
        <v>66</v>
      </c>
      <c r="G4" s="2" t="s">
        <v>330</v>
      </c>
      <c r="H4" s="2" t="s">
        <v>200</v>
      </c>
      <c r="I4" s="2">
        <v>9</v>
      </c>
      <c r="J4" s="2">
        <v>439.93</v>
      </c>
      <c r="K4" s="2">
        <v>0</v>
      </c>
      <c r="L4" s="2" t="s">
        <v>37</v>
      </c>
      <c r="M4" s="2" t="s">
        <v>158</v>
      </c>
      <c r="N4" s="2" t="s">
        <v>111</v>
      </c>
      <c r="O4" s="2"/>
      <c r="P4" s="2" t="str">
        <f t="shared" si="0"/>
        <v>Grace Smith</v>
      </c>
      <c r="Q4" s="2" t="str">
        <f>IF(OR(PROPER(TRIM(tblOrders[[#This Row],[Region]]))="Nort",PROPER(TRIM(tblOrders[[#This Row],[Region]]))="Northh"),"North",PROPER(TRIM(tblOrders[[#This Row],[Region]])))</f>
        <v>North</v>
      </c>
      <c r="R4" s="2" t="str">
        <f t="shared" si="1"/>
        <v>Furniture</v>
      </c>
      <c r="S4" s="2" t="str">
        <f t="shared" si="2"/>
        <v>Online</v>
      </c>
      <c r="T4" s="2" t="str">
        <f t="shared" si="3"/>
        <v>Bank Transfer</v>
      </c>
      <c r="U4" s="2" t="str">
        <f t="shared" si="4"/>
        <v>Pending</v>
      </c>
      <c r="V4" s="2">
        <f t="shared" si="5"/>
        <v>9</v>
      </c>
      <c r="W4" s="2">
        <f t="shared" si="6"/>
        <v>439.93</v>
      </c>
      <c r="X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45304</v>
      </c>
      <c r="Y4" s="2">
        <f t="shared" si="7"/>
        <v>0</v>
      </c>
      <c r="Z4" s="2" t="str">
        <f>TRIM(CLEAN(tblOrders[[#This Row],[Notes]]))</f>
        <v/>
      </c>
      <c r="AA4" s="2" t="str">
        <f t="shared" si="8"/>
        <v>High Value</v>
      </c>
      <c r="AB4" s="2">
        <f>IF(OR(tblOrders[[#This Row],[Quantity_Clean]]="",tblOrders[[#This Row],[UnitPrice_Clean]]=""),0,tblOrders[[#This Row],[Quantity_Clean]]*tblOrders[[#This Row],[UnitPrice_Clean]])</f>
        <v>3959.37</v>
      </c>
      <c r="AC4" s="2" t="str">
        <f>UPPER(TRIM(tblOrders[[#This Row],[OrderID]]))</f>
        <v>ORD-1200</v>
      </c>
      <c r="AD4" s="2">
        <f>VALUE(RIGHT(tblOrders[[#This Row],[OrderID]],4))</f>
        <v>1200</v>
      </c>
      <c r="AE4" s="2" t="str">
        <f>TEXT(tblOrders[[#This Row],[OrderDate_Clean]],"mmm-yyyy")</f>
        <v>Jan-2024</v>
      </c>
      <c r="AF4" s="3">
        <f>EOMONTH(tblOrders[[#This Row],[OrderDate_Clean]],0)</f>
        <v>45322</v>
      </c>
      <c r="AG4" s="2" t="s">
        <v>881</v>
      </c>
      <c r="AH4" s="2">
        <f>IF(tblOrders[[#This Row],[Discount]]="",0,IF(ISNUMBER(tblOrders[[#This Row],[Discount]]),tblOrders[[#This Row],[Discount]],VALUE(SUBSTITUTE(TRIM(tblOrders[[#This Row],[Discount]]),"%",""))/100))</f>
        <v>0</v>
      </c>
    </row>
    <row r="5" spans="1:34" x14ac:dyDescent="0.25">
      <c r="A5" s="2" t="s">
        <v>202</v>
      </c>
      <c r="B5" s="2" t="s">
        <v>203</v>
      </c>
      <c r="C5" s="2" t="s">
        <v>204</v>
      </c>
      <c r="D5" s="2" t="s">
        <v>44</v>
      </c>
      <c r="E5" s="2" t="s">
        <v>45</v>
      </c>
      <c r="F5" s="2" t="s">
        <v>66</v>
      </c>
      <c r="G5" s="2" t="s">
        <v>154</v>
      </c>
      <c r="H5" s="2" t="s">
        <v>68</v>
      </c>
      <c r="I5" s="2">
        <v>12</v>
      </c>
      <c r="J5" s="2">
        <v>411.55</v>
      </c>
      <c r="K5" s="2"/>
      <c r="L5" s="2" t="s">
        <v>79</v>
      </c>
      <c r="M5" s="2" t="s">
        <v>38</v>
      </c>
      <c r="N5" s="2" t="s">
        <v>50</v>
      </c>
      <c r="O5" s="2" t="s">
        <v>51</v>
      </c>
      <c r="P5" s="2" t="str">
        <f t="shared" si="0"/>
        <v>David Clark</v>
      </c>
      <c r="Q5" s="2" t="str">
        <f>IF(OR(PROPER(TRIM(tblOrders[[#This Row],[Region]]))="Nort",PROPER(TRIM(tblOrders[[#This Row],[Region]]))="Northh"),"North",PROPER(TRIM(tblOrders[[#This Row],[Region]])))</f>
        <v>South</v>
      </c>
      <c r="R5" s="2" t="str">
        <f t="shared" si="1"/>
        <v>Furniture</v>
      </c>
      <c r="S5" s="2" t="str">
        <f t="shared" si="2"/>
        <v>Online</v>
      </c>
      <c r="T5" s="2" t="str">
        <f t="shared" si="3"/>
        <v>Cash</v>
      </c>
      <c r="U5" s="2" t="str">
        <f t="shared" si="4"/>
        <v>Cancelled</v>
      </c>
      <c r="V5" s="2">
        <f t="shared" si="5"/>
        <v>12</v>
      </c>
      <c r="W5" s="2">
        <f t="shared" si="6"/>
        <v>411.55</v>
      </c>
      <c r="X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45379</v>
      </c>
      <c r="Y5" s="2">
        <f t="shared" si="7"/>
        <v>0</v>
      </c>
      <c r="Z5" s="2" t="str">
        <f>TRIM(CLEAN(tblOrders[[#This Row],[Notes]]))</f>
        <v/>
      </c>
      <c r="AA5" s="2" t="str">
        <f t="shared" si="8"/>
        <v>High Value</v>
      </c>
      <c r="AB5" s="2">
        <f>IF(OR(tblOrders[[#This Row],[Quantity_Clean]]="",tblOrders[[#This Row],[UnitPrice_Clean]]=""),0,tblOrders[[#This Row],[Quantity_Clean]]*tblOrders[[#This Row],[UnitPrice_Clean]])</f>
        <v>4938.6000000000004</v>
      </c>
      <c r="AC5" s="2" t="str">
        <f>UPPER(TRIM(tblOrders[[#This Row],[OrderID]]))</f>
        <v>ORD-1212</v>
      </c>
      <c r="AD5" s="2">
        <f>VALUE(RIGHT(tblOrders[[#This Row],[OrderID]],4))</f>
        <v>1212</v>
      </c>
      <c r="AE5" s="2" t="str">
        <f>TEXT(tblOrders[[#This Row],[OrderDate_Clean]],"mmm-yyyy")</f>
        <v>Mar-2024</v>
      </c>
      <c r="AF5" s="3">
        <f>EOMONTH(tblOrders[[#This Row],[OrderDate_Clean]],0)</f>
        <v>45382</v>
      </c>
      <c r="AG5" s="2" t="s">
        <v>882</v>
      </c>
      <c r="AH5" s="2">
        <f>IF(tblOrders[[#This Row],[Discount]]="",0,IF(ISNUMBER(tblOrders[[#This Row],[Discount]]),tblOrders[[#This Row],[Discount]],VALUE(SUBSTITUTE(TRIM(tblOrders[[#This Row],[Discount]]),"%",""))/100))</f>
        <v>0</v>
      </c>
    </row>
    <row r="6" spans="1:34" x14ac:dyDescent="0.25">
      <c r="A6" s="2" t="s">
        <v>578</v>
      </c>
      <c r="B6" s="2" t="s">
        <v>465</v>
      </c>
      <c r="C6" s="2" t="s">
        <v>147</v>
      </c>
      <c r="D6" s="2" t="s">
        <v>334</v>
      </c>
      <c r="E6" s="2" t="s">
        <v>45</v>
      </c>
      <c r="F6" s="2" t="s">
        <v>66</v>
      </c>
      <c r="G6" s="2" t="s">
        <v>330</v>
      </c>
      <c r="H6" s="2" t="s">
        <v>58</v>
      </c>
      <c r="I6" s="2">
        <v>12</v>
      </c>
      <c r="J6" s="2">
        <v>392.28</v>
      </c>
      <c r="K6" s="2" t="s">
        <v>138</v>
      </c>
      <c r="L6" s="2" t="s">
        <v>260</v>
      </c>
      <c r="M6" s="2" t="s">
        <v>208</v>
      </c>
      <c r="N6" s="2"/>
      <c r="O6" s="2" t="s">
        <v>126</v>
      </c>
      <c r="P6" s="2" t="str">
        <f t="shared" si="0"/>
        <v>Umar Farooq</v>
      </c>
      <c r="Q6" s="2" t="str">
        <f>IF(OR(PROPER(TRIM(tblOrders[[#This Row],[Region]]))="Nort",PROPER(TRIM(tblOrders[[#This Row],[Region]]))="Northh"),"North",PROPER(TRIM(tblOrders[[#This Row],[Region]])))</f>
        <v>South</v>
      </c>
      <c r="R6" s="2" t="str">
        <f t="shared" si="1"/>
        <v>Furniture</v>
      </c>
      <c r="S6" s="2" t="str">
        <f t="shared" si="2"/>
        <v>Online</v>
      </c>
      <c r="T6" s="2" t="str">
        <f t="shared" si="3"/>
        <v>Credit Card</v>
      </c>
      <c r="U6" s="2" t="str">
        <f t="shared" si="4"/>
        <v>Completed</v>
      </c>
      <c r="V6" s="2">
        <f t="shared" si="5"/>
        <v>12</v>
      </c>
      <c r="W6" s="2">
        <f t="shared" si="6"/>
        <v>392.28</v>
      </c>
      <c r="X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45347</v>
      </c>
      <c r="Y6" s="2" t="str">
        <f t="shared" si="7"/>
        <v>5%</v>
      </c>
      <c r="Z6" s="2" t="str">
        <f>TRIM(CLEAN(tblOrders[[#This Row],[Notes]]))</f>
        <v>Gift wrap requested</v>
      </c>
      <c r="AA6" s="2" t="str">
        <f t="shared" si="8"/>
        <v>High Value</v>
      </c>
      <c r="AB6" s="2">
        <f>IF(OR(tblOrders[[#This Row],[Quantity_Clean]]="",tblOrders[[#This Row],[UnitPrice_Clean]]=""),0,tblOrders[[#This Row],[Quantity_Clean]]*tblOrders[[#This Row],[UnitPrice_Clean]])</f>
        <v>4707.3599999999997</v>
      </c>
      <c r="AC6" s="2" t="str">
        <f>UPPER(TRIM(tblOrders[[#This Row],[OrderID]]))</f>
        <v>ORD-1018</v>
      </c>
      <c r="AD6" s="2">
        <f>VALUE(RIGHT(tblOrders[[#This Row],[OrderID]],4))</f>
        <v>1018</v>
      </c>
      <c r="AE6" s="2" t="str">
        <f>TEXT(tblOrders[[#This Row],[OrderDate_Clean]],"mmm-yyyy")</f>
        <v>Feb-2024</v>
      </c>
      <c r="AF6" s="3">
        <f>EOMONTH(tblOrders[[#This Row],[OrderDate_Clean]],0)</f>
        <v>45351</v>
      </c>
      <c r="AG6" s="2" t="s">
        <v>883</v>
      </c>
      <c r="AH6" s="2">
        <f>IF(tblOrders[[#This Row],[Discount]]="",0,IF(ISNUMBER(tblOrders[[#This Row],[Discount]]),tblOrders[[#This Row],[Discount]],VALUE(SUBSTITUTE(TRIM(tblOrders[[#This Row],[Discount]]),"%",""))/100))</f>
        <v>0.05</v>
      </c>
    </row>
    <row r="7" spans="1:34" x14ac:dyDescent="0.25">
      <c r="A7" s="2" t="s">
        <v>242</v>
      </c>
      <c r="B7" s="2" t="s">
        <v>243</v>
      </c>
      <c r="C7" s="2" t="s">
        <v>244</v>
      </c>
      <c r="D7" s="2" t="s">
        <v>116</v>
      </c>
      <c r="E7" s="2" t="s">
        <v>117</v>
      </c>
      <c r="F7" s="2" t="s">
        <v>66</v>
      </c>
      <c r="G7" s="2" t="s">
        <v>154</v>
      </c>
      <c r="H7" s="2" t="s">
        <v>108</v>
      </c>
      <c r="I7" s="2">
        <v>9</v>
      </c>
      <c r="J7" s="2">
        <v>387.13</v>
      </c>
      <c r="K7" s="2" t="s">
        <v>85</v>
      </c>
      <c r="L7" s="2" t="s">
        <v>79</v>
      </c>
      <c r="M7" s="2" t="s">
        <v>38</v>
      </c>
      <c r="N7" s="2" t="s">
        <v>111</v>
      </c>
      <c r="O7" s="2" t="s">
        <v>93</v>
      </c>
      <c r="P7" s="2" t="str">
        <f t="shared" si="0"/>
        <v>Kevin Garcia</v>
      </c>
      <c r="Q7" s="2" t="str">
        <f>IF(OR(PROPER(TRIM(tblOrders[[#This Row],[Region]]))="Nort",PROPER(TRIM(tblOrders[[#This Row],[Region]]))="Northh"),"North",PROPER(TRIM(tblOrders[[#This Row],[Region]])))</f>
        <v>East</v>
      </c>
      <c r="R7" s="2" t="str">
        <f t="shared" si="1"/>
        <v>Furniture</v>
      </c>
      <c r="S7" s="2" t="str">
        <f t="shared" si="2"/>
        <v>In-Store</v>
      </c>
      <c r="T7" s="2" t="str">
        <f t="shared" si="3"/>
        <v>Cash</v>
      </c>
      <c r="U7" s="2" t="str">
        <f t="shared" si="4"/>
        <v>Cancelled</v>
      </c>
      <c r="V7" s="2">
        <f t="shared" si="5"/>
        <v>9</v>
      </c>
      <c r="W7" s="2">
        <f t="shared" si="6"/>
        <v>387.13</v>
      </c>
      <c r="X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45418</v>
      </c>
      <c r="Y7" s="2" t="str">
        <f t="shared" si="7"/>
        <v>10%</v>
      </c>
      <c r="Z7" s="2" t="str">
        <f>TRIM(CLEAN(tblOrders[[#This Row],[Notes]]))</f>
        <v>Bulk order - business account</v>
      </c>
      <c r="AA7" s="2" t="str">
        <f t="shared" si="8"/>
        <v>High Value</v>
      </c>
      <c r="AB7" s="2">
        <f>IF(OR(tblOrders[[#This Row],[Quantity_Clean]]="",tblOrders[[#This Row],[UnitPrice_Clean]]=""),0,tblOrders[[#This Row],[Quantity_Clean]]*tblOrders[[#This Row],[UnitPrice_Clean]])</f>
        <v>3484.17</v>
      </c>
      <c r="AC7" s="2" t="str">
        <f>UPPER(TRIM(tblOrders[[#This Row],[OrderID]]))</f>
        <v>ORD-1095</v>
      </c>
      <c r="AD7" s="2">
        <f>VALUE(RIGHT(tblOrders[[#This Row],[OrderID]],4))</f>
        <v>1095</v>
      </c>
      <c r="AE7" s="2" t="str">
        <f>TEXT(tblOrders[[#This Row],[OrderDate_Clean]],"mmm-yyyy")</f>
        <v>May-2024</v>
      </c>
      <c r="AF7" s="3">
        <f>EOMONTH(tblOrders[[#This Row],[OrderDate_Clean]],0)</f>
        <v>45443</v>
      </c>
      <c r="AG7" s="2" t="s">
        <v>884</v>
      </c>
      <c r="AH7" s="2">
        <f>IF(tblOrders[[#This Row],[Discount]]="",0,IF(ISNUMBER(tblOrders[[#This Row],[Discount]]),tblOrders[[#This Row],[Discount]],VALUE(SUBSTITUTE(TRIM(tblOrders[[#This Row],[Discount]]),"%",""))/100))</f>
        <v>0.1</v>
      </c>
    </row>
    <row r="8" spans="1:34" x14ac:dyDescent="0.25">
      <c r="A8" s="2" t="s">
        <v>838</v>
      </c>
      <c r="B8" s="2" t="s">
        <v>839</v>
      </c>
      <c r="C8" s="2" t="s">
        <v>840</v>
      </c>
      <c r="D8" s="2" t="s">
        <v>334</v>
      </c>
      <c r="E8" s="2" t="s">
        <v>125</v>
      </c>
      <c r="F8" s="2" t="s">
        <v>66</v>
      </c>
      <c r="G8" s="2" t="s">
        <v>67</v>
      </c>
      <c r="H8" s="2" t="s">
        <v>58</v>
      </c>
      <c r="I8" s="2">
        <v>11</v>
      </c>
      <c r="J8" s="2">
        <v>361.68</v>
      </c>
      <c r="K8" s="2"/>
      <c r="L8" s="2" t="s">
        <v>102</v>
      </c>
      <c r="M8" s="2" t="s">
        <v>110</v>
      </c>
      <c r="N8" s="2" t="s">
        <v>39</v>
      </c>
      <c r="O8" s="2" t="s">
        <v>112</v>
      </c>
      <c r="P8" s="2" t="str">
        <f t="shared" si="0"/>
        <v>Liam Anderson</v>
      </c>
      <c r="Q8" s="2" t="str">
        <f>IF(OR(PROPER(TRIM(tblOrders[[#This Row],[Region]]))="Nort",PROPER(TRIM(tblOrders[[#This Row],[Region]]))="Northh"),"North",PROPER(TRIM(tblOrders[[#This Row],[Region]])))</f>
        <v>South</v>
      </c>
      <c r="R8" s="2" t="str">
        <f t="shared" si="1"/>
        <v>Furniture</v>
      </c>
      <c r="S8" s="2" t="str">
        <f t="shared" si="2"/>
        <v>Online</v>
      </c>
      <c r="T8" s="2" t="str">
        <f t="shared" si="3"/>
        <v>Cash</v>
      </c>
      <c r="U8" s="2" t="str">
        <f t="shared" si="4"/>
        <v>Pending</v>
      </c>
      <c r="V8" s="2">
        <f t="shared" si="5"/>
        <v>11</v>
      </c>
      <c r="W8" s="2">
        <f t="shared" si="6"/>
        <v>361.68</v>
      </c>
      <c r="X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45495</v>
      </c>
      <c r="Y8" s="2">
        <f t="shared" si="7"/>
        <v>0</v>
      </c>
      <c r="Z8" s="2" t="str">
        <f>TRIM(CLEAN(tblOrders[[#This Row],[Notes]]))</f>
        <v>Follow up needed</v>
      </c>
      <c r="AA8" s="2" t="str">
        <f t="shared" si="8"/>
        <v>High Value</v>
      </c>
      <c r="AB8" s="2">
        <f>IF(OR(tblOrders[[#This Row],[Quantity_Clean]]="",tblOrders[[#This Row],[UnitPrice_Clean]]=""),0,tblOrders[[#This Row],[Quantity_Clean]]*tblOrders[[#This Row],[UnitPrice_Clean]])</f>
        <v>3978.48</v>
      </c>
      <c r="AC8" s="2" t="str">
        <f>UPPER(TRIM(tblOrders[[#This Row],[OrderID]]))</f>
        <v>ORD-1227</v>
      </c>
      <c r="AD8" s="2">
        <f>VALUE(RIGHT(tblOrders[[#This Row],[OrderID]],4))</f>
        <v>1227</v>
      </c>
      <c r="AE8" s="2" t="str">
        <f>TEXT(tblOrders[[#This Row],[OrderDate_Clean]],"mmm-yyyy")</f>
        <v>Jul-2024</v>
      </c>
      <c r="AF8" s="3">
        <f>EOMONTH(tblOrders[[#This Row],[OrderDate_Clean]],0)</f>
        <v>45504</v>
      </c>
      <c r="AG8" s="2" t="s">
        <v>885</v>
      </c>
      <c r="AH8" s="2">
        <f>IF(tblOrders[[#This Row],[Discount]]="",0,IF(ISNUMBER(tblOrders[[#This Row],[Discount]]),tblOrders[[#This Row],[Discount]],VALUE(SUBSTITUTE(TRIM(tblOrders[[#This Row],[Discount]]),"%",""))/100))</f>
        <v>0</v>
      </c>
    </row>
    <row r="9" spans="1:34" x14ac:dyDescent="0.25">
      <c r="A9" s="2" t="s">
        <v>121</v>
      </c>
      <c r="B9" s="2" t="s">
        <v>122</v>
      </c>
      <c r="C9" s="2" t="s">
        <v>123</v>
      </c>
      <c r="D9" s="2" t="s">
        <v>124</v>
      </c>
      <c r="E9" s="2" t="s">
        <v>125</v>
      </c>
      <c r="F9" s="2" t="s">
        <v>66</v>
      </c>
      <c r="G9" s="2" t="s">
        <v>57</v>
      </c>
      <c r="H9" s="2" t="s">
        <v>22</v>
      </c>
      <c r="I9" s="2">
        <v>4</v>
      </c>
      <c r="J9" s="2">
        <v>275.55</v>
      </c>
      <c r="K9" s="2"/>
      <c r="L9" s="2" t="s">
        <v>69</v>
      </c>
      <c r="M9" s="2" t="s">
        <v>86</v>
      </c>
      <c r="N9" s="2" t="s">
        <v>111</v>
      </c>
      <c r="O9" s="2" t="s">
        <v>126</v>
      </c>
      <c r="P9" s="2" t="str">
        <f t="shared" si="0"/>
        <v>Daniel Smith</v>
      </c>
      <c r="Q9" s="2" t="str">
        <f>IF(OR(PROPER(TRIM(tblOrders[[#This Row],[Region]]))="Nort",PROPER(TRIM(tblOrders[[#This Row],[Region]]))="Northh"),"North",PROPER(TRIM(tblOrders[[#This Row],[Region]])))</f>
        <v>South</v>
      </c>
      <c r="R9" s="2" t="str">
        <f t="shared" si="1"/>
        <v>Furniture</v>
      </c>
      <c r="S9" s="2" t="str">
        <f t="shared" si="2"/>
        <v>In-Store</v>
      </c>
      <c r="T9" s="2" t="str">
        <f t="shared" si="3"/>
        <v>Debit Card</v>
      </c>
      <c r="U9" s="2" t="str">
        <f t="shared" si="4"/>
        <v>Completed</v>
      </c>
      <c r="V9" s="2">
        <f t="shared" si="5"/>
        <v>4</v>
      </c>
      <c r="W9" s="2">
        <f t="shared" si="6"/>
        <v>275.55</v>
      </c>
      <c r="X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45569</v>
      </c>
      <c r="Y9" s="2">
        <f t="shared" si="7"/>
        <v>0</v>
      </c>
      <c r="Z9" s="2" t="str">
        <f>TRIM(CLEAN(tblOrders[[#This Row],[Notes]]))</f>
        <v>Gift wrap requested</v>
      </c>
      <c r="AA9" s="2" t="str">
        <f t="shared" si="8"/>
        <v>High Value</v>
      </c>
      <c r="AB9" s="2">
        <f>IF(OR(tblOrders[[#This Row],[Quantity_Clean]]="",tblOrders[[#This Row],[UnitPrice_Clean]]=""),0,tblOrders[[#This Row],[Quantity_Clean]]*tblOrders[[#This Row],[UnitPrice_Clean]])</f>
        <v>1102.2</v>
      </c>
      <c r="AC9" s="2" t="str">
        <f>UPPER(TRIM(tblOrders[[#This Row],[OrderID]]))</f>
        <v>ORD-1147</v>
      </c>
      <c r="AD9" s="2">
        <f>VALUE(RIGHT(tblOrders[[#This Row],[OrderID]],4))</f>
        <v>1147</v>
      </c>
      <c r="AE9" s="2" t="str">
        <f>TEXT(tblOrders[[#This Row],[OrderDate_Clean]],"mmm-yyyy")</f>
        <v>Oct-2024</v>
      </c>
      <c r="AF9" s="3">
        <f>EOMONTH(tblOrders[[#This Row],[OrderDate_Clean]],0)</f>
        <v>45596</v>
      </c>
      <c r="AG9" s="2" t="s">
        <v>886</v>
      </c>
      <c r="AH9" s="2">
        <f>IF(tblOrders[[#This Row],[Discount]]="",0,IF(ISNUMBER(tblOrders[[#This Row],[Discount]]),tblOrders[[#This Row],[Discount]],VALUE(SUBSTITUTE(TRIM(tblOrders[[#This Row],[Discount]]),"%",""))/100))</f>
        <v>0</v>
      </c>
    </row>
    <row r="10" spans="1:34" x14ac:dyDescent="0.25">
      <c r="A10" s="2" t="s">
        <v>145</v>
      </c>
      <c r="B10" s="2" t="s">
        <v>146</v>
      </c>
      <c r="C10" s="2" t="s">
        <v>147</v>
      </c>
      <c r="D10" s="2" t="s">
        <v>64</v>
      </c>
      <c r="E10" s="2" t="s">
        <v>65</v>
      </c>
      <c r="F10" s="2" t="s">
        <v>66</v>
      </c>
      <c r="G10" s="2" t="s">
        <v>148</v>
      </c>
      <c r="H10" s="2" t="s">
        <v>35</v>
      </c>
      <c r="I10" s="2">
        <v>1</v>
      </c>
      <c r="J10" s="2">
        <v>239.12</v>
      </c>
      <c r="K10" s="2">
        <v>0.05</v>
      </c>
      <c r="L10" s="2" t="s">
        <v>59</v>
      </c>
      <c r="M10" s="2" t="s">
        <v>86</v>
      </c>
      <c r="N10" s="2" t="s">
        <v>111</v>
      </c>
      <c r="O10" s="2"/>
      <c r="P10" s="2" t="str">
        <f t="shared" si="0"/>
        <v>Umar Farooq</v>
      </c>
      <c r="Q10" s="2" t="str">
        <f>IF(OR(PROPER(TRIM(tblOrders[[#This Row],[Region]]))="Nort",PROPER(TRIM(tblOrders[[#This Row],[Region]]))="Northh"),"North",PROPER(TRIM(tblOrders[[#This Row],[Region]])))</f>
        <v>West</v>
      </c>
      <c r="R10" s="2" t="str">
        <f t="shared" si="1"/>
        <v>Furniture</v>
      </c>
      <c r="S10" s="2" t="str">
        <f t="shared" si="2"/>
        <v>In-Store</v>
      </c>
      <c r="T10" s="2" t="str">
        <f t="shared" si="3"/>
        <v>Debit Card</v>
      </c>
      <c r="U10" s="2" t="str">
        <f t="shared" si="4"/>
        <v>Completed</v>
      </c>
      <c r="V10" s="2">
        <f t="shared" si="5"/>
        <v>1</v>
      </c>
      <c r="W10" s="2">
        <f t="shared" si="6"/>
        <v>239.12</v>
      </c>
      <c r="X1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45549</v>
      </c>
      <c r="Y10" s="2">
        <f t="shared" si="7"/>
        <v>0.05</v>
      </c>
      <c r="Z10" s="2" t="str">
        <f>TRIM(CLEAN(tblOrders[[#This Row],[Notes]]))</f>
        <v/>
      </c>
      <c r="AA10" s="2" t="str">
        <f t="shared" si="8"/>
        <v>Standard</v>
      </c>
      <c r="AB10" s="2">
        <f>IF(OR(tblOrders[[#This Row],[Quantity_Clean]]="",tblOrders[[#This Row],[UnitPrice_Clean]]=""),0,tblOrders[[#This Row],[Quantity_Clean]]*tblOrders[[#This Row],[UnitPrice_Clean]])</f>
        <v>239.12</v>
      </c>
      <c r="AC10" s="2" t="str">
        <f>UPPER(TRIM(tblOrders[[#This Row],[OrderID]]))</f>
        <v>ORD-1045</v>
      </c>
      <c r="AD10" s="2">
        <f>VALUE(RIGHT(tblOrders[[#This Row],[OrderID]],4))</f>
        <v>1045</v>
      </c>
      <c r="AE10" s="2" t="str">
        <f>TEXT(tblOrders[[#This Row],[OrderDate_Clean]],"mmm-yyyy")</f>
        <v>Sep-2024</v>
      </c>
      <c r="AF10" s="3">
        <f>EOMONTH(tblOrders[[#This Row],[OrderDate_Clean]],0)</f>
        <v>45565</v>
      </c>
      <c r="AG10" s="2" t="s">
        <v>883</v>
      </c>
      <c r="AH10" s="2">
        <f>IF(tblOrders[[#This Row],[Discount]]="",0,IF(ISNUMBER(tblOrders[[#This Row],[Discount]]),tblOrders[[#This Row],[Discount]],VALUE(SUBSTITUTE(TRIM(tblOrders[[#This Row],[Discount]]),"%",""))/100))</f>
        <v>0.05</v>
      </c>
    </row>
    <row r="11" spans="1:34" x14ac:dyDescent="0.25">
      <c r="A11" s="2" t="s">
        <v>765</v>
      </c>
      <c r="B11" s="2" t="s">
        <v>766</v>
      </c>
      <c r="C11" s="2" t="s">
        <v>767</v>
      </c>
      <c r="D11" s="2" t="s">
        <v>285</v>
      </c>
      <c r="E11" s="2"/>
      <c r="F11" s="2" t="s">
        <v>66</v>
      </c>
      <c r="G11" s="2" t="s">
        <v>148</v>
      </c>
      <c r="H11" s="2" t="s">
        <v>178</v>
      </c>
      <c r="I11" s="2">
        <v>8</v>
      </c>
      <c r="J11" s="2">
        <v>136.19</v>
      </c>
      <c r="K11" s="2">
        <v>0</v>
      </c>
      <c r="L11" s="2" t="s">
        <v>139</v>
      </c>
      <c r="M11" s="2" t="s">
        <v>158</v>
      </c>
      <c r="N11" s="2" t="s">
        <v>26</v>
      </c>
      <c r="O11" s="2" t="s">
        <v>87</v>
      </c>
      <c r="P11" s="2" t="str">
        <f t="shared" si="0"/>
        <v>Liam Ali</v>
      </c>
      <c r="Q11" s="2" t="str">
        <f>IF(OR(PROPER(TRIM(tblOrders[[#This Row],[Region]]))="Nort",PROPER(TRIM(tblOrders[[#This Row],[Region]]))="Northh"),"North",PROPER(TRIM(tblOrders[[#This Row],[Region]])))</f>
        <v>North</v>
      </c>
      <c r="R11" s="2" t="str">
        <f t="shared" si="1"/>
        <v>Furniture</v>
      </c>
      <c r="S11" s="2" t="str">
        <f t="shared" si="2"/>
        <v>Online</v>
      </c>
      <c r="T11" s="2" t="str">
        <f t="shared" si="3"/>
        <v>Debit Card</v>
      </c>
      <c r="U11" s="2" t="str">
        <f t="shared" si="4"/>
        <v>Pending</v>
      </c>
      <c r="V11" s="2">
        <f t="shared" si="5"/>
        <v>8</v>
      </c>
      <c r="W11" s="2">
        <f t="shared" si="6"/>
        <v>136.19</v>
      </c>
      <c r="X1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45486</v>
      </c>
      <c r="Y11" s="2">
        <f t="shared" si="7"/>
        <v>0</v>
      </c>
      <c r="Z11" s="2" t="str">
        <f>TRIM(CLEAN(tblOrders[[#This Row],[Notes]]))</f>
        <v>Damaged on arrival - replaced</v>
      </c>
      <c r="AA11" s="2" t="str">
        <f t="shared" si="8"/>
        <v>High Value</v>
      </c>
      <c r="AB11" s="2">
        <f>IF(OR(tblOrders[[#This Row],[Quantity_Clean]]="",tblOrders[[#This Row],[UnitPrice_Clean]]=""),0,tblOrders[[#This Row],[Quantity_Clean]]*tblOrders[[#This Row],[UnitPrice_Clean]])</f>
        <v>1089.52</v>
      </c>
      <c r="AC11" s="2" t="str">
        <f>UPPER(TRIM(tblOrders[[#This Row],[OrderID]]))</f>
        <v>ORD-1046</v>
      </c>
      <c r="AD11" s="2">
        <f>VALUE(RIGHT(tblOrders[[#This Row],[OrderID]],4))</f>
        <v>1046</v>
      </c>
      <c r="AE11" s="2" t="str">
        <f>TEXT(tblOrders[[#This Row],[OrderDate_Clean]],"mmm-yyyy")</f>
        <v>Jul-2024</v>
      </c>
      <c r="AF11" s="3">
        <f>EOMONTH(tblOrders[[#This Row],[OrderDate_Clean]],0)</f>
        <v>45504</v>
      </c>
      <c r="AG11" s="2" t="s">
        <v>887</v>
      </c>
      <c r="AH11" s="2">
        <f>IF(tblOrders[[#This Row],[Discount]]="",0,IF(ISNUMBER(tblOrders[[#This Row],[Discount]]),tblOrders[[#This Row],[Discount]],VALUE(SUBSTITUTE(TRIM(tblOrders[[#This Row],[Discount]]),"%",""))/100))</f>
        <v>0</v>
      </c>
    </row>
    <row r="12" spans="1:34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67</v>
      </c>
      <c r="H12" s="2" t="s">
        <v>68</v>
      </c>
      <c r="I12" s="2">
        <v>3</v>
      </c>
      <c r="J12" s="2">
        <v>51.05</v>
      </c>
      <c r="K12" s="2">
        <v>0.2</v>
      </c>
      <c r="L12" s="2" t="s">
        <v>69</v>
      </c>
      <c r="M12" s="2" t="s">
        <v>70</v>
      </c>
      <c r="N12" s="2" t="s">
        <v>71</v>
      </c>
      <c r="O12" s="2" t="s">
        <v>27</v>
      </c>
      <c r="P12" s="2" t="str">
        <f t="shared" si="0"/>
        <v>Robert Smith</v>
      </c>
      <c r="Q12" s="2" t="str">
        <f>IF(OR(PROPER(TRIM(tblOrders[[#This Row],[Region]]))="Nort",PROPER(TRIM(tblOrders[[#This Row],[Region]]))="Northh"),"North",PROPER(TRIM(tblOrders[[#This Row],[Region]])))</f>
        <v>West</v>
      </c>
      <c r="R12" s="2" t="str">
        <f t="shared" si="1"/>
        <v>Furniture</v>
      </c>
      <c r="S12" s="2" t="str">
        <f t="shared" si="2"/>
        <v>Online</v>
      </c>
      <c r="T12" s="2" t="str">
        <f t="shared" si="3"/>
        <v>Debit Card</v>
      </c>
      <c r="U12" s="2" t="str">
        <f t="shared" si="4"/>
        <v>Refunded</v>
      </c>
      <c r="V12" s="2">
        <f t="shared" si="5"/>
        <v>3</v>
      </c>
      <c r="W12" s="2">
        <f t="shared" si="6"/>
        <v>51.05</v>
      </c>
      <c r="X1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45526</v>
      </c>
      <c r="Y12" s="2">
        <f t="shared" si="7"/>
        <v>0.2</v>
      </c>
      <c r="Z12" s="2" t="str">
        <f>TRIM(CLEAN(tblOrders[[#This Row],[Notes]]))</f>
        <v>Customer called twice</v>
      </c>
      <c r="AA12" s="2" t="str">
        <f t="shared" si="8"/>
        <v>Standard</v>
      </c>
      <c r="AB12" s="2">
        <f>IF(OR(tblOrders[[#This Row],[Quantity_Clean]]="",tblOrders[[#This Row],[UnitPrice_Clean]]=""),0,tblOrders[[#This Row],[Quantity_Clean]]*tblOrders[[#This Row],[UnitPrice_Clean]])</f>
        <v>153.14999999999998</v>
      </c>
      <c r="AC12" s="2" t="str">
        <f>UPPER(TRIM(tblOrders[[#This Row],[OrderID]]))</f>
        <v>ORD-1148</v>
      </c>
      <c r="AD12" s="2">
        <f>VALUE(RIGHT(tblOrders[[#This Row],[OrderID]],4))</f>
        <v>1148</v>
      </c>
      <c r="AE12" s="2" t="str">
        <f>TEXT(tblOrders[[#This Row],[OrderDate_Clean]],"mmm-yyyy")</f>
        <v>Aug-2024</v>
      </c>
      <c r="AF12" s="3">
        <f>EOMONTH(tblOrders[[#This Row],[OrderDate_Clean]],0)</f>
        <v>45535</v>
      </c>
      <c r="AG12" s="2" t="s">
        <v>888</v>
      </c>
      <c r="AH12" s="2">
        <f>IF(tblOrders[[#This Row],[Discount]]="",0,IF(ISNUMBER(tblOrders[[#This Row],[Discount]]),tblOrders[[#This Row],[Discount]],VALUE(SUBSTITUTE(TRIM(tblOrders[[#This Row],[Discount]]),"%",""))/100))</f>
        <v>0.2</v>
      </c>
    </row>
    <row r="13" spans="1:34" x14ac:dyDescent="0.25">
      <c r="A13" s="2" t="s">
        <v>833</v>
      </c>
      <c r="B13" s="2" t="s">
        <v>834</v>
      </c>
      <c r="C13" s="2" t="s">
        <v>835</v>
      </c>
      <c r="D13" s="2" t="s">
        <v>212</v>
      </c>
      <c r="E13" s="2" t="s">
        <v>98</v>
      </c>
      <c r="F13" s="2" t="s">
        <v>66</v>
      </c>
      <c r="G13" s="2" t="s">
        <v>67</v>
      </c>
      <c r="H13" s="2" t="s">
        <v>108</v>
      </c>
      <c r="I13" s="2">
        <v>9</v>
      </c>
      <c r="J13" s="2">
        <v>45.89</v>
      </c>
      <c r="K13" s="2">
        <v>0.05</v>
      </c>
      <c r="L13" s="2" t="s">
        <v>102</v>
      </c>
      <c r="M13" s="2" t="s">
        <v>92</v>
      </c>
      <c r="N13" s="2" t="s">
        <v>71</v>
      </c>
      <c r="O13" s="2"/>
      <c r="P13" s="2" t="str">
        <f t="shared" si="0"/>
        <v>Emily Sheikh</v>
      </c>
      <c r="Q13" s="2" t="str">
        <f>IF(OR(PROPER(TRIM(tblOrders[[#This Row],[Region]]))="Nort",PROPER(TRIM(tblOrders[[#This Row],[Region]]))="Northh"),"North",PROPER(TRIM(tblOrders[[#This Row],[Region]])))</f>
        <v>West</v>
      </c>
      <c r="R13" s="2" t="str">
        <f t="shared" si="1"/>
        <v>Furniture</v>
      </c>
      <c r="S13" s="2" t="str">
        <f t="shared" si="2"/>
        <v>In-Store</v>
      </c>
      <c r="T13" s="2" t="str">
        <f t="shared" si="3"/>
        <v>Cash</v>
      </c>
      <c r="U13" s="2" t="str">
        <f t="shared" si="4"/>
        <v>Cancelled</v>
      </c>
      <c r="V13" s="2">
        <f t="shared" si="5"/>
        <v>9</v>
      </c>
      <c r="W13" s="2">
        <f t="shared" si="6"/>
        <v>45.89</v>
      </c>
      <c r="X1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45344</v>
      </c>
      <c r="Y13" s="2">
        <f t="shared" si="7"/>
        <v>0.05</v>
      </c>
      <c r="Z13" s="2" t="str">
        <f>TRIM(CLEAN(tblOrders[[#This Row],[Notes]]))</f>
        <v/>
      </c>
      <c r="AA13" s="2" t="str">
        <f t="shared" si="8"/>
        <v>Standard</v>
      </c>
      <c r="AB13" s="2">
        <f>IF(OR(tblOrders[[#This Row],[Quantity_Clean]]="",tblOrders[[#This Row],[UnitPrice_Clean]]=""),0,tblOrders[[#This Row],[Quantity_Clean]]*tblOrders[[#This Row],[UnitPrice_Clean]])</f>
        <v>413.01</v>
      </c>
      <c r="AC13" s="2" t="str">
        <f>UPPER(TRIM(tblOrders[[#This Row],[OrderID]]))</f>
        <v>ORD-1080</v>
      </c>
      <c r="AD13" s="2">
        <f>VALUE(RIGHT(tblOrders[[#This Row],[OrderID]],4))</f>
        <v>1080</v>
      </c>
      <c r="AE13" s="2" t="str">
        <f>TEXT(tblOrders[[#This Row],[OrderDate_Clean]],"mmm-yyyy")</f>
        <v>Feb-2024</v>
      </c>
      <c r="AF13" s="3">
        <f>EOMONTH(tblOrders[[#This Row],[OrderDate_Clean]],0)</f>
        <v>45351</v>
      </c>
      <c r="AG13" s="2" t="s">
        <v>889</v>
      </c>
      <c r="AH13" s="2">
        <f>IF(tblOrders[[#This Row],[Discount]]="",0,IF(ISNUMBER(tblOrders[[#This Row],[Discount]]),tblOrders[[#This Row],[Discount]],VALUE(SUBSTITUTE(TRIM(tblOrders[[#This Row],[Discount]]),"%",""))/100))</f>
        <v>0.05</v>
      </c>
    </row>
    <row r="14" spans="1:34" x14ac:dyDescent="0.25">
      <c r="A14" s="2" t="s">
        <v>733</v>
      </c>
      <c r="B14" s="2" t="s">
        <v>570</v>
      </c>
      <c r="C14" s="2" t="s">
        <v>734</v>
      </c>
      <c r="D14" s="2" t="s">
        <v>44</v>
      </c>
      <c r="E14" s="2" t="s">
        <v>125</v>
      </c>
      <c r="F14" s="2" t="s">
        <v>66</v>
      </c>
      <c r="G14" s="2" t="s">
        <v>330</v>
      </c>
      <c r="H14" s="2" t="s">
        <v>178</v>
      </c>
      <c r="I14" s="2">
        <v>1</v>
      </c>
      <c r="J14" s="2">
        <v>43.58</v>
      </c>
      <c r="K14" s="2">
        <v>0.15</v>
      </c>
      <c r="L14" s="2" t="s">
        <v>143</v>
      </c>
      <c r="M14" s="2" t="s">
        <v>86</v>
      </c>
      <c r="N14" s="2"/>
      <c r="O14" s="2" t="s">
        <v>51</v>
      </c>
      <c r="P14" s="2" t="str">
        <f t="shared" si="0"/>
        <v>James Johnson</v>
      </c>
      <c r="Q14" s="2" t="str">
        <f>IF(OR(PROPER(TRIM(tblOrders[[#This Row],[Region]]))="Nort",PROPER(TRIM(tblOrders[[#This Row],[Region]]))="Northh"),"North",PROPER(TRIM(tblOrders[[#This Row],[Region]])))</f>
        <v>South</v>
      </c>
      <c r="R14" s="2" t="str">
        <f t="shared" si="1"/>
        <v>Furniture</v>
      </c>
      <c r="S14" s="2" t="str">
        <f t="shared" si="2"/>
        <v>Online</v>
      </c>
      <c r="T14" s="2" t="str">
        <f t="shared" si="3"/>
        <v>Credit Card</v>
      </c>
      <c r="U14" s="2" t="str">
        <f t="shared" si="4"/>
        <v>Completed</v>
      </c>
      <c r="V14" s="2">
        <f t="shared" si="5"/>
        <v>1</v>
      </c>
      <c r="W14" s="2">
        <f t="shared" si="6"/>
        <v>43.58</v>
      </c>
      <c r="X1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45467</v>
      </c>
      <c r="Y14" s="2">
        <f t="shared" si="7"/>
        <v>0.15</v>
      </c>
      <c r="Z14" s="2" t="str">
        <f>TRIM(CLEAN(tblOrders[[#This Row],[Notes]]))</f>
        <v/>
      </c>
      <c r="AA14" s="2" t="str">
        <f t="shared" si="8"/>
        <v>Standard</v>
      </c>
      <c r="AB14" s="2">
        <f>IF(OR(tblOrders[[#This Row],[Quantity_Clean]]="",tblOrders[[#This Row],[UnitPrice_Clean]]=""),0,tblOrders[[#This Row],[Quantity_Clean]]*tblOrders[[#This Row],[UnitPrice_Clean]])</f>
        <v>43.58</v>
      </c>
      <c r="AC14" s="2" t="str">
        <f>UPPER(TRIM(tblOrders[[#This Row],[OrderID]]))</f>
        <v>ORD-1137</v>
      </c>
      <c r="AD14" s="2">
        <f>VALUE(RIGHT(tblOrders[[#This Row],[OrderID]],4))</f>
        <v>1137</v>
      </c>
      <c r="AE14" s="2" t="str">
        <f>TEXT(tblOrders[[#This Row],[OrderDate_Clean]],"mmm-yyyy")</f>
        <v>Jun-2024</v>
      </c>
      <c r="AF14" s="3">
        <f>EOMONTH(tblOrders[[#This Row],[OrderDate_Clean]],0)</f>
        <v>45473</v>
      </c>
      <c r="AG14" s="2" t="s">
        <v>890</v>
      </c>
      <c r="AH14" s="2">
        <f>IF(tblOrders[[#This Row],[Discount]]="",0,IF(ISNUMBER(tblOrders[[#This Row],[Discount]]),tblOrders[[#This Row],[Discount]],VALUE(SUBSTITUTE(TRIM(tblOrders[[#This Row],[Discount]]),"%",""))/100))</f>
        <v>0.15</v>
      </c>
    </row>
    <row r="15" spans="1:34" x14ac:dyDescent="0.25">
      <c r="A15" s="2" t="s">
        <v>786</v>
      </c>
      <c r="B15" s="2" t="s">
        <v>787</v>
      </c>
      <c r="C15" s="2" t="s">
        <v>788</v>
      </c>
      <c r="D15" s="2" t="s">
        <v>18</v>
      </c>
      <c r="E15" s="2" t="s">
        <v>19</v>
      </c>
      <c r="F15" s="2" t="s">
        <v>130</v>
      </c>
      <c r="G15" s="2" t="s">
        <v>21</v>
      </c>
      <c r="H15" s="2" t="s">
        <v>58</v>
      </c>
      <c r="I15" s="2">
        <v>6</v>
      </c>
      <c r="J15" s="2" t="s">
        <v>789</v>
      </c>
      <c r="K15" s="2"/>
      <c r="L15" s="2" t="s">
        <v>237</v>
      </c>
      <c r="M15" s="2" t="s">
        <v>38</v>
      </c>
      <c r="N15" s="2" t="s">
        <v>39</v>
      </c>
      <c r="O15" s="2"/>
      <c r="P15" s="2" t="str">
        <f t="shared" si="0"/>
        <v>Sofia Lee</v>
      </c>
      <c r="Q15" s="2" t="str">
        <f>IF(OR(PROPER(TRIM(tblOrders[[#This Row],[Region]]))="Nort",PROPER(TRIM(tblOrders[[#This Row],[Region]]))="Northh"),"North",PROPER(TRIM(tblOrders[[#This Row],[Region]])))</f>
        <v>East</v>
      </c>
      <c r="R15" s="2" t="str">
        <f t="shared" si="1"/>
        <v>Clothing</v>
      </c>
      <c r="S15" s="2" t="str">
        <f t="shared" si="2"/>
        <v>Online</v>
      </c>
      <c r="T15" s="2" t="str">
        <f t="shared" si="3"/>
        <v>Bank Transfer</v>
      </c>
      <c r="U15" s="2" t="str">
        <f t="shared" si="4"/>
        <v>Cancelled</v>
      </c>
      <c r="V15" s="2">
        <f t="shared" si="5"/>
        <v>6</v>
      </c>
      <c r="W15" s="2">
        <f t="shared" si="6"/>
        <v>65.069999999999993</v>
      </c>
      <c r="X1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45476</v>
      </c>
      <c r="Y15" s="2">
        <f t="shared" si="7"/>
        <v>0</v>
      </c>
      <c r="Z15" s="2" t="str">
        <f>TRIM(CLEAN(tblOrders[[#This Row],[Notes]]))</f>
        <v/>
      </c>
      <c r="AA15" s="2" t="str">
        <f t="shared" si="8"/>
        <v>Standard</v>
      </c>
      <c r="AB15" s="2">
        <f>IF(OR(tblOrders[[#This Row],[Quantity_Clean]]="",tblOrders[[#This Row],[UnitPrice_Clean]]=""),0,tblOrders[[#This Row],[Quantity_Clean]]*tblOrders[[#This Row],[UnitPrice_Clean]])</f>
        <v>390.41999999999996</v>
      </c>
      <c r="AC15" s="2" t="str">
        <f>UPPER(TRIM(tblOrders[[#This Row],[OrderID]]))</f>
        <v>ORD-1084</v>
      </c>
      <c r="AD15" s="2">
        <f>VALUE(RIGHT(tblOrders[[#This Row],[OrderID]],4))</f>
        <v>1084</v>
      </c>
      <c r="AE15" s="2" t="str">
        <f>TEXT(tblOrders[[#This Row],[OrderDate_Clean]],"mmm-yyyy")</f>
        <v>Jul-2024</v>
      </c>
      <c r="AF15" s="3">
        <f>EOMONTH(tblOrders[[#This Row],[OrderDate_Clean]],0)</f>
        <v>45504</v>
      </c>
      <c r="AG15" s="2" t="s">
        <v>891</v>
      </c>
      <c r="AH15" s="2">
        <f>IF(tblOrders[[#This Row],[Discount]]="",0,IF(ISNUMBER(tblOrders[[#This Row],[Discount]]),tblOrders[[#This Row],[Discount]],VALUE(SUBSTITUTE(TRIM(tblOrders[[#This Row],[Discount]]),"%",""))/100))</f>
        <v>0</v>
      </c>
    </row>
    <row r="16" spans="1:34" x14ac:dyDescent="0.25">
      <c r="A16" s="2" t="s">
        <v>229</v>
      </c>
      <c r="B16" s="2" t="s">
        <v>230</v>
      </c>
      <c r="C16" s="2" t="s">
        <v>231</v>
      </c>
      <c r="D16" s="2" t="s">
        <v>152</v>
      </c>
      <c r="E16" s="2" t="s">
        <v>19</v>
      </c>
      <c r="F16" s="2" t="s">
        <v>130</v>
      </c>
      <c r="G16" s="2" t="s">
        <v>131</v>
      </c>
      <c r="H16" s="2" t="s">
        <v>200</v>
      </c>
      <c r="I16" s="2">
        <v>10</v>
      </c>
      <c r="J16" s="2">
        <v>498.33</v>
      </c>
      <c r="K16" s="2">
        <v>0</v>
      </c>
      <c r="L16" s="2" t="s">
        <v>180</v>
      </c>
      <c r="M16" s="2" t="s">
        <v>158</v>
      </c>
      <c r="N16" s="2" t="s">
        <v>71</v>
      </c>
      <c r="O16" s="2" t="s">
        <v>40</v>
      </c>
      <c r="P16" s="2" t="str">
        <f t="shared" si="0"/>
        <v>Grace Anderson</v>
      </c>
      <c r="Q16" s="2" t="str">
        <f>IF(OR(PROPER(TRIM(tblOrders[[#This Row],[Region]]))="Nort",PROPER(TRIM(tblOrders[[#This Row],[Region]]))="Northh"),"North",PROPER(TRIM(tblOrders[[#This Row],[Region]])))</f>
        <v>East</v>
      </c>
      <c r="R16" s="2" t="str">
        <f t="shared" si="1"/>
        <v>Clothing</v>
      </c>
      <c r="S16" s="2" t="str">
        <f t="shared" si="2"/>
        <v>Online</v>
      </c>
      <c r="T16" s="2" t="str">
        <f t="shared" si="3"/>
        <v>Credit Card</v>
      </c>
      <c r="U16" s="2" t="str">
        <f t="shared" si="4"/>
        <v>Pending</v>
      </c>
      <c r="V16" s="2">
        <f t="shared" si="5"/>
        <v>10</v>
      </c>
      <c r="W16" s="2">
        <f t="shared" si="6"/>
        <v>498.33</v>
      </c>
      <c r="X1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45520</v>
      </c>
      <c r="Y16" s="2">
        <f t="shared" si="7"/>
        <v>0</v>
      </c>
      <c r="Z16" s="2" t="str">
        <f>TRIM(CLEAN(tblOrders[[#This Row],[Notes]]))</f>
        <v>VIP customer</v>
      </c>
      <c r="AA16" s="2" t="str">
        <f t="shared" si="8"/>
        <v>High Value</v>
      </c>
      <c r="AB16" s="2">
        <f>IF(OR(tblOrders[[#This Row],[Quantity_Clean]]="",tblOrders[[#This Row],[UnitPrice_Clean]]=""),0,tblOrders[[#This Row],[Quantity_Clean]]*tblOrders[[#This Row],[UnitPrice_Clean]])</f>
        <v>4983.3</v>
      </c>
      <c r="AC16" s="2" t="str">
        <f>UPPER(TRIM(tblOrders[[#This Row],[OrderID]]))</f>
        <v>ORD-1198</v>
      </c>
      <c r="AD16" s="2">
        <f>VALUE(RIGHT(tblOrders[[#This Row],[OrderID]],4))</f>
        <v>1198</v>
      </c>
      <c r="AE16" s="2" t="str">
        <f>TEXT(tblOrders[[#This Row],[OrderDate_Clean]],"mmm-yyyy")</f>
        <v>Aug-2024</v>
      </c>
      <c r="AF16" s="3">
        <f>EOMONTH(tblOrders[[#This Row],[OrderDate_Clean]],0)</f>
        <v>45535</v>
      </c>
      <c r="AG16" s="2" t="s">
        <v>892</v>
      </c>
      <c r="AH16" s="2">
        <f>IF(tblOrders[[#This Row],[Discount]]="",0,IF(ISNUMBER(tblOrders[[#This Row],[Discount]]),tblOrders[[#This Row],[Discount]],VALUE(SUBSTITUTE(TRIM(tblOrders[[#This Row],[Discount]]),"%",""))/100))</f>
        <v>0</v>
      </c>
    </row>
    <row r="17" spans="1:34" x14ac:dyDescent="0.25">
      <c r="A17" s="2" t="s">
        <v>229</v>
      </c>
      <c r="B17" s="2" t="s">
        <v>230</v>
      </c>
      <c r="C17" s="2" t="s">
        <v>682</v>
      </c>
      <c r="D17" s="2" t="s">
        <v>152</v>
      </c>
      <c r="E17" s="2" t="s">
        <v>19</v>
      </c>
      <c r="F17" s="2" t="s">
        <v>130</v>
      </c>
      <c r="G17" s="2" t="s">
        <v>131</v>
      </c>
      <c r="H17" s="2" t="s">
        <v>200</v>
      </c>
      <c r="I17" s="2">
        <v>10</v>
      </c>
      <c r="J17" s="2">
        <v>498.33</v>
      </c>
      <c r="K17" s="2">
        <v>0</v>
      </c>
      <c r="L17" s="2" t="s">
        <v>180</v>
      </c>
      <c r="M17" s="2" t="s">
        <v>158</v>
      </c>
      <c r="N17" s="2" t="s">
        <v>71</v>
      </c>
      <c r="O17" s="2" t="s">
        <v>40</v>
      </c>
      <c r="P17" s="2" t="str">
        <f t="shared" si="0"/>
        <v>Grace Anderson</v>
      </c>
      <c r="Q17" s="2" t="str">
        <f>IF(OR(PROPER(TRIM(tblOrders[[#This Row],[Region]]))="Nort",PROPER(TRIM(tblOrders[[#This Row],[Region]]))="Northh"),"North",PROPER(TRIM(tblOrders[[#This Row],[Region]])))</f>
        <v>East</v>
      </c>
      <c r="R17" s="2" t="str">
        <f t="shared" si="1"/>
        <v>Clothing</v>
      </c>
      <c r="S17" s="2" t="str">
        <f t="shared" si="2"/>
        <v>Online</v>
      </c>
      <c r="T17" s="2" t="str">
        <f t="shared" si="3"/>
        <v>Credit Card</v>
      </c>
      <c r="U17" s="2" t="str">
        <f t="shared" si="4"/>
        <v>Pending</v>
      </c>
      <c r="V17" s="2">
        <f t="shared" si="5"/>
        <v>10</v>
      </c>
      <c r="W17" s="2">
        <f t="shared" si="6"/>
        <v>498.33</v>
      </c>
      <c r="X1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45520</v>
      </c>
      <c r="Y17" s="2">
        <f t="shared" si="7"/>
        <v>0</v>
      </c>
      <c r="Z17" s="2" t="str">
        <f>TRIM(CLEAN(tblOrders[[#This Row],[Notes]]))</f>
        <v>VIP customer</v>
      </c>
      <c r="AA17" s="2" t="str">
        <f t="shared" si="8"/>
        <v>High Value</v>
      </c>
      <c r="AB17" s="2">
        <f>IF(OR(tblOrders[[#This Row],[Quantity_Clean]]="",tblOrders[[#This Row],[UnitPrice_Clean]]=""),0,tblOrders[[#This Row],[Quantity_Clean]]*tblOrders[[#This Row],[UnitPrice_Clean]])</f>
        <v>4983.3</v>
      </c>
      <c r="AC17" s="2" t="str">
        <f>UPPER(TRIM(tblOrders[[#This Row],[OrderID]]))</f>
        <v>ORD-1198</v>
      </c>
      <c r="AD17" s="2">
        <f>VALUE(RIGHT(tblOrders[[#This Row],[OrderID]],4))</f>
        <v>1198</v>
      </c>
      <c r="AE17" s="2" t="str">
        <f>TEXT(tblOrders[[#This Row],[OrderDate_Clean]],"mmm-yyyy")</f>
        <v>Aug-2024</v>
      </c>
      <c r="AF17" s="3">
        <f>EOMONTH(tblOrders[[#This Row],[OrderDate_Clean]],0)</f>
        <v>45535</v>
      </c>
      <c r="AG17" s="2" t="s">
        <v>881</v>
      </c>
      <c r="AH17" s="2">
        <f>IF(tblOrders[[#This Row],[Discount]]="",0,IF(ISNUMBER(tblOrders[[#This Row],[Discount]]),tblOrders[[#This Row],[Discount]],VALUE(SUBSTITUTE(TRIM(tblOrders[[#This Row],[Discount]]),"%",""))/100))</f>
        <v>0</v>
      </c>
    </row>
    <row r="18" spans="1:34" x14ac:dyDescent="0.25">
      <c r="A18" s="2" t="s">
        <v>357</v>
      </c>
      <c r="B18" s="2" t="s">
        <v>358</v>
      </c>
      <c r="C18" s="2" t="s">
        <v>359</v>
      </c>
      <c r="D18" s="2" t="s">
        <v>97</v>
      </c>
      <c r="E18" s="2" t="s">
        <v>65</v>
      </c>
      <c r="F18" s="2" t="s">
        <v>130</v>
      </c>
      <c r="G18" s="2" t="s">
        <v>131</v>
      </c>
      <c r="H18" s="2" t="s">
        <v>178</v>
      </c>
      <c r="I18" s="2" t="s">
        <v>360</v>
      </c>
      <c r="J18" s="2">
        <v>494.24</v>
      </c>
      <c r="K18" s="2">
        <v>0.1</v>
      </c>
      <c r="L18" s="2" t="s">
        <v>132</v>
      </c>
      <c r="M18" s="2" t="s">
        <v>70</v>
      </c>
      <c r="N18" s="2"/>
      <c r="O18" s="2" t="s">
        <v>112</v>
      </c>
      <c r="P18" s="2" t="str">
        <f t="shared" si="0"/>
        <v>Daniel Raza</v>
      </c>
      <c r="Q18" s="2" t="str">
        <f>IF(OR(PROPER(TRIM(tblOrders[[#This Row],[Region]]))="Nort",PROPER(TRIM(tblOrders[[#This Row],[Region]]))="Northh"),"North",PROPER(TRIM(tblOrders[[#This Row],[Region]])))</f>
        <v>West</v>
      </c>
      <c r="R18" s="2" t="str">
        <f t="shared" si="1"/>
        <v>Clothing</v>
      </c>
      <c r="S18" s="2" t="str">
        <f t="shared" si="2"/>
        <v>Online</v>
      </c>
      <c r="T18" s="2" t="str">
        <f t="shared" si="3"/>
        <v>Cash</v>
      </c>
      <c r="U18" s="2" t="str">
        <f t="shared" si="4"/>
        <v>Refunded</v>
      </c>
      <c r="V18" s="2">
        <f t="shared" si="5"/>
        <v>8</v>
      </c>
      <c r="W18" s="2">
        <f t="shared" si="6"/>
        <v>494.24</v>
      </c>
      <c r="X1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45444</v>
      </c>
      <c r="Y18" s="2">
        <f t="shared" si="7"/>
        <v>0.1</v>
      </c>
      <c r="Z18" s="2" t="str">
        <f>TRIM(CLEAN(tblOrders[[#This Row],[Notes]]))</f>
        <v>Follow up needed</v>
      </c>
      <c r="AA18" s="2" t="str">
        <f t="shared" si="8"/>
        <v>High Value</v>
      </c>
      <c r="AB18" s="2">
        <f>IF(OR(tblOrders[[#This Row],[Quantity_Clean]]="",tblOrders[[#This Row],[UnitPrice_Clean]]=""),0,tblOrders[[#This Row],[Quantity_Clean]]*tblOrders[[#This Row],[UnitPrice_Clean]])</f>
        <v>3953.92</v>
      </c>
      <c r="AC18" s="2" t="str">
        <f>UPPER(TRIM(tblOrders[[#This Row],[OrderID]]))</f>
        <v>ORD-1173</v>
      </c>
      <c r="AD18" s="2">
        <f>VALUE(RIGHT(tblOrders[[#This Row],[OrderID]],4))</f>
        <v>1173</v>
      </c>
      <c r="AE18" s="2" t="str">
        <f>TEXT(tblOrders[[#This Row],[OrderDate_Clean]],"mmm-yyyy")</f>
        <v>Jun-2024</v>
      </c>
      <c r="AF18" s="3">
        <f>EOMONTH(tblOrders[[#This Row],[OrderDate_Clean]],0)</f>
        <v>45473</v>
      </c>
      <c r="AG18" s="2" t="s">
        <v>893</v>
      </c>
      <c r="AH18" s="2">
        <f>IF(tblOrders[[#This Row],[Discount]]="",0,IF(ISNUMBER(tblOrders[[#This Row],[Discount]]),tblOrders[[#This Row],[Discount]],VALUE(SUBSTITUTE(TRIM(tblOrders[[#This Row],[Discount]]),"%",""))/100))</f>
        <v>0.1</v>
      </c>
    </row>
    <row r="19" spans="1:34" x14ac:dyDescent="0.25">
      <c r="A19" s="2" t="s">
        <v>444</v>
      </c>
      <c r="B19" s="2" t="s">
        <v>445</v>
      </c>
      <c r="C19" s="2" t="s">
        <v>446</v>
      </c>
      <c r="D19" s="2" t="s">
        <v>97</v>
      </c>
      <c r="E19" s="2" t="s">
        <v>65</v>
      </c>
      <c r="F19" s="2" t="s">
        <v>130</v>
      </c>
      <c r="G19" s="2" t="s">
        <v>119</v>
      </c>
      <c r="H19" s="2" t="s">
        <v>195</v>
      </c>
      <c r="I19" s="2" t="s">
        <v>360</v>
      </c>
      <c r="J19" s="2">
        <v>383.31</v>
      </c>
      <c r="K19" s="2">
        <v>0.2</v>
      </c>
      <c r="L19" s="2" t="s">
        <v>281</v>
      </c>
      <c r="M19" s="2" t="s">
        <v>86</v>
      </c>
      <c r="N19" s="2" t="s">
        <v>26</v>
      </c>
      <c r="O19" s="2" t="s">
        <v>93</v>
      </c>
      <c r="P19" s="2" t="str">
        <f t="shared" si="0"/>
        <v>Emily Johnson</v>
      </c>
      <c r="Q19" s="2" t="str">
        <f>IF(OR(PROPER(TRIM(tblOrders[[#This Row],[Region]]))="Nort",PROPER(TRIM(tblOrders[[#This Row],[Region]]))="Northh"),"North",PROPER(TRIM(tblOrders[[#This Row],[Region]])))</f>
        <v>West</v>
      </c>
      <c r="R19" s="2" t="str">
        <f t="shared" si="1"/>
        <v>Clothing</v>
      </c>
      <c r="S19" s="2" t="str">
        <f t="shared" si="2"/>
        <v>In-Store</v>
      </c>
      <c r="T19" s="2" t="str">
        <f t="shared" si="3"/>
        <v>Credit Card</v>
      </c>
      <c r="U19" s="2" t="str">
        <f t="shared" si="4"/>
        <v>Completed</v>
      </c>
      <c r="V19" s="2">
        <f t="shared" si="5"/>
        <v>8</v>
      </c>
      <c r="W19" s="2">
        <f t="shared" si="6"/>
        <v>383.31</v>
      </c>
      <c r="X1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45390</v>
      </c>
      <c r="Y19" s="2">
        <f t="shared" si="7"/>
        <v>0.2</v>
      </c>
      <c r="Z19" s="2" t="str">
        <f>TRIM(CLEAN(tblOrders[[#This Row],[Notes]]))</f>
        <v>Bulk order - business account</v>
      </c>
      <c r="AA19" s="2" t="str">
        <f t="shared" si="8"/>
        <v>High Value</v>
      </c>
      <c r="AB19" s="2">
        <f>IF(OR(tblOrders[[#This Row],[Quantity_Clean]]="",tblOrders[[#This Row],[UnitPrice_Clean]]=""),0,tblOrders[[#This Row],[Quantity_Clean]]*tblOrders[[#This Row],[UnitPrice_Clean]])</f>
        <v>3066.48</v>
      </c>
      <c r="AC19" s="2" t="str">
        <f>UPPER(TRIM(tblOrders[[#This Row],[OrderID]]))</f>
        <v>ORD-1224</v>
      </c>
      <c r="AD19" s="2">
        <f>VALUE(RIGHT(tblOrders[[#This Row],[OrderID]],4))</f>
        <v>1224</v>
      </c>
      <c r="AE19" s="2" t="str">
        <f>TEXT(tblOrders[[#This Row],[OrderDate_Clean]],"mmm-yyyy")</f>
        <v>Apr-2024</v>
      </c>
      <c r="AF19" s="3">
        <f>EOMONTH(tblOrders[[#This Row],[OrderDate_Clean]],0)</f>
        <v>45412</v>
      </c>
      <c r="AG19" s="2" t="s">
        <v>894</v>
      </c>
      <c r="AH19" s="2">
        <f>IF(tblOrders[[#This Row],[Discount]]="",0,IF(ISNUMBER(tblOrders[[#This Row],[Discount]]),tblOrders[[#This Row],[Discount]],VALUE(SUBSTITUTE(TRIM(tblOrders[[#This Row],[Discount]]),"%",""))/100))</f>
        <v>0.2</v>
      </c>
    </row>
    <row r="20" spans="1:34" x14ac:dyDescent="0.25">
      <c r="A20" s="2" t="s">
        <v>238</v>
      </c>
      <c r="B20" s="2" t="s">
        <v>239</v>
      </c>
      <c r="C20" s="2" t="s">
        <v>240</v>
      </c>
      <c r="D20" s="2" t="s">
        <v>97</v>
      </c>
      <c r="E20" s="2" t="s">
        <v>65</v>
      </c>
      <c r="F20" s="2" t="s">
        <v>130</v>
      </c>
      <c r="G20" s="2" t="s">
        <v>119</v>
      </c>
      <c r="H20" s="2" t="s">
        <v>68</v>
      </c>
      <c r="I20" s="2" t="s">
        <v>241</v>
      </c>
      <c r="J20" s="2">
        <v>227.71</v>
      </c>
      <c r="K20" s="2">
        <v>0</v>
      </c>
      <c r="L20" s="2" t="s">
        <v>79</v>
      </c>
      <c r="M20" s="2" t="s">
        <v>208</v>
      </c>
      <c r="N20" s="2" t="s">
        <v>26</v>
      </c>
      <c r="O20" s="2"/>
      <c r="P20" s="2" t="str">
        <f t="shared" si="0"/>
        <v>John Brown</v>
      </c>
      <c r="Q20" s="2" t="str">
        <f>IF(OR(PROPER(TRIM(tblOrders[[#This Row],[Region]]))="Nort",PROPER(TRIM(tblOrders[[#This Row],[Region]]))="Northh"),"North",PROPER(TRIM(tblOrders[[#This Row],[Region]])))</f>
        <v>West</v>
      </c>
      <c r="R20" s="2" t="str">
        <f t="shared" si="1"/>
        <v>Clothing</v>
      </c>
      <c r="S20" s="2" t="str">
        <f t="shared" si="2"/>
        <v>Online</v>
      </c>
      <c r="T20" s="2" t="str">
        <f t="shared" si="3"/>
        <v>Cash</v>
      </c>
      <c r="U20" s="2" t="str">
        <f t="shared" si="4"/>
        <v>Completed</v>
      </c>
      <c r="V20" s="2">
        <f t="shared" si="5"/>
        <v>10</v>
      </c>
      <c r="W20" s="2">
        <f t="shared" si="6"/>
        <v>227.71</v>
      </c>
      <c r="X2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45450</v>
      </c>
      <c r="Y20" s="2">
        <f t="shared" si="7"/>
        <v>0</v>
      </c>
      <c r="Z20" s="2" t="str">
        <f>TRIM(CLEAN(tblOrders[[#This Row],[Notes]]))</f>
        <v/>
      </c>
      <c r="AA20" s="2" t="str">
        <f t="shared" si="8"/>
        <v>High Value</v>
      </c>
      <c r="AB20" s="2">
        <f>IF(OR(tblOrders[[#This Row],[Quantity_Clean]]="",tblOrders[[#This Row],[UnitPrice_Clean]]=""),0,tblOrders[[#This Row],[Quantity_Clean]]*tblOrders[[#This Row],[UnitPrice_Clean]])</f>
        <v>2277.1</v>
      </c>
      <c r="AC20" s="2" t="str">
        <f>UPPER(TRIM(tblOrders[[#This Row],[OrderID]]))</f>
        <v>ORD-1082</v>
      </c>
      <c r="AD20" s="2">
        <f>VALUE(RIGHT(tblOrders[[#This Row],[OrderID]],4))</f>
        <v>1082</v>
      </c>
      <c r="AE20" s="2" t="str">
        <f>TEXT(tblOrders[[#This Row],[OrderDate_Clean]],"mmm-yyyy")</f>
        <v>Jun-2024</v>
      </c>
      <c r="AF20" s="3">
        <f>EOMONTH(tblOrders[[#This Row],[OrderDate_Clean]],0)</f>
        <v>45473</v>
      </c>
      <c r="AG20" s="2" t="s">
        <v>895</v>
      </c>
      <c r="AH20" s="2">
        <f>IF(tblOrders[[#This Row],[Discount]]="",0,IF(ISNUMBER(tblOrders[[#This Row],[Discount]]),tblOrders[[#This Row],[Discount]],VALUE(SUBSTITUTE(TRIM(tblOrders[[#This Row],[Discount]]),"%",""))/100))</f>
        <v>0</v>
      </c>
    </row>
    <row r="21" spans="1:34" x14ac:dyDescent="0.25">
      <c r="A21" s="2" t="s">
        <v>772</v>
      </c>
      <c r="B21" s="2" t="s">
        <v>773</v>
      </c>
      <c r="C21" s="2" t="s">
        <v>774</v>
      </c>
      <c r="D21" s="2" t="s">
        <v>152</v>
      </c>
      <c r="E21" s="2" t="s">
        <v>19</v>
      </c>
      <c r="F21" s="2" t="s">
        <v>130</v>
      </c>
      <c r="G21" s="2" t="s">
        <v>119</v>
      </c>
      <c r="H21" s="2" t="s">
        <v>48</v>
      </c>
      <c r="I21" s="2">
        <v>10</v>
      </c>
      <c r="J21" s="2">
        <v>219.66</v>
      </c>
      <c r="K21" s="2"/>
      <c r="L21" s="2" t="s">
        <v>59</v>
      </c>
      <c r="M21" s="2" t="s">
        <v>170</v>
      </c>
      <c r="N21" s="2" t="s">
        <v>111</v>
      </c>
      <c r="O21" s="2" t="s">
        <v>126</v>
      </c>
      <c r="P21" s="2" t="str">
        <f t="shared" si="0"/>
        <v>David Ali</v>
      </c>
      <c r="Q21" s="2" t="str">
        <f>IF(OR(PROPER(TRIM(tblOrders[[#This Row],[Region]]))="Nort",PROPER(TRIM(tblOrders[[#This Row],[Region]]))="Northh"),"North",PROPER(TRIM(tblOrders[[#This Row],[Region]])))</f>
        <v>East</v>
      </c>
      <c r="R21" s="2" t="str">
        <f t="shared" si="1"/>
        <v>Clothing</v>
      </c>
      <c r="S21" s="2" t="str">
        <f t="shared" si="2"/>
        <v>In-Store</v>
      </c>
      <c r="T21" s="2" t="str">
        <f t="shared" si="3"/>
        <v>Debit Card</v>
      </c>
      <c r="U21" s="2" t="str">
        <f t="shared" si="4"/>
        <v>Cancelled</v>
      </c>
      <c r="V21" s="2">
        <f t="shared" si="5"/>
        <v>10</v>
      </c>
      <c r="W21" s="2">
        <f t="shared" si="6"/>
        <v>219.66</v>
      </c>
      <c r="X2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45376</v>
      </c>
      <c r="Y21" s="2">
        <f t="shared" si="7"/>
        <v>0</v>
      </c>
      <c r="Z21" s="2" t="str">
        <f>TRIM(CLEAN(tblOrders[[#This Row],[Notes]]))</f>
        <v>Gift wrap requested</v>
      </c>
      <c r="AA21" s="2" t="str">
        <f t="shared" si="8"/>
        <v>High Value</v>
      </c>
      <c r="AB21" s="2">
        <f>IF(OR(tblOrders[[#This Row],[Quantity_Clean]]="",tblOrders[[#This Row],[UnitPrice_Clean]]=""),0,tblOrders[[#This Row],[Quantity_Clean]]*tblOrders[[#This Row],[UnitPrice_Clean]])</f>
        <v>2196.6</v>
      </c>
      <c r="AC21" s="2" t="str">
        <f>UPPER(TRIM(tblOrders[[#This Row],[OrderID]]))</f>
        <v>ORD-1179</v>
      </c>
      <c r="AD21" s="2">
        <f>VALUE(RIGHT(tblOrders[[#This Row],[OrderID]],4))</f>
        <v>1179</v>
      </c>
      <c r="AE21" s="2" t="str">
        <f>TEXT(tblOrders[[#This Row],[OrderDate_Clean]],"mmm-yyyy")</f>
        <v>Mar-2024</v>
      </c>
      <c r="AF21" s="3">
        <f>EOMONTH(tblOrders[[#This Row],[OrderDate_Clean]],0)</f>
        <v>45382</v>
      </c>
      <c r="AG21" s="2" t="s">
        <v>896</v>
      </c>
      <c r="AH21" s="2">
        <f>IF(tblOrders[[#This Row],[Discount]]="",0,IF(ISNUMBER(tblOrders[[#This Row],[Discount]]),tblOrders[[#This Row],[Discount]],VALUE(SUBSTITUTE(TRIM(tblOrders[[#This Row],[Discount]]),"%",""))/100))</f>
        <v>0</v>
      </c>
    </row>
    <row r="22" spans="1:34" x14ac:dyDescent="0.25">
      <c r="A22" s="2" t="s">
        <v>651</v>
      </c>
      <c r="B22" s="2" t="s">
        <v>652</v>
      </c>
      <c r="C22" s="2" t="s">
        <v>653</v>
      </c>
      <c r="D22" s="2" t="s">
        <v>162</v>
      </c>
      <c r="E22" s="2" t="s">
        <v>19</v>
      </c>
      <c r="F22" s="2" t="s">
        <v>130</v>
      </c>
      <c r="G22" s="2" t="s">
        <v>21</v>
      </c>
      <c r="H22" s="2" t="s">
        <v>200</v>
      </c>
      <c r="I22" s="2" t="s">
        <v>343</v>
      </c>
      <c r="J22" s="2">
        <v>193.06</v>
      </c>
      <c r="K22" s="2"/>
      <c r="L22" s="2" t="s">
        <v>260</v>
      </c>
      <c r="M22" s="2" t="s">
        <v>144</v>
      </c>
      <c r="N22" s="2" t="s">
        <v>39</v>
      </c>
      <c r="O22" s="2" t="s">
        <v>27</v>
      </c>
      <c r="P22" s="2" t="str">
        <f t="shared" si="0"/>
        <v>Laura Lee</v>
      </c>
      <c r="Q22" s="2" t="str">
        <f>IF(OR(PROPER(TRIM(tblOrders[[#This Row],[Region]]))="Nort",PROPER(TRIM(tblOrders[[#This Row],[Region]]))="Northh"),"North",PROPER(TRIM(tblOrders[[#This Row],[Region]])))</f>
        <v>East</v>
      </c>
      <c r="R22" s="2" t="str">
        <f t="shared" si="1"/>
        <v>Clothing</v>
      </c>
      <c r="S22" s="2" t="str">
        <f t="shared" si="2"/>
        <v>Online</v>
      </c>
      <c r="T22" s="2" t="str">
        <f t="shared" si="3"/>
        <v>Credit Card</v>
      </c>
      <c r="U22" s="2" t="str">
        <f t="shared" si="4"/>
        <v>Refunded</v>
      </c>
      <c r="V22" s="2">
        <f t="shared" si="5"/>
        <v>6</v>
      </c>
      <c r="W22" s="2">
        <f t="shared" si="6"/>
        <v>193.06</v>
      </c>
      <c r="X2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45527</v>
      </c>
      <c r="Y22" s="2">
        <f t="shared" si="7"/>
        <v>0</v>
      </c>
      <c r="Z22" s="2" t="str">
        <f>TRIM(CLEAN(tblOrders[[#This Row],[Notes]]))</f>
        <v>Customer called twice</v>
      </c>
      <c r="AA22" s="2" t="str">
        <f t="shared" si="8"/>
        <v>High Value</v>
      </c>
      <c r="AB22" s="2">
        <f>IF(OR(tblOrders[[#This Row],[Quantity_Clean]]="",tblOrders[[#This Row],[UnitPrice_Clean]]=""),0,tblOrders[[#This Row],[Quantity_Clean]]*tblOrders[[#This Row],[UnitPrice_Clean]])</f>
        <v>1158.3600000000001</v>
      </c>
      <c r="AC22" s="2" t="str">
        <f>UPPER(TRIM(tblOrders[[#This Row],[OrderID]]))</f>
        <v>ORD-1002</v>
      </c>
      <c r="AD22" s="2">
        <f>VALUE(RIGHT(tblOrders[[#This Row],[OrderID]],4))</f>
        <v>1002</v>
      </c>
      <c r="AE22" s="2" t="str">
        <f>TEXT(tblOrders[[#This Row],[OrderDate_Clean]],"mmm-yyyy")</f>
        <v>Aug-2024</v>
      </c>
      <c r="AF22" s="3">
        <f>EOMONTH(tblOrders[[#This Row],[OrderDate_Clean]],0)</f>
        <v>45535</v>
      </c>
      <c r="AG22" s="2" t="s">
        <v>897</v>
      </c>
      <c r="AH22" s="2">
        <f>IF(tblOrders[[#This Row],[Discount]]="",0,IF(ISNUMBER(tblOrders[[#This Row],[Discount]]),tblOrders[[#This Row],[Discount]],VALUE(SUBSTITUTE(TRIM(tblOrders[[#This Row],[Discount]]),"%",""))/100))</f>
        <v>0</v>
      </c>
    </row>
    <row r="23" spans="1:34" x14ac:dyDescent="0.25">
      <c r="A23" s="2" t="s">
        <v>645</v>
      </c>
      <c r="B23" s="2" t="s">
        <v>646</v>
      </c>
      <c r="C23" s="2" t="s">
        <v>647</v>
      </c>
      <c r="D23" s="2" t="s">
        <v>152</v>
      </c>
      <c r="E23" s="2" t="s">
        <v>117</v>
      </c>
      <c r="F23" s="2" t="s">
        <v>130</v>
      </c>
      <c r="G23" s="2" t="s">
        <v>131</v>
      </c>
      <c r="H23" s="2" t="s">
        <v>178</v>
      </c>
      <c r="I23" s="2">
        <v>10</v>
      </c>
      <c r="J23" s="2">
        <v>192.95</v>
      </c>
      <c r="K23" s="2">
        <v>0.05</v>
      </c>
      <c r="L23" s="2" t="s">
        <v>260</v>
      </c>
      <c r="M23" s="2" t="s">
        <v>86</v>
      </c>
      <c r="N23" s="2" t="s">
        <v>71</v>
      </c>
      <c r="O23" s="2"/>
      <c r="P23" s="2" t="str">
        <f t="shared" si="0"/>
        <v>Maria Ahmed</v>
      </c>
      <c r="Q23" s="2" t="str">
        <f>IF(OR(PROPER(TRIM(tblOrders[[#This Row],[Region]]))="Nort",PROPER(TRIM(tblOrders[[#This Row],[Region]]))="Northh"),"North",PROPER(TRIM(tblOrders[[#This Row],[Region]])))</f>
        <v>East</v>
      </c>
      <c r="R23" s="2" t="str">
        <f t="shared" si="1"/>
        <v>Clothing</v>
      </c>
      <c r="S23" s="2" t="str">
        <f t="shared" si="2"/>
        <v>Online</v>
      </c>
      <c r="T23" s="2" t="str">
        <f t="shared" si="3"/>
        <v>Credit Card</v>
      </c>
      <c r="U23" s="2" t="str">
        <f t="shared" si="4"/>
        <v>Completed</v>
      </c>
      <c r="V23" s="2">
        <f t="shared" si="5"/>
        <v>10</v>
      </c>
      <c r="W23" s="2">
        <f t="shared" si="6"/>
        <v>192.95</v>
      </c>
      <c r="X2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45657</v>
      </c>
      <c r="Y23" s="2">
        <f t="shared" si="7"/>
        <v>0.05</v>
      </c>
      <c r="Z23" s="2" t="str">
        <f>TRIM(CLEAN(tblOrders[[#This Row],[Notes]]))</f>
        <v/>
      </c>
      <c r="AA23" s="2" t="str">
        <f t="shared" si="8"/>
        <v>High Value</v>
      </c>
      <c r="AB23" s="2">
        <f>IF(OR(tblOrders[[#This Row],[Quantity_Clean]]="",tblOrders[[#This Row],[UnitPrice_Clean]]=""),0,tblOrders[[#This Row],[Quantity_Clean]]*tblOrders[[#This Row],[UnitPrice_Clean]])</f>
        <v>1929.5</v>
      </c>
      <c r="AC23" s="2" t="str">
        <f>UPPER(TRIM(tblOrders[[#This Row],[OrderID]]))</f>
        <v>ORD-1096</v>
      </c>
      <c r="AD23" s="2">
        <f>VALUE(RIGHT(tblOrders[[#This Row],[OrderID]],4))</f>
        <v>1096</v>
      </c>
      <c r="AE23" s="2" t="str">
        <f>TEXT(tblOrders[[#This Row],[OrderDate_Clean]],"mmm-yyyy")</f>
        <v>Dec-2024</v>
      </c>
      <c r="AF23" s="3">
        <f>EOMONTH(tblOrders[[#This Row],[OrderDate_Clean]],0)</f>
        <v>45657</v>
      </c>
      <c r="AG23" s="2" t="s">
        <v>898</v>
      </c>
      <c r="AH23" s="2">
        <f>IF(tblOrders[[#This Row],[Discount]]="",0,IF(ISNUMBER(tblOrders[[#This Row],[Discount]]),tblOrders[[#This Row],[Discount]],VALUE(SUBSTITUTE(TRIM(tblOrders[[#This Row],[Discount]]),"%",""))/100))</f>
        <v>0.05</v>
      </c>
    </row>
    <row r="24" spans="1:34" x14ac:dyDescent="0.25">
      <c r="A24" s="2" t="s">
        <v>643</v>
      </c>
      <c r="B24" s="2" t="s">
        <v>283</v>
      </c>
      <c r="C24" s="2" t="s">
        <v>644</v>
      </c>
      <c r="D24" s="2" t="s">
        <v>152</v>
      </c>
      <c r="E24" s="2" t="s">
        <v>19</v>
      </c>
      <c r="F24" s="2" t="s">
        <v>130</v>
      </c>
      <c r="G24" s="2" t="s">
        <v>119</v>
      </c>
      <c r="H24" s="2" t="s">
        <v>195</v>
      </c>
      <c r="I24" s="2">
        <v>8</v>
      </c>
      <c r="J24" s="2">
        <v>103.61</v>
      </c>
      <c r="K24" s="2">
        <v>0.05</v>
      </c>
      <c r="L24" s="2" t="s">
        <v>69</v>
      </c>
      <c r="M24" s="2" t="s">
        <v>110</v>
      </c>
      <c r="N24" s="2" t="s">
        <v>71</v>
      </c>
      <c r="O24" s="2" t="s">
        <v>171</v>
      </c>
      <c r="P24" s="2" t="str">
        <f t="shared" si="0"/>
        <v>Hina Smith</v>
      </c>
      <c r="Q24" s="2" t="str">
        <f>IF(OR(PROPER(TRIM(tblOrders[[#This Row],[Region]]))="Nort",PROPER(TRIM(tblOrders[[#This Row],[Region]]))="Northh"),"North",PROPER(TRIM(tblOrders[[#This Row],[Region]])))</f>
        <v>East</v>
      </c>
      <c r="R24" s="2" t="str">
        <f t="shared" si="1"/>
        <v>Clothing</v>
      </c>
      <c r="S24" s="2" t="str">
        <f t="shared" si="2"/>
        <v>In-Store</v>
      </c>
      <c r="T24" s="2" t="str">
        <f t="shared" si="3"/>
        <v>Debit Card</v>
      </c>
      <c r="U24" s="2" t="str">
        <f t="shared" si="4"/>
        <v>Pending</v>
      </c>
      <c r="V24" s="2">
        <f t="shared" si="5"/>
        <v>8</v>
      </c>
      <c r="W24" s="2">
        <f t="shared" si="6"/>
        <v>103.61</v>
      </c>
      <c r="X2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45586</v>
      </c>
      <c r="Y24" s="2">
        <f t="shared" si="7"/>
        <v>0.05</v>
      </c>
      <c r="Z24" s="2" t="str">
        <f>TRIM(CLEAN(tblOrders[[#This Row],[Notes]]))</f>
        <v>Leave at front desk</v>
      </c>
      <c r="AA24" s="2" t="str">
        <f t="shared" si="8"/>
        <v>Standard</v>
      </c>
      <c r="AB24" s="2">
        <f>IF(OR(tblOrders[[#This Row],[Quantity_Clean]]="",tblOrders[[#This Row],[UnitPrice_Clean]]=""),0,tblOrders[[#This Row],[Quantity_Clean]]*tblOrders[[#This Row],[UnitPrice_Clean]])</f>
        <v>828.88</v>
      </c>
      <c r="AC24" s="2" t="str">
        <f>UPPER(TRIM(tblOrders[[#This Row],[OrderID]]))</f>
        <v>ORD-1049</v>
      </c>
      <c r="AD24" s="2">
        <f>VALUE(RIGHT(tblOrders[[#This Row],[OrderID]],4))</f>
        <v>1049</v>
      </c>
      <c r="AE24" s="2" t="str">
        <f>TEXT(tblOrders[[#This Row],[OrderDate_Clean]],"mmm-yyyy")</f>
        <v>Oct-2024</v>
      </c>
      <c r="AF24" s="3">
        <f>EOMONTH(tblOrders[[#This Row],[OrderDate_Clean]],0)</f>
        <v>45596</v>
      </c>
      <c r="AG24" s="2" t="s">
        <v>899</v>
      </c>
      <c r="AH24" s="2">
        <f>IF(tblOrders[[#This Row],[Discount]]="",0,IF(ISNUMBER(tblOrders[[#This Row],[Discount]]),tblOrders[[#This Row],[Discount]],VALUE(SUBSTITUTE(TRIM(tblOrders[[#This Row],[Discount]]),"%",""))/100))</f>
        <v>0.05</v>
      </c>
    </row>
    <row r="25" spans="1:34" x14ac:dyDescent="0.25">
      <c r="A25" s="2" t="s">
        <v>648</v>
      </c>
      <c r="B25" s="2" t="s">
        <v>649</v>
      </c>
      <c r="C25" s="2" t="s">
        <v>650</v>
      </c>
      <c r="D25" s="2" t="s">
        <v>258</v>
      </c>
      <c r="E25" s="2" t="s">
        <v>125</v>
      </c>
      <c r="F25" s="2" t="s">
        <v>130</v>
      </c>
      <c r="G25" s="2" t="s">
        <v>119</v>
      </c>
      <c r="H25" s="2" t="s">
        <v>195</v>
      </c>
      <c r="I25" s="2" t="s">
        <v>360</v>
      </c>
      <c r="J25" s="2">
        <v>69.91</v>
      </c>
      <c r="K25" s="2"/>
      <c r="L25" s="2" t="s">
        <v>180</v>
      </c>
      <c r="M25" s="2" t="s">
        <v>70</v>
      </c>
      <c r="N25" s="2" t="s">
        <v>71</v>
      </c>
      <c r="O25" s="2" t="s">
        <v>51</v>
      </c>
      <c r="P25" s="2" t="str">
        <f t="shared" si="0"/>
        <v>Zara Taylor</v>
      </c>
      <c r="Q25" s="2" t="str">
        <f>IF(OR(PROPER(TRIM(tblOrders[[#This Row],[Region]]))="Nort",PROPER(TRIM(tblOrders[[#This Row],[Region]]))="Northh"),"North",PROPER(TRIM(tblOrders[[#This Row],[Region]])))</f>
        <v>South</v>
      </c>
      <c r="R25" s="2" t="str">
        <f t="shared" si="1"/>
        <v>Clothing</v>
      </c>
      <c r="S25" s="2" t="str">
        <f t="shared" si="2"/>
        <v>In-Store</v>
      </c>
      <c r="T25" s="2" t="str">
        <f t="shared" si="3"/>
        <v>Credit Card</v>
      </c>
      <c r="U25" s="2" t="str">
        <f t="shared" si="4"/>
        <v>Refunded</v>
      </c>
      <c r="V25" s="2">
        <f t="shared" si="5"/>
        <v>8</v>
      </c>
      <c r="W25" s="2">
        <f t="shared" si="6"/>
        <v>69.91</v>
      </c>
      <c r="X2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45412</v>
      </c>
      <c r="Y25" s="2">
        <f t="shared" si="7"/>
        <v>0</v>
      </c>
      <c r="Z25" s="2" t="str">
        <f>TRIM(CLEAN(tblOrders[[#This Row],[Notes]]))</f>
        <v/>
      </c>
      <c r="AA25" s="2" t="str">
        <f t="shared" si="8"/>
        <v>Standard</v>
      </c>
      <c r="AB25" s="2">
        <f>IF(OR(tblOrders[[#This Row],[Quantity_Clean]]="",tblOrders[[#This Row],[UnitPrice_Clean]]=""),0,tblOrders[[#This Row],[Quantity_Clean]]*tblOrders[[#This Row],[UnitPrice_Clean]])</f>
        <v>559.28</v>
      </c>
      <c r="AC25" s="2" t="str">
        <f>UPPER(TRIM(tblOrders[[#This Row],[OrderID]]))</f>
        <v>ORD-1226</v>
      </c>
      <c r="AD25" s="2">
        <f>VALUE(RIGHT(tblOrders[[#This Row],[OrderID]],4))</f>
        <v>1226</v>
      </c>
      <c r="AE25" s="2" t="str">
        <f>TEXT(tblOrders[[#This Row],[OrderDate_Clean]],"mmm-yyyy")</f>
        <v>Apr-2024</v>
      </c>
      <c r="AF25" s="3">
        <f>EOMONTH(tblOrders[[#This Row],[OrderDate_Clean]],0)</f>
        <v>45412</v>
      </c>
      <c r="AG25" s="2" t="s">
        <v>900</v>
      </c>
      <c r="AH25" s="2">
        <f>IF(tblOrders[[#This Row],[Discount]]="",0,IF(ISNUMBER(tblOrders[[#This Row],[Discount]]),tblOrders[[#This Row],[Discount]],VALUE(SUBSTITUTE(TRIM(tblOrders[[#This Row],[Discount]]),"%",""))/100))</f>
        <v>0</v>
      </c>
    </row>
    <row r="26" spans="1:34" x14ac:dyDescent="0.25">
      <c r="A26" s="2" t="s">
        <v>830</v>
      </c>
      <c r="B26" s="2" t="s">
        <v>831</v>
      </c>
      <c r="C26" s="2" t="s">
        <v>832</v>
      </c>
      <c r="D26" s="2" t="s">
        <v>97</v>
      </c>
      <c r="E26" s="2" t="s">
        <v>98</v>
      </c>
      <c r="F26" s="2" t="s">
        <v>130</v>
      </c>
      <c r="G26" s="2" t="s">
        <v>21</v>
      </c>
      <c r="H26" s="2" t="s">
        <v>22</v>
      </c>
      <c r="I26" s="2" t="s">
        <v>782</v>
      </c>
      <c r="J26" s="2">
        <v>47.26</v>
      </c>
      <c r="K26" s="2">
        <v>0.1</v>
      </c>
      <c r="L26" s="2" t="s">
        <v>237</v>
      </c>
      <c r="M26" s="2" t="s">
        <v>208</v>
      </c>
      <c r="N26" s="2" t="s">
        <v>26</v>
      </c>
      <c r="O26" s="2" t="s">
        <v>93</v>
      </c>
      <c r="P26" s="2" t="str">
        <f t="shared" si="0"/>
        <v>Robert Lee</v>
      </c>
      <c r="Q26" s="2" t="str">
        <f>IF(OR(PROPER(TRIM(tblOrders[[#This Row],[Region]]))="Nort",PROPER(TRIM(tblOrders[[#This Row],[Region]]))="Northh"),"North",PROPER(TRIM(tblOrders[[#This Row],[Region]])))</f>
        <v>West</v>
      </c>
      <c r="R26" s="2" t="str">
        <f t="shared" si="1"/>
        <v>Clothing</v>
      </c>
      <c r="S26" s="2" t="str">
        <f t="shared" si="2"/>
        <v>In-Store</v>
      </c>
      <c r="T26" s="2" t="str">
        <f t="shared" si="3"/>
        <v>Bank Transfer</v>
      </c>
      <c r="U26" s="2" t="str">
        <f t="shared" si="4"/>
        <v>Completed</v>
      </c>
      <c r="V26" s="2">
        <f t="shared" si="5"/>
        <v>2</v>
      </c>
      <c r="W26" s="2">
        <f t="shared" si="6"/>
        <v>47.26</v>
      </c>
      <c r="X2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45322</v>
      </c>
      <c r="Y26" s="2">
        <f t="shared" si="7"/>
        <v>0.1</v>
      </c>
      <c r="Z26" s="2" t="str">
        <f>TRIM(CLEAN(tblOrders[[#This Row],[Notes]]))</f>
        <v>Bulk order - business account</v>
      </c>
      <c r="AA26" s="2" t="str">
        <f t="shared" si="8"/>
        <v>Standard</v>
      </c>
      <c r="AB26" s="2">
        <f>IF(OR(tblOrders[[#This Row],[Quantity_Clean]]="",tblOrders[[#This Row],[UnitPrice_Clean]]=""),0,tblOrders[[#This Row],[Quantity_Clean]]*tblOrders[[#This Row],[UnitPrice_Clean]])</f>
        <v>94.52</v>
      </c>
      <c r="AC26" s="2" t="str">
        <f>UPPER(TRIM(tblOrders[[#This Row],[OrderID]]))</f>
        <v>ORD-1059</v>
      </c>
      <c r="AD26" s="2">
        <f>VALUE(RIGHT(tblOrders[[#This Row],[OrderID]],4))</f>
        <v>1059</v>
      </c>
      <c r="AE26" s="2" t="str">
        <f>TEXT(tblOrders[[#This Row],[OrderDate_Clean]],"mmm-yyyy")</f>
        <v>Jan-2024</v>
      </c>
      <c r="AF26" s="3">
        <f>EOMONTH(tblOrders[[#This Row],[OrderDate_Clean]],0)</f>
        <v>45322</v>
      </c>
      <c r="AG26" s="2" t="s">
        <v>901</v>
      </c>
      <c r="AH26" s="2">
        <f>IF(tblOrders[[#This Row],[Discount]]="",0,IF(ISNUMBER(tblOrders[[#This Row],[Discount]]),tblOrders[[#This Row],[Discount]],VALUE(SUBSTITUTE(TRIM(tblOrders[[#This Row],[Discount]]),"%",""))/100))</f>
        <v>0.1</v>
      </c>
    </row>
    <row r="27" spans="1:34" x14ac:dyDescent="0.25">
      <c r="A27" s="2" t="s">
        <v>191</v>
      </c>
      <c r="B27" s="2" t="s">
        <v>192</v>
      </c>
      <c r="C27" s="2" t="s">
        <v>193</v>
      </c>
      <c r="D27" s="2" t="s">
        <v>194</v>
      </c>
      <c r="E27" s="2" t="s">
        <v>98</v>
      </c>
      <c r="F27" s="2" t="s">
        <v>130</v>
      </c>
      <c r="G27" s="2" t="s">
        <v>21</v>
      </c>
      <c r="H27" s="2" t="s">
        <v>195</v>
      </c>
      <c r="I27" s="2">
        <v>12</v>
      </c>
      <c r="J27" s="2"/>
      <c r="K27" s="2"/>
      <c r="L27" s="2" t="s">
        <v>79</v>
      </c>
      <c r="M27" s="2" t="s">
        <v>144</v>
      </c>
      <c r="N27" s="2" t="s">
        <v>111</v>
      </c>
      <c r="O27" s="2" t="s">
        <v>40</v>
      </c>
      <c r="P27" s="2" t="str">
        <f t="shared" si="0"/>
        <v>Fatima Iqbal</v>
      </c>
      <c r="Q27" s="2" t="str">
        <f>IF(OR(PROPER(TRIM(tblOrders[[#This Row],[Region]]))="Nort",PROPER(TRIM(tblOrders[[#This Row],[Region]]))="Northh"),"North",PROPER(TRIM(tblOrders[[#This Row],[Region]])))</f>
        <v>West</v>
      </c>
      <c r="R27" s="2" t="str">
        <f t="shared" si="1"/>
        <v>Clothing</v>
      </c>
      <c r="S27" s="2" t="str">
        <f t="shared" si="2"/>
        <v>In-Store</v>
      </c>
      <c r="T27" s="2" t="str">
        <f t="shared" si="3"/>
        <v>Cash</v>
      </c>
      <c r="U27" s="2" t="str">
        <f t="shared" si="4"/>
        <v>Refunded</v>
      </c>
      <c r="V27" s="2">
        <f t="shared" si="5"/>
        <v>12</v>
      </c>
      <c r="W27" s="2" t="str">
        <f t="shared" si="6"/>
        <v/>
      </c>
      <c r="X2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45405</v>
      </c>
      <c r="Y27" s="2">
        <f t="shared" si="7"/>
        <v>0</v>
      </c>
      <c r="Z27" s="2" t="str">
        <f>TRIM(CLEAN(tblOrders[[#This Row],[Notes]]))</f>
        <v>VIP customer</v>
      </c>
      <c r="AA27" s="2" t="str">
        <f t="shared" si="8"/>
        <v>Review</v>
      </c>
      <c r="AB27" s="2">
        <f>IF(OR(tblOrders[[#This Row],[Quantity_Clean]]="",tblOrders[[#This Row],[UnitPrice_Clean]]=""),0,tblOrders[[#This Row],[Quantity_Clean]]*tblOrders[[#This Row],[UnitPrice_Clean]])</f>
        <v>0</v>
      </c>
      <c r="AC27" s="2" t="str">
        <f>UPPER(TRIM(tblOrders[[#This Row],[OrderID]]))</f>
        <v>ORD-1171</v>
      </c>
      <c r="AD27" s="2">
        <f>VALUE(RIGHT(tblOrders[[#This Row],[OrderID]],4))</f>
        <v>1171</v>
      </c>
      <c r="AE27" s="2" t="str">
        <f>TEXT(tblOrders[[#This Row],[OrderDate_Clean]],"mmm-yyyy")</f>
        <v>Apr-2024</v>
      </c>
      <c r="AF27" s="3">
        <f>EOMONTH(tblOrders[[#This Row],[OrderDate_Clean]],0)</f>
        <v>45412</v>
      </c>
      <c r="AG27" s="2" t="s">
        <v>902</v>
      </c>
      <c r="AH27" s="2">
        <f>IF(tblOrders[[#This Row],[Discount]]="",0,IF(ISNUMBER(tblOrders[[#This Row],[Discount]]),tblOrders[[#This Row],[Discount]],VALUE(SUBSTITUTE(TRIM(tblOrders[[#This Row],[Discount]]),"%",""))/100))</f>
        <v>0</v>
      </c>
    </row>
    <row r="28" spans="1:34" x14ac:dyDescent="0.25">
      <c r="A28" s="2" t="s">
        <v>127</v>
      </c>
      <c r="B28" s="2" t="s">
        <v>128</v>
      </c>
      <c r="C28" s="2" t="s">
        <v>129</v>
      </c>
      <c r="D28" s="2" t="s">
        <v>97</v>
      </c>
      <c r="E28" s="2" t="s">
        <v>98</v>
      </c>
      <c r="F28" s="2" t="s">
        <v>130</v>
      </c>
      <c r="G28" s="2" t="s">
        <v>131</v>
      </c>
      <c r="H28" s="2" t="s">
        <v>48</v>
      </c>
      <c r="I28" s="2">
        <v>9</v>
      </c>
      <c r="J28" s="2"/>
      <c r="K28" s="2"/>
      <c r="L28" s="2" t="s">
        <v>132</v>
      </c>
      <c r="M28" s="2" t="s">
        <v>110</v>
      </c>
      <c r="N28" s="2" t="s">
        <v>111</v>
      </c>
      <c r="O28" s="2" t="s">
        <v>93</v>
      </c>
      <c r="P28" s="2" t="str">
        <f t="shared" si="0"/>
        <v>Sarah Garcia</v>
      </c>
      <c r="Q28" s="2" t="str">
        <f>IF(OR(PROPER(TRIM(tblOrders[[#This Row],[Region]]))="Nort",PROPER(TRIM(tblOrders[[#This Row],[Region]]))="Northh"),"North",PROPER(TRIM(tblOrders[[#This Row],[Region]])))</f>
        <v>West</v>
      </c>
      <c r="R28" s="2" t="str">
        <f t="shared" si="1"/>
        <v>Clothing</v>
      </c>
      <c r="S28" s="2" t="str">
        <f t="shared" si="2"/>
        <v>In-Store</v>
      </c>
      <c r="T28" s="2" t="str">
        <f t="shared" si="3"/>
        <v>Cash</v>
      </c>
      <c r="U28" s="2" t="str">
        <f t="shared" si="4"/>
        <v>Pending</v>
      </c>
      <c r="V28" s="2">
        <f t="shared" si="5"/>
        <v>9</v>
      </c>
      <c r="W28" s="2" t="str">
        <f t="shared" si="6"/>
        <v/>
      </c>
      <c r="X2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45587</v>
      </c>
      <c r="Y28" s="2">
        <f t="shared" si="7"/>
        <v>0</v>
      </c>
      <c r="Z28" s="2" t="str">
        <f>TRIM(CLEAN(tblOrders[[#This Row],[Notes]]))</f>
        <v>Bulk order - business account</v>
      </c>
      <c r="AA28" s="2" t="str">
        <f t="shared" si="8"/>
        <v>Review</v>
      </c>
      <c r="AB28" s="2">
        <f>IF(OR(tblOrders[[#This Row],[Quantity_Clean]]="",tblOrders[[#This Row],[UnitPrice_Clean]]=""),0,tblOrders[[#This Row],[Quantity_Clean]]*tblOrders[[#This Row],[UnitPrice_Clean]])</f>
        <v>0</v>
      </c>
      <c r="AC28" s="2" t="str">
        <f>UPPER(TRIM(tblOrders[[#This Row],[OrderID]]))</f>
        <v>ORD-1228</v>
      </c>
      <c r="AD28" s="2">
        <f>VALUE(RIGHT(tblOrders[[#This Row],[OrderID]],4))</f>
        <v>1228</v>
      </c>
      <c r="AE28" s="2" t="str">
        <f>TEXT(tblOrders[[#This Row],[OrderDate_Clean]],"mmm-yyyy")</f>
        <v>Oct-2024</v>
      </c>
      <c r="AF28" s="3">
        <f>EOMONTH(tblOrders[[#This Row],[OrderDate_Clean]],0)</f>
        <v>45596</v>
      </c>
      <c r="AG28" s="2" t="s">
        <v>903</v>
      </c>
      <c r="AH28" s="2">
        <f>IF(tblOrders[[#This Row],[Discount]]="",0,IF(ISNUMBER(tblOrders[[#This Row],[Discount]]),tblOrders[[#This Row],[Discount]],VALUE(SUBSTITUTE(TRIM(tblOrders[[#This Row],[Discount]]),"%",""))/100))</f>
        <v>0</v>
      </c>
    </row>
    <row r="29" spans="1:34" x14ac:dyDescent="0.25">
      <c r="A29" s="2" t="s">
        <v>296</v>
      </c>
      <c r="B29" s="2" t="s">
        <v>297</v>
      </c>
      <c r="C29" s="2" t="s">
        <v>216</v>
      </c>
      <c r="D29" s="2" t="s">
        <v>124</v>
      </c>
      <c r="E29" s="2" t="s">
        <v>45</v>
      </c>
      <c r="F29" s="2" t="s">
        <v>298</v>
      </c>
      <c r="G29" s="2" t="s">
        <v>213</v>
      </c>
      <c r="H29" s="2" t="s">
        <v>58</v>
      </c>
      <c r="I29" s="2">
        <v>10</v>
      </c>
      <c r="J29" s="2" t="s">
        <v>299</v>
      </c>
      <c r="K29" s="2">
        <v>0.1</v>
      </c>
      <c r="L29" s="2" t="s">
        <v>180</v>
      </c>
      <c r="M29" s="2" t="s">
        <v>170</v>
      </c>
      <c r="N29" s="2"/>
      <c r="O29" s="2" t="s">
        <v>27</v>
      </c>
      <c r="P29" s="2" t="str">
        <f t="shared" si="0"/>
        <v>Robert Qureshi</v>
      </c>
      <c r="Q29" s="2" t="str">
        <f>IF(OR(PROPER(TRIM(tblOrders[[#This Row],[Region]]))="Nort",PROPER(TRIM(tblOrders[[#This Row],[Region]]))="Northh"),"North",PROPER(TRIM(tblOrders[[#This Row],[Region]])))</f>
        <v>South</v>
      </c>
      <c r="R29" s="2" t="str">
        <f t="shared" si="1"/>
        <v>Clothing</v>
      </c>
      <c r="S29" s="2" t="str">
        <f t="shared" si="2"/>
        <v>Online</v>
      </c>
      <c r="T29" s="2" t="str">
        <f t="shared" si="3"/>
        <v>Credit Card</v>
      </c>
      <c r="U29" s="2" t="str">
        <f t="shared" si="4"/>
        <v>Cancelled</v>
      </c>
      <c r="V29" s="2">
        <f t="shared" si="5"/>
        <v>10</v>
      </c>
      <c r="W29" s="2">
        <f t="shared" si="6"/>
        <v>75.12</v>
      </c>
      <c r="X2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45424</v>
      </c>
      <c r="Y29" s="2">
        <f t="shared" si="7"/>
        <v>0.1</v>
      </c>
      <c r="Z29" s="2" t="str">
        <f>TRIM(CLEAN(tblOrders[[#This Row],[Notes]]))</f>
        <v>Customer called twice</v>
      </c>
      <c r="AA29" s="2" t="str">
        <f t="shared" si="8"/>
        <v>Standard</v>
      </c>
      <c r="AB29" s="2">
        <f>IF(OR(tblOrders[[#This Row],[Quantity_Clean]]="",tblOrders[[#This Row],[UnitPrice_Clean]]=""),0,tblOrders[[#This Row],[Quantity_Clean]]*tblOrders[[#This Row],[UnitPrice_Clean]])</f>
        <v>751.2</v>
      </c>
      <c r="AC29" s="2" t="str">
        <f>UPPER(TRIM(tblOrders[[#This Row],[OrderID]]))</f>
        <v>ORD-1157</v>
      </c>
      <c r="AD29" s="2">
        <f>VALUE(RIGHT(tblOrders[[#This Row],[OrderID]],4))</f>
        <v>1157</v>
      </c>
      <c r="AE29" s="2" t="str">
        <f>TEXT(tblOrders[[#This Row],[OrderDate_Clean]],"mmm-yyyy")</f>
        <v>May-2024</v>
      </c>
      <c r="AF29" s="3">
        <f>EOMONTH(tblOrders[[#This Row],[OrderDate_Clean]],0)</f>
        <v>45443</v>
      </c>
      <c r="AG29" s="2" t="s">
        <v>888</v>
      </c>
      <c r="AH29" s="2">
        <f>IF(tblOrders[[#This Row],[Discount]]="",0,IF(ISNUMBER(tblOrders[[#This Row],[Discount]]),tblOrders[[#This Row],[Discount]],VALUE(SUBSTITUTE(TRIM(tblOrders[[#This Row],[Discount]]),"%",""))/100))</f>
        <v>0.1</v>
      </c>
    </row>
    <row r="30" spans="1:34" x14ac:dyDescent="0.25">
      <c r="A30" s="2" t="s">
        <v>411</v>
      </c>
      <c r="B30" s="2" t="s">
        <v>412</v>
      </c>
      <c r="C30" s="2" t="s">
        <v>413</v>
      </c>
      <c r="D30" s="2" t="s">
        <v>124</v>
      </c>
      <c r="E30" s="2" t="s">
        <v>125</v>
      </c>
      <c r="F30" s="2" t="s">
        <v>20</v>
      </c>
      <c r="G30" s="2" t="s">
        <v>131</v>
      </c>
      <c r="H30" s="2" t="s">
        <v>48</v>
      </c>
      <c r="I30" s="2">
        <v>8</v>
      </c>
      <c r="J30" s="2" t="s">
        <v>414</v>
      </c>
      <c r="K30" s="2" t="s">
        <v>85</v>
      </c>
      <c r="L30" s="2" t="s">
        <v>143</v>
      </c>
      <c r="M30" s="2" t="s">
        <v>86</v>
      </c>
      <c r="N30" s="2" t="s">
        <v>71</v>
      </c>
      <c r="O30" s="2" t="s">
        <v>112</v>
      </c>
      <c r="P30" s="2" t="str">
        <f t="shared" si="0"/>
        <v>James Ali</v>
      </c>
      <c r="Q30" s="2" t="str">
        <f>IF(OR(PROPER(TRIM(tblOrders[[#This Row],[Region]]))="Nort",PROPER(TRIM(tblOrders[[#This Row],[Region]]))="Northh"),"North",PROPER(TRIM(tblOrders[[#This Row],[Region]])))</f>
        <v>South</v>
      </c>
      <c r="R30" s="2" t="str">
        <f t="shared" si="1"/>
        <v>Clothing</v>
      </c>
      <c r="S30" s="2" t="str">
        <f t="shared" si="2"/>
        <v>In-Store</v>
      </c>
      <c r="T30" s="2" t="str">
        <f t="shared" si="3"/>
        <v>Credit Card</v>
      </c>
      <c r="U30" s="2" t="str">
        <f t="shared" si="4"/>
        <v>Completed</v>
      </c>
      <c r="V30" s="2">
        <f t="shared" si="5"/>
        <v>8</v>
      </c>
      <c r="W30" s="2">
        <f t="shared" si="6"/>
        <v>454.54</v>
      </c>
      <c r="X3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45358</v>
      </c>
      <c r="Y30" s="2" t="str">
        <f t="shared" si="7"/>
        <v>10%</v>
      </c>
      <c r="Z30" s="2" t="str">
        <f>TRIM(CLEAN(tblOrders[[#This Row],[Notes]]))</f>
        <v>Follow up needed</v>
      </c>
      <c r="AA30" s="2" t="str">
        <f t="shared" si="8"/>
        <v>High Value</v>
      </c>
      <c r="AB30" s="2">
        <f>IF(OR(tblOrders[[#This Row],[Quantity_Clean]]="",tblOrders[[#This Row],[UnitPrice_Clean]]=""),0,tblOrders[[#This Row],[Quantity_Clean]]*tblOrders[[#This Row],[UnitPrice_Clean]])</f>
        <v>3636.32</v>
      </c>
      <c r="AC30" s="2" t="str">
        <f>UPPER(TRIM(tblOrders[[#This Row],[OrderID]]))</f>
        <v>ORD-1016</v>
      </c>
      <c r="AD30" s="2">
        <f>VALUE(RIGHT(tblOrders[[#This Row],[OrderID]],4))</f>
        <v>1016</v>
      </c>
      <c r="AE30" s="2" t="str">
        <f>TEXT(tblOrders[[#This Row],[OrderDate_Clean]],"mmm-yyyy")</f>
        <v>Mar-2024</v>
      </c>
      <c r="AF30" s="3">
        <f>EOMONTH(tblOrders[[#This Row],[OrderDate_Clean]],0)</f>
        <v>45382</v>
      </c>
      <c r="AG30" s="2" t="s">
        <v>904</v>
      </c>
      <c r="AH30" s="2">
        <f>IF(tblOrders[[#This Row],[Discount]]="",0,IF(ISNUMBER(tblOrders[[#This Row],[Discount]]),tblOrders[[#This Row],[Discount]],VALUE(SUBSTITUTE(TRIM(tblOrders[[#This Row],[Discount]]),"%",""))/100))</f>
        <v>0.1</v>
      </c>
    </row>
    <row r="31" spans="1:34" x14ac:dyDescent="0.25">
      <c r="A31" s="2" t="s">
        <v>574</v>
      </c>
      <c r="B31" s="2" t="s">
        <v>575</v>
      </c>
      <c r="C31" s="2" t="s">
        <v>576</v>
      </c>
      <c r="D31" s="2" t="s">
        <v>55</v>
      </c>
      <c r="E31" s="2" t="s">
        <v>199</v>
      </c>
      <c r="F31" s="2" t="s">
        <v>20</v>
      </c>
      <c r="G31" s="2" t="s">
        <v>213</v>
      </c>
      <c r="H31" s="2" t="s">
        <v>35</v>
      </c>
      <c r="I31" s="2">
        <v>2</v>
      </c>
      <c r="J31" s="2" t="s">
        <v>577</v>
      </c>
      <c r="K31" s="2"/>
      <c r="L31" s="2" t="s">
        <v>260</v>
      </c>
      <c r="M31" s="2" t="s">
        <v>86</v>
      </c>
      <c r="N31" s="2" t="s">
        <v>39</v>
      </c>
      <c r="O31" s="2" t="s">
        <v>171</v>
      </c>
      <c r="P31" s="2" t="str">
        <f t="shared" si="0"/>
        <v>Liam Farooq</v>
      </c>
      <c r="Q31" s="2" t="str">
        <f>IF(OR(PROPER(TRIM(tblOrders[[#This Row],[Region]]))="Nort",PROPER(TRIM(tblOrders[[#This Row],[Region]]))="Northh"),"North",PROPER(TRIM(tblOrders[[#This Row],[Region]])))</f>
        <v>North</v>
      </c>
      <c r="R31" s="2" t="str">
        <f t="shared" si="1"/>
        <v>Clothing</v>
      </c>
      <c r="S31" s="2" t="str">
        <f t="shared" si="2"/>
        <v>In-Store</v>
      </c>
      <c r="T31" s="2" t="str">
        <f t="shared" si="3"/>
        <v>Credit Card</v>
      </c>
      <c r="U31" s="2" t="str">
        <f t="shared" si="4"/>
        <v>Completed</v>
      </c>
      <c r="V31" s="2">
        <f t="shared" si="5"/>
        <v>2</v>
      </c>
      <c r="W31" s="2">
        <f t="shared" si="6"/>
        <v>353.43</v>
      </c>
      <c r="X3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45458</v>
      </c>
      <c r="Y31" s="2">
        <f t="shared" si="7"/>
        <v>0</v>
      </c>
      <c r="Z31" s="2" t="str">
        <f>TRIM(CLEAN(tblOrders[[#This Row],[Notes]]))</f>
        <v>Leave at front desk</v>
      </c>
      <c r="AA31" s="2" t="str">
        <f t="shared" si="8"/>
        <v>Standard</v>
      </c>
      <c r="AB31" s="2">
        <f>IF(OR(tblOrders[[#This Row],[Quantity_Clean]]="",tblOrders[[#This Row],[UnitPrice_Clean]]=""),0,tblOrders[[#This Row],[Quantity_Clean]]*tblOrders[[#This Row],[UnitPrice_Clean]])</f>
        <v>706.86</v>
      </c>
      <c r="AC31" s="2" t="str">
        <f>UPPER(TRIM(tblOrders[[#This Row],[OrderID]]))</f>
        <v>ORD-1047</v>
      </c>
      <c r="AD31" s="2">
        <f>VALUE(RIGHT(tblOrders[[#This Row],[OrderID]],4))</f>
        <v>1047</v>
      </c>
      <c r="AE31" s="2" t="str">
        <f>TEXT(tblOrders[[#This Row],[OrderDate_Clean]],"mmm-yyyy")</f>
        <v>Jun-2024</v>
      </c>
      <c r="AF31" s="3">
        <f>EOMONTH(tblOrders[[#This Row],[OrderDate_Clean]],0)</f>
        <v>45473</v>
      </c>
      <c r="AG31" s="2" t="s">
        <v>885</v>
      </c>
      <c r="AH31" s="2">
        <f>IF(tblOrders[[#This Row],[Discount]]="",0,IF(ISNUMBER(tblOrders[[#This Row],[Discount]]),tblOrders[[#This Row],[Discount]],VALUE(SUBSTITUTE(TRIM(tblOrders[[#This Row],[Discount]]),"%",""))/100))</f>
        <v>0</v>
      </c>
    </row>
    <row r="32" spans="1:34" x14ac:dyDescent="0.25">
      <c r="A32" s="2" t="s">
        <v>113</v>
      </c>
      <c r="B32" s="2" t="s">
        <v>114</v>
      </c>
      <c r="C32" s="2" t="s">
        <v>115</v>
      </c>
      <c r="D32" s="2" t="s">
        <v>116</v>
      </c>
      <c r="E32" s="2" t="s">
        <v>117</v>
      </c>
      <c r="F32" s="2" t="s">
        <v>118</v>
      </c>
      <c r="G32" s="2" t="s">
        <v>119</v>
      </c>
      <c r="H32" s="2" t="s">
        <v>58</v>
      </c>
      <c r="I32" s="2">
        <v>3</v>
      </c>
      <c r="J32" s="2" t="s">
        <v>120</v>
      </c>
      <c r="K32" s="2"/>
      <c r="L32" s="2" t="s">
        <v>37</v>
      </c>
      <c r="M32" s="2" t="s">
        <v>70</v>
      </c>
      <c r="N32" s="2"/>
      <c r="O32" s="2" t="s">
        <v>112</v>
      </c>
      <c r="P32" s="2" t="str">
        <f t="shared" si="0"/>
        <v>Robert Raza</v>
      </c>
      <c r="Q32" s="2" t="str">
        <f>IF(OR(PROPER(TRIM(tblOrders[[#This Row],[Region]]))="Nort",PROPER(TRIM(tblOrders[[#This Row],[Region]]))="Northh"),"North",PROPER(TRIM(tblOrders[[#This Row],[Region]])))</f>
        <v>East</v>
      </c>
      <c r="R32" s="2" t="str">
        <f t="shared" si="1"/>
        <v>Clothing</v>
      </c>
      <c r="S32" s="2" t="str">
        <f t="shared" si="2"/>
        <v>Online</v>
      </c>
      <c r="T32" s="2" t="str">
        <f t="shared" si="3"/>
        <v>Bank Transfer</v>
      </c>
      <c r="U32" s="2" t="str">
        <f t="shared" si="4"/>
        <v>Refunded</v>
      </c>
      <c r="V32" s="2">
        <f t="shared" si="5"/>
        <v>3</v>
      </c>
      <c r="W32" s="2">
        <f t="shared" si="6"/>
        <v>66.89</v>
      </c>
      <c r="X3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45332</v>
      </c>
      <c r="Y32" s="2">
        <f t="shared" si="7"/>
        <v>0</v>
      </c>
      <c r="Z32" s="2" t="str">
        <f>TRIM(CLEAN(tblOrders[[#This Row],[Notes]]))</f>
        <v>Follow up needed</v>
      </c>
      <c r="AA32" s="2" t="str">
        <f t="shared" si="8"/>
        <v>Standard</v>
      </c>
      <c r="AB32" s="2">
        <f>IF(OR(tblOrders[[#This Row],[Quantity_Clean]]="",tblOrders[[#This Row],[UnitPrice_Clean]]=""),0,tblOrders[[#This Row],[Quantity_Clean]]*tblOrders[[#This Row],[UnitPrice_Clean]])</f>
        <v>200.67000000000002</v>
      </c>
      <c r="AC32" s="2" t="str">
        <f>UPPER(TRIM(tblOrders[[#This Row],[OrderID]]))</f>
        <v>ORD-1230</v>
      </c>
      <c r="AD32" s="2">
        <f>VALUE(RIGHT(tblOrders[[#This Row],[OrderID]],4))</f>
        <v>1230</v>
      </c>
      <c r="AE32" s="2" t="str">
        <f>TEXT(tblOrders[[#This Row],[OrderDate_Clean]],"mmm-yyyy")</f>
        <v>Feb-2024</v>
      </c>
      <c r="AF32" s="3">
        <f>EOMONTH(tblOrders[[#This Row],[OrderDate_Clean]],0)</f>
        <v>45351</v>
      </c>
      <c r="AG32" s="2" t="s">
        <v>888</v>
      </c>
      <c r="AH32" s="2">
        <f>IF(tblOrders[[#This Row],[Discount]]="",0,IF(ISNUMBER(tblOrders[[#This Row],[Discount]]),tblOrders[[#This Row],[Discount]],VALUE(SUBSTITUTE(TRIM(tblOrders[[#This Row],[Discount]]),"%",""))/100))</f>
        <v>0</v>
      </c>
    </row>
    <row r="33" spans="1:34" x14ac:dyDescent="0.25">
      <c r="A33" s="2" t="s">
        <v>475</v>
      </c>
      <c r="B33" s="2" t="s">
        <v>476</v>
      </c>
      <c r="C33" s="2" t="s">
        <v>477</v>
      </c>
      <c r="D33" s="2" t="s">
        <v>285</v>
      </c>
      <c r="E33" s="2" t="s">
        <v>32</v>
      </c>
      <c r="F33" s="2" t="s">
        <v>298</v>
      </c>
      <c r="G33" s="2" t="s">
        <v>264</v>
      </c>
      <c r="H33" s="2" t="s">
        <v>178</v>
      </c>
      <c r="I33" s="2">
        <v>1</v>
      </c>
      <c r="J33" s="2" t="s">
        <v>478</v>
      </c>
      <c r="K33" s="2">
        <v>0.05</v>
      </c>
      <c r="L33" s="2" t="s">
        <v>139</v>
      </c>
      <c r="M33" s="2" t="s">
        <v>201</v>
      </c>
      <c r="N33" s="2" t="s">
        <v>50</v>
      </c>
      <c r="O33" s="2" t="s">
        <v>87</v>
      </c>
      <c r="P33" s="2" t="str">
        <f t="shared" si="0"/>
        <v>Nida Garcia</v>
      </c>
      <c r="Q33" s="2" t="str">
        <f>IF(OR(PROPER(TRIM(tblOrders[[#This Row],[Region]]))="Nort",PROPER(TRIM(tblOrders[[#This Row],[Region]]))="Northh"),"North",PROPER(TRIM(tblOrders[[#This Row],[Region]])))</f>
        <v>North</v>
      </c>
      <c r="R33" s="2" t="str">
        <f t="shared" si="1"/>
        <v>Clothing</v>
      </c>
      <c r="S33" s="2" t="str">
        <f t="shared" si="2"/>
        <v>Online</v>
      </c>
      <c r="T33" s="2" t="str">
        <f t="shared" si="3"/>
        <v>Debit Card</v>
      </c>
      <c r="U33" s="2" t="str">
        <f t="shared" si="4"/>
        <v>Pending</v>
      </c>
      <c r="V33" s="2">
        <f t="shared" si="5"/>
        <v>1</v>
      </c>
      <c r="W33" s="2">
        <f t="shared" si="6"/>
        <v>451.93</v>
      </c>
      <c r="X3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45351</v>
      </c>
      <c r="Y33" s="2">
        <f t="shared" si="7"/>
        <v>0.05</v>
      </c>
      <c r="Z33" s="2" t="str">
        <f>TRIM(CLEAN(tblOrders[[#This Row],[Notes]]))</f>
        <v>Damaged on arrival - replaced</v>
      </c>
      <c r="AA33" s="2" t="str">
        <f t="shared" si="8"/>
        <v>Standard</v>
      </c>
      <c r="AB33" s="2">
        <f>IF(OR(tblOrders[[#This Row],[Quantity_Clean]]="",tblOrders[[#This Row],[UnitPrice_Clean]]=""),0,tblOrders[[#This Row],[Quantity_Clean]]*tblOrders[[#This Row],[UnitPrice_Clean]])</f>
        <v>451.93</v>
      </c>
      <c r="AC33" s="2" t="str">
        <f>UPPER(TRIM(tblOrders[[#This Row],[OrderID]]))</f>
        <v>ORD-1103</v>
      </c>
      <c r="AD33" s="2">
        <f>VALUE(RIGHT(tblOrders[[#This Row],[OrderID]],4))</f>
        <v>1103</v>
      </c>
      <c r="AE33" s="2" t="str">
        <f>TEXT(tblOrders[[#This Row],[OrderDate_Clean]],"mmm-yyyy")</f>
        <v>Feb-2024</v>
      </c>
      <c r="AF33" s="3">
        <f>EOMONTH(tblOrders[[#This Row],[OrderDate_Clean]],0)</f>
        <v>45351</v>
      </c>
      <c r="AG33" s="2" t="s">
        <v>905</v>
      </c>
      <c r="AH33" s="2">
        <f>IF(tblOrders[[#This Row],[Discount]]="",0,IF(ISNUMBER(tblOrders[[#This Row],[Discount]]),tblOrders[[#This Row],[Discount]],VALUE(SUBSTITUTE(TRIM(tblOrders[[#This Row],[Discount]]),"%",""))/100))</f>
        <v>0.05</v>
      </c>
    </row>
    <row r="34" spans="1:34" x14ac:dyDescent="0.25">
      <c r="A34" s="2" t="s">
        <v>248</v>
      </c>
      <c r="B34" s="2" t="s">
        <v>249</v>
      </c>
      <c r="C34" s="2" t="s">
        <v>250</v>
      </c>
      <c r="D34" s="2" t="s">
        <v>18</v>
      </c>
      <c r="E34" s="2" t="s">
        <v>117</v>
      </c>
      <c r="F34" s="2" t="s">
        <v>118</v>
      </c>
      <c r="G34" s="2" t="s">
        <v>213</v>
      </c>
      <c r="H34" s="2" t="s">
        <v>108</v>
      </c>
      <c r="I34" s="2">
        <v>6</v>
      </c>
      <c r="J34" s="2">
        <v>490.05</v>
      </c>
      <c r="K34" s="2">
        <v>0</v>
      </c>
      <c r="L34" s="2" t="s">
        <v>79</v>
      </c>
      <c r="M34" s="2" t="s">
        <v>38</v>
      </c>
      <c r="N34" s="2" t="s">
        <v>71</v>
      </c>
      <c r="O34" s="2" t="s">
        <v>40</v>
      </c>
      <c r="P34" s="2" t="str">
        <f t="shared" si="0"/>
        <v>Chen Qureshi</v>
      </c>
      <c r="Q34" s="2" t="str">
        <f>IF(OR(PROPER(TRIM(tblOrders[[#This Row],[Region]]))="Nort",PROPER(TRIM(tblOrders[[#This Row],[Region]]))="Northh"),"North",PROPER(TRIM(tblOrders[[#This Row],[Region]])))</f>
        <v>East</v>
      </c>
      <c r="R34" s="2" t="str">
        <f t="shared" si="1"/>
        <v>Clothing</v>
      </c>
      <c r="S34" s="2" t="str">
        <f t="shared" si="2"/>
        <v>In-Store</v>
      </c>
      <c r="T34" s="2" t="str">
        <f t="shared" si="3"/>
        <v>Cash</v>
      </c>
      <c r="U34" s="2" t="str">
        <f t="shared" si="4"/>
        <v>Cancelled</v>
      </c>
      <c r="V34" s="2">
        <f t="shared" si="5"/>
        <v>6</v>
      </c>
      <c r="W34" s="2">
        <f t="shared" si="6"/>
        <v>490.05</v>
      </c>
      <c r="X3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45627</v>
      </c>
      <c r="Y34" s="2">
        <f t="shared" si="7"/>
        <v>0</v>
      </c>
      <c r="Z34" s="2" t="str">
        <f>TRIM(CLEAN(tblOrders[[#This Row],[Notes]]))</f>
        <v>VIP customer</v>
      </c>
      <c r="AA34" s="2" t="str">
        <f t="shared" si="8"/>
        <v>High Value</v>
      </c>
      <c r="AB34" s="2">
        <f>IF(OR(tblOrders[[#This Row],[Quantity_Clean]]="",tblOrders[[#This Row],[UnitPrice_Clean]]=""),0,tblOrders[[#This Row],[Quantity_Clean]]*tblOrders[[#This Row],[UnitPrice_Clean]])</f>
        <v>2940.3</v>
      </c>
      <c r="AC34" s="2" t="str">
        <f>UPPER(TRIM(tblOrders[[#This Row],[OrderID]]))</f>
        <v>ORD-1093</v>
      </c>
      <c r="AD34" s="2">
        <f>VALUE(RIGHT(tblOrders[[#This Row],[OrderID]],4))</f>
        <v>1093</v>
      </c>
      <c r="AE34" s="2" t="str">
        <f>TEXT(tblOrders[[#This Row],[OrderDate_Clean]],"mmm-yyyy")</f>
        <v>Dec-2024</v>
      </c>
      <c r="AF34" s="3">
        <f>EOMONTH(tblOrders[[#This Row],[OrderDate_Clean]],0)</f>
        <v>45657</v>
      </c>
      <c r="AG34" s="2" t="s">
        <v>880</v>
      </c>
      <c r="AH34" s="2">
        <f>IF(tblOrders[[#This Row],[Discount]]="",0,IF(ISNUMBER(tblOrders[[#This Row],[Discount]]),tblOrders[[#This Row],[Discount]],VALUE(SUBSTITUTE(TRIM(tblOrders[[#This Row],[Discount]]),"%",""))/100))</f>
        <v>0</v>
      </c>
    </row>
    <row r="35" spans="1:34" x14ac:dyDescent="0.25">
      <c r="A35" s="2" t="s">
        <v>630</v>
      </c>
      <c r="B35" s="2" t="s">
        <v>631</v>
      </c>
      <c r="C35" s="2" t="s">
        <v>632</v>
      </c>
      <c r="D35" s="2" t="s">
        <v>152</v>
      </c>
      <c r="E35" s="2" t="s">
        <v>117</v>
      </c>
      <c r="F35" s="2" t="s">
        <v>298</v>
      </c>
      <c r="G35" s="2" t="s">
        <v>131</v>
      </c>
      <c r="H35" s="2" t="s">
        <v>108</v>
      </c>
      <c r="I35" s="2">
        <v>10</v>
      </c>
      <c r="J35" s="2">
        <v>478.89</v>
      </c>
      <c r="K35" s="2">
        <v>0.2</v>
      </c>
      <c r="L35" s="2" t="s">
        <v>139</v>
      </c>
      <c r="M35" s="2" t="s">
        <v>165</v>
      </c>
      <c r="N35" s="2"/>
      <c r="O35" s="2" t="s">
        <v>93</v>
      </c>
      <c r="P35" s="2" t="str">
        <f t="shared" si="0"/>
        <v>Hina Ali</v>
      </c>
      <c r="Q35" s="2" t="str">
        <f>IF(OR(PROPER(TRIM(tblOrders[[#This Row],[Region]]))="Nort",PROPER(TRIM(tblOrders[[#This Row],[Region]]))="Northh"),"North",PROPER(TRIM(tblOrders[[#This Row],[Region]])))</f>
        <v>East</v>
      </c>
      <c r="R35" s="2" t="str">
        <f t="shared" si="1"/>
        <v>Clothing</v>
      </c>
      <c r="S35" s="2" t="str">
        <f t="shared" si="2"/>
        <v>In-Store</v>
      </c>
      <c r="T35" s="2" t="str">
        <f t="shared" si="3"/>
        <v>Debit Card</v>
      </c>
      <c r="U35" s="2" t="str">
        <f t="shared" si="4"/>
        <v>Cancelled</v>
      </c>
      <c r="V35" s="2">
        <f t="shared" si="5"/>
        <v>10</v>
      </c>
      <c r="W35" s="2">
        <f t="shared" si="6"/>
        <v>478.89</v>
      </c>
      <c r="X3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45514</v>
      </c>
      <c r="Y35" s="2">
        <f t="shared" si="7"/>
        <v>0.2</v>
      </c>
      <c r="Z35" s="2" t="str">
        <f>TRIM(CLEAN(tblOrders[[#This Row],[Notes]]))</f>
        <v>Bulk order - business account</v>
      </c>
      <c r="AA35" s="2" t="str">
        <f t="shared" si="8"/>
        <v>High Value</v>
      </c>
      <c r="AB35" s="2">
        <f>IF(OR(tblOrders[[#This Row],[Quantity_Clean]]="",tblOrders[[#This Row],[UnitPrice_Clean]]=""),0,tblOrders[[#This Row],[Quantity_Clean]]*tblOrders[[#This Row],[UnitPrice_Clean]])</f>
        <v>4788.8999999999996</v>
      </c>
      <c r="AC35" s="2" t="str">
        <f>UPPER(TRIM(tblOrders[[#This Row],[OrderID]]))</f>
        <v>ORD-1102</v>
      </c>
      <c r="AD35" s="2">
        <f>VALUE(RIGHT(tblOrders[[#This Row],[OrderID]],4))</f>
        <v>1102</v>
      </c>
      <c r="AE35" s="2" t="str">
        <f>TEXT(tblOrders[[#This Row],[OrderDate_Clean]],"mmm-yyyy")</f>
        <v>Aug-2024</v>
      </c>
      <c r="AF35" s="3">
        <f>EOMONTH(tblOrders[[#This Row],[OrderDate_Clean]],0)</f>
        <v>45535</v>
      </c>
      <c r="AG35" s="2" t="s">
        <v>899</v>
      </c>
      <c r="AH35" s="2">
        <f>IF(tblOrders[[#This Row],[Discount]]="",0,IF(ISNUMBER(tblOrders[[#This Row],[Discount]]),tblOrders[[#This Row],[Discount]],VALUE(SUBSTITUTE(TRIM(tblOrders[[#This Row],[Discount]]),"%",""))/100))</f>
        <v>0.2</v>
      </c>
    </row>
    <row r="36" spans="1:34" x14ac:dyDescent="0.25">
      <c r="A36" s="2" t="s">
        <v>630</v>
      </c>
      <c r="B36" s="2" t="s">
        <v>631</v>
      </c>
      <c r="C36" s="2" t="s">
        <v>632</v>
      </c>
      <c r="D36" s="2" t="s">
        <v>152</v>
      </c>
      <c r="E36" s="2" t="s">
        <v>117</v>
      </c>
      <c r="F36" s="2" t="s">
        <v>298</v>
      </c>
      <c r="G36" s="2" t="s">
        <v>131</v>
      </c>
      <c r="H36" s="2" t="s">
        <v>108</v>
      </c>
      <c r="I36" s="2">
        <v>10</v>
      </c>
      <c r="J36" s="2">
        <v>478.89</v>
      </c>
      <c r="K36" s="2">
        <v>0.2</v>
      </c>
      <c r="L36" s="2" t="s">
        <v>139</v>
      </c>
      <c r="M36" s="2" t="s">
        <v>165</v>
      </c>
      <c r="N36" s="2"/>
      <c r="O36" s="2" t="s">
        <v>93</v>
      </c>
      <c r="P36" s="2" t="str">
        <f t="shared" si="0"/>
        <v>Hina Ali</v>
      </c>
      <c r="Q36" s="2" t="str">
        <f>IF(OR(PROPER(TRIM(tblOrders[[#This Row],[Region]]))="Nort",PROPER(TRIM(tblOrders[[#This Row],[Region]]))="Northh"),"North",PROPER(TRIM(tblOrders[[#This Row],[Region]])))</f>
        <v>East</v>
      </c>
      <c r="R36" s="2" t="str">
        <f t="shared" si="1"/>
        <v>Clothing</v>
      </c>
      <c r="S36" s="2" t="str">
        <f t="shared" si="2"/>
        <v>In-Store</v>
      </c>
      <c r="T36" s="2" t="str">
        <f t="shared" si="3"/>
        <v>Debit Card</v>
      </c>
      <c r="U36" s="2" t="str">
        <f t="shared" si="4"/>
        <v>Cancelled</v>
      </c>
      <c r="V36" s="2">
        <f t="shared" si="5"/>
        <v>10</v>
      </c>
      <c r="W36" s="2">
        <f t="shared" si="6"/>
        <v>478.89</v>
      </c>
      <c r="X3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45514</v>
      </c>
      <c r="Y36" s="2">
        <f t="shared" si="7"/>
        <v>0.2</v>
      </c>
      <c r="Z36" s="2" t="str">
        <f>TRIM(CLEAN(tblOrders[[#This Row],[Notes]]))</f>
        <v>Bulk order - business account</v>
      </c>
      <c r="AA36" s="2" t="str">
        <f t="shared" si="8"/>
        <v>High Value</v>
      </c>
      <c r="AB36" s="2">
        <f>IF(OR(tblOrders[[#This Row],[Quantity_Clean]]="",tblOrders[[#This Row],[UnitPrice_Clean]]=""),0,tblOrders[[#This Row],[Quantity_Clean]]*tblOrders[[#This Row],[UnitPrice_Clean]])</f>
        <v>4788.8999999999996</v>
      </c>
      <c r="AC36" s="2" t="str">
        <f>UPPER(TRIM(tblOrders[[#This Row],[OrderID]]))</f>
        <v>ORD-1102</v>
      </c>
      <c r="AD36" s="2">
        <f>VALUE(RIGHT(tblOrders[[#This Row],[OrderID]],4))</f>
        <v>1102</v>
      </c>
      <c r="AE36" s="2" t="str">
        <f>TEXT(tblOrders[[#This Row],[OrderDate_Clean]],"mmm-yyyy")</f>
        <v>Aug-2024</v>
      </c>
      <c r="AF36" s="3">
        <f>EOMONTH(tblOrders[[#This Row],[OrderDate_Clean]],0)</f>
        <v>45535</v>
      </c>
      <c r="AG36" s="2" t="s">
        <v>899</v>
      </c>
      <c r="AH36" s="2">
        <f>IF(tblOrders[[#This Row],[Discount]]="",0,IF(ISNUMBER(tblOrders[[#This Row],[Discount]]),tblOrders[[#This Row],[Discount]],VALUE(SUBSTITUTE(TRIM(tblOrders[[#This Row],[Discount]]),"%",""))/100))</f>
        <v>0.2</v>
      </c>
    </row>
    <row r="37" spans="1:34" x14ac:dyDescent="0.25">
      <c r="A37" s="2" t="s">
        <v>630</v>
      </c>
      <c r="B37" s="2" t="s">
        <v>631</v>
      </c>
      <c r="C37" s="2" t="s">
        <v>632</v>
      </c>
      <c r="D37" s="2" t="s">
        <v>152</v>
      </c>
      <c r="E37" s="2" t="s">
        <v>117</v>
      </c>
      <c r="F37" s="2" t="s">
        <v>298</v>
      </c>
      <c r="G37" s="2" t="s">
        <v>131</v>
      </c>
      <c r="H37" s="2" t="s">
        <v>108</v>
      </c>
      <c r="I37" s="2">
        <v>10</v>
      </c>
      <c r="J37" s="2">
        <v>478.89</v>
      </c>
      <c r="K37" s="2">
        <v>0.2</v>
      </c>
      <c r="L37" s="2" t="s">
        <v>139</v>
      </c>
      <c r="M37" s="2" t="s">
        <v>165</v>
      </c>
      <c r="N37" s="2"/>
      <c r="O37" s="2" t="s">
        <v>93</v>
      </c>
      <c r="P37" s="2" t="str">
        <f t="shared" si="0"/>
        <v>Hina Ali</v>
      </c>
      <c r="Q37" s="2" t="str">
        <f>IF(OR(PROPER(TRIM(tblOrders[[#This Row],[Region]]))="Nort",PROPER(TRIM(tblOrders[[#This Row],[Region]]))="Northh"),"North",PROPER(TRIM(tblOrders[[#This Row],[Region]])))</f>
        <v>East</v>
      </c>
      <c r="R37" s="2" t="str">
        <f t="shared" si="1"/>
        <v>Clothing</v>
      </c>
      <c r="S37" s="2" t="str">
        <f t="shared" si="2"/>
        <v>In-Store</v>
      </c>
      <c r="T37" s="2" t="str">
        <f t="shared" si="3"/>
        <v>Debit Card</v>
      </c>
      <c r="U37" s="2" t="str">
        <f t="shared" si="4"/>
        <v>Cancelled</v>
      </c>
      <c r="V37" s="2">
        <f t="shared" si="5"/>
        <v>10</v>
      </c>
      <c r="W37" s="2">
        <f t="shared" si="6"/>
        <v>478.89</v>
      </c>
      <c r="X3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45514</v>
      </c>
      <c r="Y37" s="2">
        <f t="shared" si="7"/>
        <v>0.2</v>
      </c>
      <c r="Z37" s="2" t="str">
        <f>TRIM(CLEAN(tblOrders[[#This Row],[Notes]]))</f>
        <v>Bulk order - business account</v>
      </c>
      <c r="AA37" s="2" t="str">
        <f t="shared" si="8"/>
        <v>High Value</v>
      </c>
      <c r="AB37" s="2">
        <f>IF(OR(tblOrders[[#This Row],[Quantity_Clean]]="",tblOrders[[#This Row],[UnitPrice_Clean]]=""),0,tblOrders[[#This Row],[Quantity_Clean]]*tblOrders[[#This Row],[UnitPrice_Clean]])</f>
        <v>4788.8999999999996</v>
      </c>
      <c r="AC37" s="2" t="str">
        <f>UPPER(TRIM(tblOrders[[#This Row],[OrderID]]))</f>
        <v>ORD-1102</v>
      </c>
      <c r="AD37" s="2">
        <f>VALUE(RIGHT(tblOrders[[#This Row],[OrderID]],4))</f>
        <v>1102</v>
      </c>
      <c r="AE37" s="2" t="str">
        <f>TEXT(tblOrders[[#This Row],[OrderDate_Clean]],"mmm-yyyy")</f>
        <v>Aug-2024</v>
      </c>
      <c r="AF37" s="3">
        <f>EOMONTH(tblOrders[[#This Row],[OrderDate_Clean]],0)</f>
        <v>45535</v>
      </c>
      <c r="AG37" s="2" t="s">
        <v>899</v>
      </c>
      <c r="AH37" s="2">
        <f>IF(tblOrders[[#This Row],[Discount]]="",0,IF(ISNUMBER(tblOrders[[#This Row],[Discount]]),tblOrders[[#This Row],[Discount]],VALUE(SUBSTITUTE(TRIM(tblOrders[[#This Row],[Discount]]),"%",""))/100))</f>
        <v>0.2</v>
      </c>
    </row>
    <row r="38" spans="1:34" x14ac:dyDescent="0.25">
      <c r="A38" s="2" t="s">
        <v>728</v>
      </c>
      <c r="B38" s="2" t="s">
        <v>206</v>
      </c>
      <c r="C38" s="2" t="s">
        <v>729</v>
      </c>
      <c r="D38" s="2" t="s">
        <v>175</v>
      </c>
      <c r="E38" s="2" t="s">
        <v>76</v>
      </c>
      <c r="F38" s="2" t="s">
        <v>118</v>
      </c>
      <c r="G38" s="2" t="s">
        <v>21</v>
      </c>
      <c r="H38" s="2" t="s">
        <v>58</v>
      </c>
      <c r="I38" s="2"/>
      <c r="J38" s="2">
        <v>472.97</v>
      </c>
      <c r="K38" s="2">
        <v>0.05</v>
      </c>
      <c r="L38" s="2" t="s">
        <v>139</v>
      </c>
      <c r="M38" s="2" t="s">
        <v>110</v>
      </c>
      <c r="N38" s="2"/>
      <c r="O38" s="2" t="s">
        <v>112</v>
      </c>
      <c r="P38" s="2" t="str">
        <f t="shared" si="0"/>
        <v>David Sheikh</v>
      </c>
      <c r="Q38" s="2" t="str">
        <f>IF(OR(PROPER(TRIM(tblOrders[[#This Row],[Region]]))="Nort",PROPER(TRIM(tblOrders[[#This Row],[Region]]))="Northh"),"North",PROPER(TRIM(tblOrders[[#This Row],[Region]])))</f>
        <v>North</v>
      </c>
      <c r="R38" s="2" t="str">
        <f t="shared" si="1"/>
        <v>Clothing</v>
      </c>
      <c r="S38" s="2" t="str">
        <f t="shared" si="2"/>
        <v>Online</v>
      </c>
      <c r="T38" s="2" t="str">
        <f t="shared" si="3"/>
        <v>Debit Card</v>
      </c>
      <c r="U38" s="2" t="str">
        <f t="shared" si="4"/>
        <v>Pending</v>
      </c>
      <c r="V38" s="2" t="str">
        <f t="shared" si="5"/>
        <v/>
      </c>
      <c r="W38" s="2">
        <f t="shared" si="6"/>
        <v>472.97</v>
      </c>
      <c r="X3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45452</v>
      </c>
      <c r="Y38" s="2">
        <f t="shared" si="7"/>
        <v>0.05</v>
      </c>
      <c r="Z38" s="2" t="str">
        <f>TRIM(CLEAN(tblOrders[[#This Row],[Notes]]))</f>
        <v>Follow up needed</v>
      </c>
      <c r="AA38" s="2" t="str">
        <f t="shared" si="8"/>
        <v>Review</v>
      </c>
      <c r="AB38" s="2">
        <f>IF(OR(tblOrders[[#This Row],[Quantity_Clean]]="",tblOrders[[#This Row],[UnitPrice_Clean]]=""),0,tblOrders[[#This Row],[Quantity_Clean]]*tblOrders[[#This Row],[UnitPrice_Clean]])</f>
        <v>0</v>
      </c>
      <c r="AC38" s="2" t="str">
        <f>UPPER(TRIM(tblOrders[[#This Row],[OrderID]]))</f>
        <v>ORD-1089</v>
      </c>
      <c r="AD38" s="2">
        <f>VALUE(RIGHT(tblOrders[[#This Row],[OrderID]],4))</f>
        <v>1089</v>
      </c>
      <c r="AE38" s="2" t="str">
        <f>TEXT(tblOrders[[#This Row],[OrderDate_Clean]],"mmm-yyyy")</f>
        <v>Jun-2024</v>
      </c>
      <c r="AF38" s="3">
        <f>EOMONTH(tblOrders[[#This Row],[OrderDate_Clean]],0)</f>
        <v>45473</v>
      </c>
      <c r="AG38" s="2" t="s">
        <v>882</v>
      </c>
      <c r="AH38" s="2">
        <f>IF(tblOrders[[#This Row],[Discount]]="",0,IF(ISNUMBER(tblOrders[[#This Row],[Discount]]),tblOrders[[#This Row],[Discount]],VALUE(SUBSTITUTE(TRIM(tblOrders[[#This Row],[Discount]]),"%",""))/100))</f>
        <v>0.05</v>
      </c>
    </row>
    <row r="39" spans="1:34" x14ac:dyDescent="0.25">
      <c r="A39" s="2" t="s">
        <v>756</v>
      </c>
      <c r="B39" s="2" t="s">
        <v>614</v>
      </c>
      <c r="C39" s="2" t="s">
        <v>757</v>
      </c>
      <c r="D39" s="2" t="s">
        <v>162</v>
      </c>
      <c r="E39" s="2" t="s">
        <v>19</v>
      </c>
      <c r="F39" s="2" t="s">
        <v>298</v>
      </c>
      <c r="G39" s="2" t="s">
        <v>21</v>
      </c>
      <c r="H39" s="2" t="s">
        <v>58</v>
      </c>
      <c r="I39" s="2">
        <v>12</v>
      </c>
      <c r="J39" s="2">
        <v>464.79</v>
      </c>
      <c r="K39" s="2" t="s">
        <v>259</v>
      </c>
      <c r="L39" s="2" t="s">
        <v>69</v>
      </c>
      <c r="M39" s="2" t="s">
        <v>158</v>
      </c>
      <c r="N39" s="2" t="s">
        <v>26</v>
      </c>
      <c r="O39" s="2" t="s">
        <v>112</v>
      </c>
      <c r="P39" s="2" t="str">
        <f t="shared" si="0"/>
        <v>Yusuf Johnson</v>
      </c>
      <c r="Q39" s="2" t="str">
        <f>IF(OR(PROPER(TRIM(tblOrders[[#This Row],[Region]]))="Nort",PROPER(TRIM(tblOrders[[#This Row],[Region]]))="Northh"),"North",PROPER(TRIM(tblOrders[[#This Row],[Region]])))</f>
        <v>East</v>
      </c>
      <c r="R39" s="2" t="str">
        <f t="shared" si="1"/>
        <v>Clothing</v>
      </c>
      <c r="S39" s="2" t="str">
        <f t="shared" si="2"/>
        <v>Online</v>
      </c>
      <c r="T39" s="2" t="str">
        <f t="shared" si="3"/>
        <v>Debit Card</v>
      </c>
      <c r="U39" s="2" t="str">
        <f t="shared" si="4"/>
        <v>Pending</v>
      </c>
      <c r="V39" s="2">
        <f t="shared" si="5"/>
        <v>12</v>
      </c>
      <c r="W39" s="2">
        <f t="shared" si="6"/>
        <v>464.79</v>
      </c>
      <c r="X3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45461</v>
      </c>
      <c r="Y39" s="2" t="str">
        <f t="shared" si="7"/>
        <v>20%</v>
      </c>
      <c r="Z39" s="2" t="str">
        <f>TRIM(CLEAN(tblOrders[[#This Row],[Notes]]))</f>
        <v>Follow up needed</v>
      </c>
      <c r="AA39" s="2" t="str">
        <f t="shared" si="8"/>
        <v>High Value</v>
      </c>
      <c r="AB39" s="2">
        <f>IF(OR(tblOrders[[#This Row],[Quantity_Clean]]="",tblOrders[[#This Row],[UnitPrice_Clean]]=""),0,tblOrders[[#This Row],[Quantity_Clean]]*tblOrders[[#This Row],[UnitPrice_Clean]])</f>
        <v>5577.4800000000005</v>
      </c>
      <c r="AC39" s="2" t="str">
        <f>UPPER(TRIM(tblOrders[[#This Row],[OrderID]]))</f>
        <v>ORD-1117</v>
      </c>
      <c r="AD39" s="2">
        <f>VALUE(RIGHT(tblOrders[[#This Row],[OrderID]],4))</f>
        <v>1117</v>
      </c>
      <c r="AE39" s="2" t="str">
        <f>TEXT(tblOrders[[#This Row],[OrderDate_Clean]],"mmm-yyyy")</f>
        <v>Jun-2024</v>
      </c>
      <c r="AF39" s="3">
        <f>EOMONTH(tblOrders[[#This Row],[OrderDate_Clean]],0)</f>
        <v>45473</v>
      </c>
      <c r="AG39" s="2" t="s">
        <v>906</v>
      </c>
      <c r="AH39" s="2">
        <f>IF(tblOrders[[#This Row],[Discount]]="",0,IF(ISNUMBER(tblOrders[[#This Row],[Discount]]),tblOrders[[#This Row],[Discount]],VALUE(SUBSTITUTE(TRIM(tblOrders[[#This Row],[Discount]]),"%",""))/100))</f>
        <v>0.2</v>
      </c>
    </row>
    <row r="40" spans="1:34" x14ac:dyDescent="0.25">
      <c r="A40" s="2" t="s">
        <v>430</v>
      </c>
      <c r="B40" s="2" t="s">
        <v>431</v>
      </c>
      <c r="C40" s="2" t="s">
        <v>432</v>
      </c>
      <c r="D40" s="2" t="s">
        <v>285</v>
      </c>
      <c r="E40" s="2" t="s">
        <v>199</v>
      </c>
      <c r="F40" s="2" t="s">
        <v>298</v>
      </c>
      <c r="G40" s="2" t="s">
        <v>21</v>
      </c>
      <c r="H40" s="2" t="s">
        <v>195</v>
      </c>
      <c r="I40" s="2">
        <v>12</v>
      </c>
      <c r="J40" s="2">
        <v>461.16</v>
      </c>
      <c r="K40" s="2"/>
      <c r="L40" s="2" t="s">
        <v>281</v>
      </c>
      <c r="M40" s="2" t="s">
        <v>110</v>
      </c>
      <c r="N40" s="2"/>
      <c r="O40" s="2" t="s">
        <v>112</v>
      </c>
      <c r="P40" s="2" t="str">
        <f t="shared" si="0"/>
        <v>Nida Hussain</v>
      </c>
      <c r="Q40" s="2" t="str">
        <f>IF(OR(PROPER(TRIM(tblOrders[[#This Row],[Region]]))="Nort",PROPER(TRIM(tblOrders[[#This Row],[Region]]))="Northh"),"North",PROPER(TRIM(tblOrders[[#This Row],[Region]])))</f>
        <v>North</v>
      </c>
      <c r="R40" s="2" t="str">
        <f t="shared" si="1"/>
        <v>Clothing</v>
      </c>
      <c r="S40" s="2" t="str">
        <f t="shared" si="2"/>
        <v>In-Store</v>
      </c>
      <c r="T40" s="2" t="str">
        <f t="shared" si="3"/>
        <v>Credit Card</v>
      </c>
      <c r="U40" s="2" t="str">
        <f t="shared" si="4"/>
        <v>Pending</v>
      </c>
      <c r="V40" s="2">
        <f t="shared" si="5"/>
        <v>12</v>
      </c>
      <c r="W40" s="2">
        <f t="shared" si="6"/>
        <v>461.16</v>
      </c>
      <c r="X4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45497</v>
      </c>
      <c r="Y40" s="2">
        <f t="shared" si="7"/>
        <v>0</v>
      </c>
      <c r="Z40" s="2" t="str">
        <f>TRIM(CLEAN(tblOrders[[#This Row],[Notes]]))</f>
        <v>Follow up needed</v>
      </c>
      <c r="AA40" s="2" t="str">
        <f t="shared" si="8"/>
        <v>High Value</v>
      </c>
      <c r="AB40" s="2">
        <f>IF(OR(tblOrders[[#This Row],[Quantity_Clean]]="",tblOrders[[#This Row],[UnitPrice_Clean]]=""),0,tblOrders[[#This Row],[Quantity_Clean]]*tblOrders[[#This Row],[UnitPrice_Clean]])</f>
        <v>5533.92</v>
      </c>
      <c r="AC40" s="2" t="str">
        <f>UPPER(TRIM(tblOrders[[#This Row],[OrderID]]))</f>
        <v>ORD-1061</v>
      </c>
      <c r="AD40" s="2">
        <f>VALUE(RIGHT(tblOrders[[#This Row],[OrderID]],4))</f>
        <v>1061</v>
      </c>
      <c r="AE40" s="2" t="str">
        <f>TEXT(tblOrders[[#This Row],[OrderDate_Clean]],"mmm-yyyy")</f>
        <v>Jul-2024</v>
      </c>
      <c r="AF40" s="3">
        <f>EOMONTH(tblOrders[[#This Row],[OrderDate_Clean]],0)</f>
        <v>45504</v>
      </c>
      <c r="AG40" s="2" t="s">
        <v>905</v>
      </c>
      <c r="AH40" s="2">
        <f>IF(tblOrders[[#This Row],[Discount]]="",0,IF(ISNUMBER(tblOrders[[#This Row],[Discount]]),tblOrders[[#This Row],[Discount]],VALUE(SUBSTITUTE(TRIM(tblOrders[[#This Row],[Discount]]),"%",""))/100))</f>
        <v>0</v>
      </c>
    </row>
    <row r="41" spans="1:34" x14ac:dyDescent="0.25">
      <c r="A41" s="2" t="s">
        <v>661</v>
      </c>
      <c r="B41" s="2" t="s">
        <v>662</v>
      </c>
      <c r="C41" s="2" t="s">
        <v>663</v>
      </c>
      <c r="D41" s="2" t="s">
        <v>97</v>
      </c>
      <c r="E41" s="2" t="s">
        <v>98</v>
      </c>
      <c r="F41" s="2" t="s">
        <v>298</v>
      </c>
      <c r="G41" s="2" t="s">
        <v>131</v>
      </c>
      <c r="H41" s="2" t="s">
        <v>58</v>
      </c>
      <c r="I41" s="2"/>
      <c r="J41" s="2">
        <v>459.11</v>
      </c>
      <c r="K41" s="2">
        <v>0.15</v>
      </c>
      <c r="L41" s="2" t="s">
        <v>59</v>
      </c>
      <c r="M41" s="2" t="s">
        <v>110</v>
      </c>
      <c r="N41" s="2" t="s">
        <v>39</v>
      </c>
      <c r="O41" s="2" t="s">
        <v>171</v>
      </c>
      <c r="P41" s="2" t="str">
        <f t="shared" si="0"/>
        <v>Kevin Sheikh</v>
      </c>
      <c r="Q41" s="2" t="str">
        <f>IF(OR(PROPER(TRIM(tblOrders[[#This Row],[Region]]))="Nort",PROPER(TRIM(tblOrders[[#This Row],[Region]]))="Northh"),"North",PROPER(TRIM(tblOrders[[#This Row],[Region]])))</f>
        <v>West</v>
      </c>
      <c r="R41" s="2" t="str">
        <f t="shared" si="1"/>
        <v>Clothing</v>
      </c>
      <c r="S41" s="2" t="str">
        <f t="shared" si="2"/>
        <v>Online</v>
      </c>
      <c r="T41" s="2" t="str">
        <f t="shared" si="3"/>
        <v>Debit Card</v>
      </c>
      <c r="U41" s="2" t="str">
        <f t="shared" si="4"/>
        <v>Pending</v>
      </c>
      <c r="V41" s="2" t="str">
        <f t="shared" si="5"/>
        <v/>
      </c>
      <c r="W41" s="2">
        <f t="shared" si="6"/>
        <v>459.11</v>
      </c>
      <c r="X4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45332</v>
      </c>
      <c r="Y41" s="2">
        <f t="shared" si="7"/>
        <v>0.15</v>
      </c>
      <c r="Z41" s="2" t="str">
        <f>TRIM(CLEAN(tblOrders[[#This Row],[Notes]]))</f>
        <v>Leave at front desk</v>
      </c>
      <c r="AA41" s="2" t="str">
        <f t="shared" si="8"/>
        <v>Review</v>
      </c>
      <c r="AB41" s="2">
        <f>IF(OR(tblOrders[[#This Row],[Quantity_Clean]]="",tblOrders[[#This Row],[UnitPrice_Clean]]=""),0,tblOrders[[#This Row],[Quantity_Clean]]*tblOrders[[#This Row],[UnitPrice_Clean]])</f>
        <v>0</v>
      </c>
      <c r="AC41" s="2" t="str">
        <f>UPPER(TRIM(tblOrders[[#This Row],[OrderID]]))</f>
        <v>ORD-1075</v>
      </c>
      <c r="AD41" s="2">
        <f>VALUE(RIGHT(tblOrders[[#This Row],[OrderID]],4))</f>
        <v>1075</v>
      </c>
      <c r="AE41" s="2" t="str">
        <f>TEXT(tblOrders[[#This Row],[OrderDate_Clean]],"mmm-yyyy")</f>
        <v>Feb-2024</v>
      </c>
      <c r="AF41" s="3">
        <f>EOMONTH(tblOrders[[#This Row],[OrderDate_Clean]],0)</f>
        <v>45351</v>
      </c>
      <c r="AG41" s="2" t="s">
        <v>884</v>
      </c>
      <c r="AH41" s="2">
        <f>IF(tblOrders[[#This Row],[Discount]]="",0,IF(ISNUMBER(tblOrders[[#This Row],[Discount]]),tblOrders[[#This Row],[Discount]],VALUE(SUBSTITUTE(TRIM(tblOrders[[#This Row],[Discount]]),"%",""))/100))</f>
        <v>0.15</v>
      </c>
    </row>
    <row r="42" spans="1:34" x14ac:dyDescent="0.25">
      <c r="A42" s="2" t="s">
        <v>438</v>
      </c>
      <c r="B42" s="2" t="s">
        <v>439</v>
      </c>
      <c r="C42" s="2" t="s">
        <v>440</v>
      </c>
      <c r="D42" s="2" t="s">
        <v>152</v>
      </c>
      <c r="E42" s="2" t="s">
        <v>19</v>
      </c>
      <c r="F42" s="2" t="s">
        <v>118</v>
      </c>
      <c r="G42" s="2" t="s">
        <v>21</v>
      </c>
      <c r="H42" s="2" t="s">
        <v>200</v>
      </c>
      <c r="I42" s="2">
        <v>3</v>
      </c>
      <c r="J42" s="2">
        <v>438.85</v>
      </c>
      <c r="K42" s="2">
        <v>0.1</v>
      </c>
      <c r="L42" s="2" t="s">
        <v>281</v>
      </c>
      <c r="M42" s="2" t="s">
        <v>92</v>
      </c>
      <c r="N42" s="2" t="s">
        <v>50</v>
      </c>
      <c r="O42" s="2" t="s">
        <v>27</v>
      </c>
      <c r="P42" s="2" t="str">
        <f t="shared" si="0"/>
        <v>Nida Lee</v>
      </c>
      <c r="Q42" s="2" t="str">
        <f>IF(OR(PROPER(TRIM(tblOrders[[#This Row],[Region]]))="Nort",PROPER(TRIM(tblOrders[[#This Row],[Region]]))="Northh"),"North",PROPER(TRIM(tblOrders[[#This Row],[Region]])))</f>
        <v>East</v>
      </c>
      <c r="R42" s="2" t="str">
        <f t="shared" si="1"/>
        <v>Clothing</v>
      </c>
      <c r="S42" s="2" t="str">
        <f t="shared" si="2"/>
        <v>Online</v>
      </c>
      <c r="T42" s="2" t="str">
        <f t="shared" si="3"/>
        <v>Credit Card</v>
      </c>
      <c r="U42" s="2" t="str">
        <f t="shared" si="4"/>
        <v>Cancelled</v>
      </c>
      <c r="V42" s="2">
        <f t="shared" si="5"/>
        <v>3</v>
      </c>
      <c r="W42" s="2">
        <f t="shared" si="6"/>
        <v>438.85</v>
      </c>
      <c r="X4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45443</v>
      </c>
      <c r="Y42" s="2">
        <f t="shared" si="7"/>
        <v>0.1</v>
      </c>
      <c r="Z42" s="2" t="str">
        <f>TRIM(CLEAN(tblOrders[[#This Row],[Notes]]))</f>
        <v>Customer called twice</v>
      </c>
      <c r="AA42" s="2" t="str">
        <f t="shared" si="8"/>
        <v>High Value</v>
      </c>
      <c r="AB42" s="2">
        <f>IF(OR(tblOrders[[#This Row],[Quantity_Clean]]="",tblOrders[[#This Row],[UnitPrice_Clean]]=""),0,tblOrders[[#This Row],[Quantity_Clean]]*tblOrders[[#This Row],[UnitPrice_Clean]])</f>
        <v>1316.5500000000002</v>
      </c>
      <c r="AC42" s="2" t="str">
        <f>UPPER(TRIM(tblOrders[[#This Row],[OrderID]]))</f>
        <v>ORD-1051</v>
      </c>
      <c r="AD42" s="2">
        <f>VALUE(RIGHT(tblOrders[[#This Row],[OrderID]],4))</f>
        <v>1051</v>
      </c>
      <c r="AE42" s="2" t="str">
        <f>TEXT(tblOrders[[#This Row],[OrderDate_Clean]],"mmm-yyyy")</f>
        <v>May-2024</v>
      </c>
      <c r="AF42" s="3">
        <f>EOMONTH(tblOrders[[#This Row],[OrderDate_Clean]],0)</f>
        <v>45443</v>
      </c>
      <c r="AG42" s="2" t="s">
        <v>905</v>
      </c>
      <c r="AH42" s="2">
        <f>IF(tblOrders[[#This Row],[Discount]]="",0,IF(ISNUMBER(tblOrders[[#This Row],[Discount]]),tblOrders[[#This Row],[Discount]],VALUE(SUBSTITUTE(TRIM(tblOrders[[#This Row],[Discount]]),"%",""))/100))</f>
        <v>0.1</v>
      </c>
    </row>
    <row r="43" spans="1:34" x14ac:dyDescent="0.25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20</v>
      </c>
      <c r="G43" s="2" t="s">
        <v>21</v>
      </c>
      <c r="H43" s="2" t="s">
        <v>22</v>
      </c>
      <c r="I43" s="2" t="s">
        <v>23</v>
      </c>
      <c r="J43" s="2">
        <v>369.04</v>
      </c>
      <c r="K43" s="2"/>
      <c r="L43" s="2" t="s">
        <v>24</v>
      </c>
      <c r="M43" s="2" t="s">
        <v>25</v>
      </c>
      <c r="N43" s="2" t="s">
        <v>26</v>
      </c>
      <c r="O43" s="2" t="s">
        <v>27</v>
      </c>
      <c r="P43" s="2" t="str">
        <f t="shared" si="0"/>
        <v>Yusuf Malik</v>
      </c>
      <c r="Q43" s="2" t="str">
        <f>IF(OR(PROPER(TRIM(tblOrders[[#This Row],[Region]]))="Nort",PROPER(TRIM(tblOrders[[#This Row],[Region]]))="Northh"),"North",PROPER(TRIM(tblOrders[[#This Row],[Region]])))</f>
        <v>East</v>
      </c>
      <c r="R43" s="2" t="str">
        <f t="shared" si="1"/>
        <v>Clothing</v>
      </c>
      <c r="S43" s="2" t="str">
        <f t="shared" si="2"/>
        <v>In-Store</v>
      </c>
      <c r="T43" s="2" t="str">
        <f t="shared" si="3"/>
        <v>Credit Card</v>
      </c>
      <c r="U43" s="2" t="str">
        <f t="shared" si="4"/>
        <v>Completed</v>
      </c>
      <c r="V43" s="2">
        <f t="shared" si="5"/>
        <v>12</v>
      </c>
      <c r="W43" s="2">
        <f t="shared" si="6"/>
        <v>369.04</v>
      </c>
      <c r="X4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45474</v>
      </c>
      <c r="Y43" s="2">
        <f t="shared" si="7"/>
        <v>0</v>
      </c>
      <c r="Z43" s="2" t="str">
        <f>TRIM(CLEAN(tblOrders[[#This Row],[Notes]]))</f>
        <v>Customer called twice</v>
      </c>
      <c r="AA43" s="2" t="str">
        <f t="shared" si="8"/>
        <v>High Value</v>
      </c>
      <c r="AB43" s="2">
        <f>IF(OR(tblOrders[[#This Row],[Quantity_Clean]]="",tblOrders[[#This Row],[UnitPrice_Clean]]=""),0,tblOrders[[#This Row],[Quantity_Clean]]*tblOrders[[#This Row],[UnitPrice_Clean]])</f>
        <v>4428.4800000000005</v>
      </c>
      <c r="AC43" s="2" t="str">
        <f>UPPER(TRIM(tblOrders[[#This Row],[OrderID]]))</f>
        <v>ORD-1223</v>
      </c>
      <c r="AD43" s="2">
        <f>VALUE(RIGHT(tblOrders[[#This Row],[OrderID]],4))</f>
        <v>1223</v>
      </c>
      <c r="AE43" s="2" t="str">
        <f>TEXT(tblOrders[[#This Row],[OrderDate_Clean]],"mmm-yyyy")</f>
        <v>Jul-2024</v>
      </c>
      <c r="AF43" s="3">
        <f>EOMONTH(tblOrders[[#This Row],[OrderDate_Clean]],0)</f>
        <v>45504</v>
      </c>
      <c r="AG43" s="2" t="s">
        <v>907</v>
      </c>
      <c r="AH43" s="2">
        <f>IF(tblOrders[[#This Row],[Discount]]="",0,IF(ISNUMBER(tblOrders[[#This Row],[Discount]]),tblOrders[[#This Row],[Discount]],VALUE(SUBSTITUTE(TRIM(tblOrders[[#This Row],[Discount]]),"%",""))/100))</f>
        <v>0</v>
      </c>
    </row>
    <row r="44" spans="1:34" x14ac:dyDescent="0.25">
      <c r="A44" s="2" t="s">
        <v>340</v>
      </c>
      <c r="B44" s="2" t="s">
        <v>341</v>
      </c>
      <c r="C44" s="2" t="s">
        <v>342</v>
      </c>
      <c r="D44" s="2" t="s">
        <v>31</v>
      </c>
      <c r="E44" s="2" t="s">
        <v>199</v>
      </c>
      <c r="F44" s="2" t="s">
        <v>118</v>
      </c>
      <c r="G44" s="2" t="s">
        <v>264</v>
      </c>
      <c r="H44" s="2" t="s">
        <v>48</v>
      </c>
      <c r="I44" s="2" t="s">
        <v>343</v>
      </c>
      <c r="J44" s="2">
        <v>355.3</v>
      </c>
      <c r="K44" s="2">
        <v>0.2</v>
      </c>
      <c r="L44" s="2" t="s">
        <v>180</v>
      </c>
      <c r="M44" s="2" t="s">
        <v>144</v>
      </c>
      <c r="N44" s="2" t="s">
        <v>26</v>
      </c>
      <c r="O44" s="2" t="s">
        <v>93</v>
      </c>
      <c r="P44" s="2" t="str">
        <f t="shared" si="0"/>
        <v>Sarah Brown</v>
      </c>
      <c r="Q44" s="2" t="str">
        <f>IF(OR(PROPER(TRIM(tblOrders[[#This Row],[Region]]))="Nort",PROPER(TRIM(tblOrders[[#This Row],[Region]]))="Northh"),"North",PROPER(TRIM(tblOrders[[#This Row],[Region]])))</f>
        <v>North</v>
      </c>
      <c r="R44" s="2" t="str">
        <f t="shared" si="1"/>
        <v>Clothing</v>
      </c>
      <c r="S44" s="2" t="str">
        <f t="shared" si="2"/>
        <v>In-Store</v>
      </c>
      <c r="T44" s="2" t="str">
        <f t="shared" si="3"/>
        <v>Credit Card</v>
      </c>
      <c r="U44" s="2" t="str">
        <f t="shared" si="4"/>
        <v>Refunded</v>
      </c>
      <c r="V44" s="2">
        <f t="shared" si="5"/>
        <v>6</v>
      </c>
      <c r="W44" s="2">
        <f t="shared" si="6"/>
        <v>355.3</v>
      </c>
      <c r="X4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45373</v>
      </c>
      <c r="Y44" s="2">
        <f t="shared" si="7"/>
        <v>0.2</v>
      </c>
      <c r="Z44" s="2" t="str">
        <f>TRIM(CLEAN(tblOrders[[#This Row],[Notes]]))</f>
        <v>Bulk order - business account</v>
      </c>
      <c r="AA44" s="2" t="str">
        <f t="shared" si="8"/>
        <v>High Value</v>
      </c>
      <c r="AB44" s="2">
        <f>IF(OR(tblOrders[[#This Row],[Quantity_Clean]]="",tblOrders[[#This Row],[UnitPrice_Clean]]=""),0,tblOrders[[#This Row],[Quantity_Clean]]*tblOrders[[#This Row],[UnitPrice_Clean]])</f>
        <v>2131.8000000000002</v>
      </c>
      <c r="AC44" s="2" t="str">
        <f>UPPER(TRIM(tblOrders[[#This Row],[OrderID]]))</f>
        <v>ORD-1197</v>
      </c>
      <c r="AD44" s="2">
        <f>VALUE(RIGHT(tblOrders[[#This Row],[OrderID]],4))</f>
        <v>1197</v>
      </c>
      <c r="AE44" s="2" t="str">
        <f>TEXT(tblOrders[[#This Row],[OrderDate_Clean]],"mmm-yyyy")</f>
        <v>Mar-2024</v>
      </c>
      <c r="AF44" s="3">
        <f>EOMONTH(tblOrders[[#This Row],[OrderDate_Clean]],0)</f>
        <v>45382</v>
      </c>
      <c r="AG44" s="2" t="s">
        <v>903</v>
      </c>
      <c r="AH44" s="2">
        <f>IF(tblOrders[[#This Row],[Discount]]="",0,IF(ISNUMBER(tblOrders[[#This Row],[Discount]]),tblOrders[[#This Row],[Discount]],VALUE(SUBSTITUTE(TRIM(tblOrders[[#This Row],[Discount]]),"%",""))/100))</f>
        <v>0.2</v>
      </c>
    </row>
    <row r="45" spans="1:34" x14ac:dyDescent="0.25">
      <c r="A45" s="2" t="s">
        <v>809</v>
      </c>
      <c r="B45" s="2" t="s">
        <v>810</v>
      </c>
      <c r="C45" s="2" t="s">
        <v>811</v>
      </c>
      <c r="D45" s="2" t="s">
        <v>18</v>
      </c>
      <c r="E45" s="2" t="s">
        <v>117</v>
      </c>
      <c r="F45" s="2" t="s">
        <v>20</v>
      </c>
      <c r="G45" s="2" t="s">
        <v>213</v>
      </c>
      <c r="H45" s="2" t="s">
        <v>200</v>
      </c>
      <c r="I45" s="2" t="s">
        <v>343</v>
      </c>
      <c r="J45" s="2">
        <v>270.25</v>
      </c>
      <c r="K45" s="2"/>
      <c r="L45" s="2" t="s">
        <v>24</v>
      </c>
      <c r="M45" s="2" t="s">
        <v>70</v>
      </c>
      <c r="N45" s="2" t="s">
        <v>50</v>
      </c>
      <c r="O45" s="2" t="s">
        <v>93</v>
      </c>
      <c r="P45" s="2" t="str">
        <f t="shared" si="0"/>
        <v>Fatima Hussain</v>
      </c>
      <c r="Q45" s="2" t="str">
        <f>IF(OR(PROPER(TRIM(tblOrders[[#This Row],[Region]]))="Nort",PROPER(TRIM(tblOrders[[#This Row],[Region]]))="Northh"),"North",PROPER(TRIM(tblOrders[[#This Row],[Region]])))</f>
        <v>East</v>
      </c>
      <c r="R45" s="2" t="str">
        <f t="shared" si="1"/>
        <v>Clothing</v>
      </c>
      <c r="S45" s="2" t="str">
        <f t="shared" si="2"/>
        <v>Online</v>
      </c>
      <c r="T45" s="2" t="str">
        <f t="shared" si="3"/>
        <v>Credit Card</v>
      </c>
      <c r="U45" s="2" t="str">
        <f t="shared" si="4"/>
        <v>Refunded</v>
      </c>
      <c r="V45" s="2">
        <f t="shared" si="5"/>
        <v>6</v>
      </c>
      <c r="W45" s="2">
        <f t="shared" si="6"/>
        <v>270.25</v>
      </c>
      <c r="X4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45433</v>
      </c>
      <c r="Y45" s="2">
        <f t="shared" si="7"/>
        <v>0</v>
      </c>
      <c r="Z45" s="2" t="str">
        <f>TRIM(CLEAN(tblOrders[[#This Row],[Notes]]))</f>
        <v>Bulk order - business account</v>
      </c>
      <c r="AA45" s="2" t="str">
        <f t="shared" si="8"/>
        <v>High Value</v>
      </c>
      <c r="AB45" s="2">
        <f>IF(OR(tblOrders[[#This Row],[Quantity_Clean]]="",tblOrders[[#This Row],[UnitPrice_Clean]]=""),0,tblOrders[[#This Row],[Quantity_Clean]]*tblOrders[[#This Row],[UnitPrice_Clean]])</f>
        <v>1621.5</v>
      </c>
      <c r="AC45" s="2" t="str">
        <f>UPPER(TRIM(tblOrders[[#This Row],[OrderID]]))</f>
        <v>ORD-1034</v>
      </c>
      <c r="AD45" s="2">
        <f>VALUE(RIGHT(tblOrders[[#This Row],[OrderID]],4))</f>
        <v>1034</v>
      </c>
      <c r="AE45" s="2" t="str">
        <f>TEXT(tblOrders[[#This Row],[OrderDate_Clean]],"mmm-yyyy")</f>
        <v>May-2024</v>
      </c>
      <c r="AF45" s="3">
        <f>EOMONTH(tblOrders[[#This Row],[OrderDate_Clean]],0)</f>
        <v>45443</v>
      </c>
      <c r="AG45" s="2" t="s">
        <v>902</v>
      </c>
      <c r="AH45" s="2">
        <f>IF(tblOrders[[#This Row],[Discount]]="",0,IF(ISNUMBER(tblOrders[[#This Row],[Discount]]),tblOrders[[#This Row],[Discount]],VALUE(SUBSTITUTE(TRIM(tblOrders[[#This Row],[Discount]]),"%",""))/100))</f>
        <v>0</v>
      </c>
    </row>
    <row r="46" spans="1:34" x14ac:dyDescent="0.25">
      <c r="A46" s="2" t="s">
        <v>255</v>
      </c>
      <c r="B46" s="2" t="s">
        <v>256</v>
      </c>
      <c r="C46" s="2" t="s">
        <v>257</v>
      </c>
      <c r="D46" s="2" t="s">
        <v>258</v>
      </c>
      <c r="E46" s="2" t="s">
        <v>125</v>
      </c>
      <c r="F46" s="2" t="s">
        <v>20</v>
      </c>
      <c r="G46" s="2" t="s">
        <v>131</v>
      </c>
      <c r="H46" s="2" t="s">
        <v>178</v>
      </c>
      <c r="I46" s="2"/>
      <c r="J46" s="2">
        <v>195.24</v>
      </c>
      <c r="K46" s="2" t="s">
        <v>259</v>
      </c>
      <c r="L46" s="2" t="s">
        <v>260</v>
      </c>
      <c r="M46" s="2" t="s">
        <v>70</v>
      </c>
      <c r="N46" s="2" t="s">
        <v>26</v>
      </c>
      <c r="O46" s="2" t="s">
        <v>87</v>
      </c>
      <c r="P46" s="2" t="str">
        <f t="shared" si="0"/>
        <v>Chen Smith</v>
      </c>
      <c r="Q46" s="2" t="str">
        <f>IF(OR(PROPER(TRIM(tblOrders[[#This Row],[Region]]))="Nort",PROPER(TRIM(tblOrders[[#This Row],[Region]]))="Northh"),"North",PROPER(TRIM(tblOrders[[#This Row],[Region]])))</f>
        <v>South</v>
      </c>
      <c r="R46" s="2" t="str">
        <f t="shared" si="1"/>
        <v>Clothing</v>
      </c>
      <c r="S46" s="2" t="str">
        <f t="shared" si="2"/>
        <v>Online</v>
      </c>
      <c r="T46" s="2" t="str">
        <f t="shared" si="3"/>
        <v>Credit Card</v>
      </c>
      <c r="U46" s="2" t="str">
        <f t="shared" si="4"/>
        <v>Refunded</v>
      </c>
      <c r="V46" s="2" t="str">
        <f t="shared" si="5"/>
        <v/>
      </c>
      <c r="W46" s="2">
        <f t="shared" si="6"/>
        <v>195.24</v>
      </c>
      <c r="X4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45321</v>
      </c>
      <c r="Y46" s="2" t="str">
        <f t="shared" si="7"/>
        <v>20%</v>
      </c>
      <c r="Z46" s="2" t="str">
        <f>TRIM(CLEAN(tblOrders[[#This Row],[Notes]]))</f>
        <v>Damaged on arrival - replaced</v>
      </c>
      <c r="AA46" s="2" t="str">
        <f t="shared" si="8"/>
        <v>Review</v>
      </c>
      <c r="AB46" s="2">
        <f>IF(OR(tblOrders[[#This Row],[Quantity_Clean]]="",tblOrders[[#This Row],[UnitPrice_Clean]]=""),0,tblOrders[[#This Row],[Quantity_Clean]]*tblOrders[[#This Row],[UnitPrice_Clean]])</f>
        <v>0</v>
      </c>
      <c r="AC46" s="2" t="str">
        <f>UPPER(TRIM(tblOrders[[#This Row],[OrderID]]))</f>
        <v>ORD-1218</v>
      </c>
      <c r="AD46" s="2">
        <f>VALUE(RIGHT(tblOrders[[#This Row],[OrderID]],4))</f>
        <v>1218</v>
      </c>
      <c r="AE46" s="2" t="str">
        <f>TEXT(tblOrders[[#This Row],[OrderDate_Clean]],"mmm-yyyy")</f>
        <v>Jan-2024</v>
      </c>
      <c r="AF46" s="3">
        <f>EOMONTH(tblOrders[[#This Row],[OrderDate_Clean]],0)</f>
        <v>45322</v>
      </c>
      <c r="AG46" s="2" t="s">
        <v>880</v>
      </c>
      <c r="AH46" s="2">
        <f>IF(tblOrders[[#This Row],[Discount]]="",0,IF(ISNUMBER(tblOrders[[#This Row],[Discount]]),tblOrders[[#This Row],[Discount]],VALUE(SUBSTITUTE(TRIM(tblOrders[[#This Row],[Discount]]),"%",""))/100))</f>
        <v>0.2</v>
      </c>
    </row>
    <row r="47" spans="1:34" x14ac:dyDescent="0.25">
      <c r="A47" s="2" t="s">
        <v>491</v>
      </c>
      <c r="B47" s="2" t="s">
        <v>492</v>
      </c>
      <c r="C47" s="2" t="s">
        <v>493</v>
      </c>
      <c r="D47" s="2" t="s">
        <v>194</v>
      </c>
      <c r="E47" s="2" t="s">
        <v>65</v>
      </c>
      <c r="F47" s="2" t="s">
        <v>20</v>
      </c>
      <c r="G47" s="2" t="s">
        <v>119</v>
      </c>
      <c r="H47" s="2" t="s">
        <v>108</v>
      </c>
      <c r="I47" s="2">
        <v>6</v>
      </c>
      <c r="J47" s="2">
        <v>192.67</v>
      </c>
      <c r="K47" s="2">
        <v>0.1</v>
      </c>
      <c r="L47" s="2" t="s">
        <v>180</v>
      </c>
      <c r="M47" s="2" t="s">
        <v>38</v>
      </c>
      <c r="N47" s="2" t="s">
        <v>39</v>
      </c>
      <c r="O47" s="2"/>
      <c r="P47" s="2" t="str">
        <f t="shared" si="0"/>
        <v>Michael Hussain</v>
      </c>
      <c r="Q47" s="2" t="str">
        <f>IF(OR(PROPER(TRIM(tblOrders[[#This Row],[Region]]))="Nort",PROPER(TRIM(tblOrders[[#This Row],[Region]]))="Northh"),"North",PROPER(TRIM(tblOrders[[#This Row],[Region]])))</f>
        <v>West</v>
      </c>
      <c r="R47" s="2" t="str">
        <f t="shared" si="1"/>
        <v>Clothing</v>
      </c>
      <c r="S47" s="2" t="str">
        <f t="shared" si="2"/>
        <v>In-Store</v>
      </c>
      <c r="T47" s="2" t="str">
        <f t="shared" si="3"/>
        <v>Credit Card</v>
      </c>
      <c r="U47" s="2" t="str">
        <f t="shared" si="4"/>
        <v>Cancelled</v>
      </c>
      <c r="V47" s="2">
        <f t="shared" si="5"/>
        <v>6</v>
      </c>
      <c r="W47" s="2">
        <f t="shared" si="6"/>
        <v>192.67</v>
      </c>
      <c r="X4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45568</v>
      </c>
      <c r="Y47" s="2">
        <f t="shared" si="7"/>
        <v>0.1</v>
      </c>
      <c r="Z47" s="2" t="str">
        <f>TRIM(CLEAN(tblOrders[[#This Row],[Notes]]))</f>
        <v/>
      </c>
      <c r="AA47" s="2" t="str">
        <f t="shared" si="8"/>
        <v>High Value</v>
      </c>
      <c r="AB47" s="2">
        <f>IF(OR(tblOrders[[#This Row],[Quantity_Clean]]="",tblOrders[[#This Row],[UnitPrice_Clean]]=""),0,tblOrders[[#This Row],[Quantity_Clean]]*tblOrders[[#This Row],[UnitPrice_Clean]])</f>
        <v>1156.02</v>
      </c>
      <c r="AC47" s="2" t="str">
        <f>UPPER(TRIM(tblOrders[[#This Row],[OrderID]]))</f>
        <v>ORD-1028</v>
      </c>
      <c r="AD47" s="2">
        <f>VALUE(RIGHT(tblOrders[[#This Row],[OrderID]],4))</f>
        <v>1028</v>
      </c>
      <c r="AE47" s="2" t="str">
        <f>TEXT(tblOrders[[#This Row],[OrderDate_Clean]],"mmm-yyyy")</f>
        <v>Oct-2024</v>
      </c>
      <c r="AF47" s="3">
        <f>EOMONTH(tblOrders[[#This Row],[OrderDate_Clean]],0)</f>
        <v>45596</v>
      </c>
      <c r="AG47" s="2" t="s">
        <v>908</v>
      </c>
      <c r="AH47" s="2">
        <f>IF(tblOrders[[#This Row],[Discount]]="",0,IF(ISNUMBER(tblOrders[[#This Row],[Discount]]),tblOrders[[#This Row],[Discount]],VALUE(SUBSTITUTE(TRIM(tblOrders[[#This Row],[Discount]]),"%",""))/100))</f>
        <v>0.1</v>
      </c>
    </row>
    <row r="48" spans="1:34" x14ac:dyDescent="0.25">
      <c r="A48" s="2" t="s">
        <v>303</v>
      </c>
      <c r="B48" s="2" t="s">
        <v>304</v>
      </c>
      <c r="C48" s="2" t="s">
        <v>305</v>
      </c>
      <c r="D48" s="2" t="s">
        <v>31</v>
      </c>
      <c r="E48" s="2" t="s">
        <v>199</v>
      </c>
      <c r="F48" s="2" t="s">
        <v>298</v>
      </c>
      <c r="G48" s="2" t="s">
        <v>131</v>
      </c>
      <c r="H48" s="2" t="s">
        <v>195</v>
      </c>
      <c r="I48" s="2">
        <v>3</v>
      </c>
      <c r="J48" s="2">
        <v>174.16</v>
      </c>
      <c r="K48" s="2"/>
      <c r="L48" s="2" t="s">
        <v>281</v>
      </c>
      <c r="M48" s="2" t="s">
        <v>208</v>
      </c>
      <c r="N48" s="2" t="s">
        <v>39</v>
      </c>
      <c r="O48" s="2" t="s">
        <v>93</v>
      </c>
      <c r="P48" s="2" t="str">
        <f t="shared" si="0"/>
        <v>Chen Taylor</v>
      </c>
      <c r="Q48" s="2" t="str">
        <f>IF(OR(PROPER(TRIM(tblOrders[[#This Row],[Region]]))="Nort",PROPER(TRIM(tblOrders[[#This Row],[Region]]))="Northh"),"North",PROPER(TRIM(tblOrders[[#This Row],[Region]])))</f>
        <v>North</v>
      </c>
      <c r="R48" s="2" t="str">
        <f t="shared" si="1"/>
        <v>Clothing</v>
      </c>
      <c r="S48" s="2" t="str">
        <f t="shared" si="2"/>
        <v>In-Store</v>
      </c>
      <c r="T48" s="2" t="str">
        <f t="shared" si="3"/>
        <v>Credit Card</v>
      </c>
      <c r="U48" s="2" t="str">
        <f t="shared" si="4"/>
        <v>Completed</v>
      </c>
      <c r="V48" s="2">
        <f t="shared" si="5"/>
        <v>3</v>
      </c>
      <c r="W48" s="2">
        <f t="shared" si="6"/>
        <v>174.16</v>
      </c>
      <c r="X4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45443</v>
      </c>
      <c r="Y48" s="2">
        <f t="shared" si="7"/>
        <v>0</v>
      </c>
      <c r="Z48" s="2" t="str">
        <f>TRIM(CLEAN(tblOrders[[#This Row],[Notes]]))</f>
        <v>Bulk order - business account</v>
      </c>
      <c r="AA48" s="2" t="str">
        <f t="shared" si="8"/>
        <v>Standard</v>
      </c>
      <c r="AB48" s="2">
        <f>IF(OR(tblOrders[[#This Row],[Quantity_Clean]]="",tblOrders[[#This Row],[UnitPrice_Clean]]=""),0,tblOrders[[#This Row],[Quantity_Clean]]*tblOrders[[#This Row],[UnitPrice_Clean]])</f>
        <v>522.48</v>
      </c>
      <c r="AC48" s="2" t="str">
        <f>UPPER(TRIM(tblOrders[[#This Row],[OrderID]]))</f>
        <v>ORD-1071</v>
      </c>
      <c r="AD48" s="2">
        <f>VALUE(RIGHT(tblOrders[[#This Row],[OrderID]],4))</f>
        <v>1071</v>
      </c>
      <c r="AE48" s="2" t="str">
        <f>TEXT(tblOrders[[#This Row],[OrderDate_Clean]],"mmm-yyyy")</f>
        <v>May-2024</v>
      </c>
      <c r="AF48" s="3">
        <f>EOMONTH(tblOrders[[#This Row],[OrderDate_Clean]],0)</f>
        <v>45443</v>
      </c>
      <c r="AG48" s="2" t="s">
        <v>880</v>
      </c>
      <c r="AH48" s="2">
        <f>IF(tblOrders[[#This Row],[Discount]]="",0,IF(ISNUMBER(tblOrders[[#This Row],[Discount]]),tblOrders[[#This Row],[Discount]],VALUE(SUBSTITUTE(TRIM(tblOrders[[#This Row],[Discount]]),"%",""))/100))</f>
        <v>0</v>
      </c>
    </row>
    <row r="49" spans="1:34" x14ac:dyDescent="0.25">
      <c r="A49" s="2" t="s">
        <v>214</v>
      </c>
      <c r="B49" s="2" t="s">
        <v>215</v>
      </c>
      <c r="C49" s="2" t="s">
        <v>216</v>
      </c>
      <c r="D49" s="2" t="s">
        <v>31</v>
      </c>
      <c r="E49" s="2" t="s">
        <v>32</v>
      </c>
      <c r="F49" s="2" t="s">
        <v>118</v>
      </c>
      <c r="G49" s="2" t="s">
        <v>213</v>
      </c>
      <c r="H49" s="2" t="s">
        <v>58</v>
      </c>
      <c r="I49" s="2">
        <v>1</v>
      </c>
      <c r="J49" s="2">
        <v>155.66</v>
      </c>
      <c r="K49" s="2"/>
      <c r="L49" s="2" t="s">
        <v>102</v>
      </c>
      <c r="M49" s="2" t="s">
        <v>208</v>
      </c>
      <c r="N49" s="2" t="s">
        <v>50</v>
      </c>
      <c r="O49" s="2" t="s">
        <v>93</v>
      </c>
      <c r="P49" s="2" t="str">
        <f t="shared" si="0"/>
        <v>Robert Qureshi</v>
      </c>
      <c r="Q49" s="2" t="str">
        <f>IF(OR(PROPER(TRIM(tblOrders[[#This Row],[Region]]))="Nort",PROPER(TRIM(tblOrders[[#This Row],[Region]]))="Northh"),"North",PROPER(TRIM(tblOrders[[#This Row],[Region]])))</f>
        <v>North</v>
      </c>
      <c r="R49" s="2" t="str">
        <f t="shared" si="1"/>
        <v>Clothing</v>
      </c>
      <c r="S49" s="2" t="str">
        <f t="shared" si="2"/>
        <v>Online</v>
      </c>
      <c r="T49" s="2" t="str">
        <f t="shared" si="3"/>
        <v>Cash</v>
      </c>
      <c r="U49" s="2" t="str">
        <f t="shared" si="4"/>
        <v>Completed</v>
      </c>
      <c r="V49" s="2">
        <f t="shared" si="5"/>
        <v>1</v>
      </c>
      <c r="W49" s="2">
        <f t="shared" si="6"/>
        <v>155.66</v>
      </c>
      <c r="X4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45524</v>
      </c>
      <c r="Y49" s="2">
        <f t="shared" si="7"/>
        <v>0</v>
      </c>
      <c r="Z49" s="2" t="str">
        <f>TRIM(CLEAN(tblOrders[[#This Row],[Notes]]))</f>
        <v>Bulk order - business account</v>
      </c>
      <c r="AA49" s="2" t="str">
        <f t="shared" si="8"/>
        <v>Standard</v>
      </c>
      <c r="AB49" s="2">
        <f>IF(OR(tblOrders[[#This Row],[Quantity_Clean]]="",tblOrders[[#This Row],[UnitPrice_Clean]]=""),0,tblOrders[[#This Row],[Quantity_Clean]]*tblOrders[[#This Row],[UnitPrice_Clean]])</f>
        <v>155.66</v>
      </c>
      <c r="AC49" s="2" t="str">
        <f>UPPER(TRIM(tblOrders[[#This Row],[OrderID]]))</f>
        <v>ORD-1053</v>
      </c>
      <c r="AD49" s="2">
        <f>VALUE(RIGHT(tblOrders[[#This Row],[OrderID]],4))</f>
        <v>1053</v>
      </c>
      <c r="AE49" s="2" t="str">
        <f>TEXT(tblOrders[[#This Row],[OrderDate_Clean]],"mmm-yyyy")</f>
        <v>Aug-2024</v>
      </c>
      <c r="AF49" s="3">
        <f>EOMONTH(tblOrders[[#This Row],[OrderDate_Clean]],0)</f>
        <v>45535</v>
      </c>
      <c r="AG49" s="2" t="s">
        <v>888</v>
      </c>
      <c r="AH49" s="2">
        <f>IF(tblOrders[[#This Row],[Discount]]="",0,IF(ISNUMBER(tblOrders[[#This Row],[Discount]]),tblOrders[[#This Row],[Discount]],VALUE(SUBSTITUTE(TRIM(tblOrders[[#This Row],[Discount]]),"%",""))/100))</f>
        <v>0</v>
      </c>
    </row>
    <row r="50" spans="1:34" x14ac:dyDescent="0.25">
      <c r="A50" s="2" t="s">
        <v>526</v>
      </c>
      <c r="B50" s="2" t="s">
        <v>527</v>
      </c>
      <c r="C50" s="2" t="s">
        <v>528</v>
      </c>
      <c r="D50" s="2" t="s">
        <v>18</v>
      </c>
      <c r="E50" s="2" t="s">
        <v>19</v>
      </c>
      <c r="F50" s="2" t="s">
        <v>20</v>
      </c>
      <c r="G50" s="2" t="s">
        <v>131</v>
      </c>
      <c r="H50" s="2" t="s">
        <v>35</v>
      </c>
      <c r="I50" s="2">
        <v>3</v>
      </c>
      <c r="J50" s="2">
        <v>153.5</v>
      </c>
      <c r="K50" s="2">
        <v>0</v>
      </c>
      <c r="L50" s="2" t="s">
        <v>143</v>
      </c>
      <c r="M50" s="2" t="s">
        <v>38</v>
      </c>
      <c r="N50" s="2" t="s">
        <v>26</v>
      </c>
      <c r="O50" s="2" t="s">
        <v>27</v>
      </c>
      <c r="P50" s="2" t="str">
        <f t="shared" si="0"/>
        <v>Zara Johnson</v>
      </c>
      <c r="Q50" s="2" t="str">
        <f>IF(OR(PROPER(TRIM(tblOrders[[#This Row],[Region]]))="Nort",PROPER(TRIM(tblOrders[[#This Row],[Region]]))="Northh"),"North",PROPER(TRIM(tblOrders[[#This Row],[Region]])))</f>
        <v>East</v>
      </c>
      <c r="R50" s="2" t="str">
        <f t="shared" si="1"/>
        <v>Clothing</v>
      </c>
      <c r="S50" s="2" t="str">
        <f t="shared" si="2"/>
        <v>In-Store</v>
      </c>
      <c r="T50" s="2" t="str">
        <f t="shared" si="3"/>
        <v>Credit Card</v>
      </c>
      <c r="U50" s="2" t="str">
        <f t="shared" si="4"/>
        <v>Cancelled</v>
      </c>
      <c r="V50" s="2">
        <f t="shared" si="5"/>
        <v>3</v>
      </c>
      <c r="W50" s="2">
        <f t="shared" si="6"/>
        <v>153.5</v>
      </c>
      <c r="X5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45580</v>
      </c>
      <c r="Y50" s="2">
        <f t="shared" si="7"/>
        <v>0</v>
      </c>
      <c r="Z50" s="2" t="str">
        <f>TRIM(CLEAN(tblOrders[[#This Row],[Notes]]))</f>
        <v>Customer called twice</v>
      </c>
      <c r="AA50" s="2" t="str">
        <f t="shared" si="8"/>
        <v>Standard</v>
      </c>
      <c r="AB50" s="2">
        <f>IF(OR(tblOrders[[#This Row],[Quantity_Clean]]="",tblOrders[[#This Row],[UnitPrice_Clean]]=""),0,tblOrders[[#This Row],[Quantity_Clean]]*tblOrders[[#This Row],[UnitPrice_Clean]])</f>
        <v>460.5</v>
      </c>
      <c r="AC50" s="2" t="str">
        <f>UPPER(TRIM(tblOrders[[#This Row],[OrderID]]))</f>
        <v>ORD-1014</v>
      </c>
      <c r="AD50" s="2">
        <f>VALUE(RIGHT(tblOrders[[#This Row],[OrderID]],4))</f>
        <v>1014</v>
      </c>
      <c r="AE50" s="2" t="str">
        <f>TEXT(tblOrders[[#This Row],[OrderDate_Clean]],"mmm-yyyy")</f>
        <v>Oct-2024</v>
      </c>
      <c r="AF50" s="3">
        <f>EOMONTH(tblOrders[[#This Row],[OrderDate_Clean]],0)</f>
        <v>45596</v>
      </c>
      <c r="AG50" s="2" t="s">
        <v>909</v>
      </c>
      <c r="AH50" s="2">
        <f>IF(tblOrders[[#This Row],[Discount]]="",0,IF(ISNUMBER(tblOrders[[#This Row],[Discount]]),tblOrders[[#This Row],[Discount]],VALUE(SUBSTITUTE(TRIM(tblOrders[[#This Row],[Discount]]),"%",""))/100))</f>
        <v>0</v>
      </c>
    </row>
    <row r="51" spans="1:34" x14ac:dyDescent="0.25">
      <c r="A51" s="2" t="s">
        <v>526</v>
      </c>
      <c r="B51" s="2" t="s">
        <v>527</v>
      </c>
      <c r="C51" s="2" t="s">
        <v>528</v>
      </c>
      <c r="D51" s="2" t="s">
        <v>18</v>
      </c>
      <c r="E51" s="2" t="s">
        <v>19</v>
      </c>
      <c r="F51" s="2" t="s">
        <v>20</v>
      </c>
      <c r="G51" s="2" t="s">
        <v>131</v>
      </c>
      <c r="H51" s="2" t="s">
        <v>35</v>
      </c>
      <c r="I51" s="2">
        <v>3</v>
      </c>
      <c r="J51" s="2">
        <v>153.5</v>
      </c>
      <c r="K51" s="2">
        <v>0</v>
      </c>
      <c r="L51" s="2" t="s">
        <v>143</v>
      </c>
      <c r="M51" s="2" t="s">
        <v>38</v>
      </c>
      <c r="N51" s="2" t="s">
        <v>26</v>
      </c>
      <c r="O51" s="2" t="s">
        <v>27</v>
      </c>
      <c r="P51" s="2" t="str">
        <f t="shared" si="0"/>
        <v>Zara Johnson</v>
      </c>
      <c r="Q51" s="2" t="str">
        <f>IF(OR(PROPER(TRIM(tblOrders[[#This Row],[Region]]))="Nort",PROPER(TRIM(tblOrders[[#This Row],[Region]]))="Northh"),"North",PROPER(TRIM(tblOrders[[#This Row],[Region]])))</f>
        <v>East</v>
      </c>
      <c r="R51" s="2" t="str">
        <f t="shared" si="1"/>
        <v>Clothing</v>
      </c>
      <c r="S51" s="2" t="str">
        <f t="shared" si="2"/>
        <v>In-Store</v>
      </c>
      <c r="T51" s="2" t="str">
        <f t="shared" si="3"/>
        <v>Credit Card</v>
      </c>
      <c r="U51" s="2" t="str">
        <f t="shared" si="4"/>
        <v>Cancelled</v>
      </c>
      <c r="V51" s="2">
        <f t="shared" si="5"/>
        <v>3</v>
      </c>
      <c r="W51" s="2">
        <f t="shared" si="6"/>
        <v>153.5</v>
      </c>
      <c r="X5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45580</v>
      </c>
      <c r="Y51" s="2">
        <f t="shared" si="7"/>
        <v>0</v>
      </c>
      <c r="Z51" s="2" t="str">
        <f>TRIM(CLEAN(tblOrders[[#This Row],[Notes]]))</f>
        <v>Customer called twice</v>
      </c>
      <c r="AA51" s="2" t="str">
        <f t="shared" si="8"/>
        <v>Standard</v>
      </c>
      <c r="AB51" s="2">
        <f>IF(OR(tblOrders[[#This Row],[Quantity_Clean]]="",tblOrders[[#This Row],[UnitPrice_Clean]]=""),0,tblOrders[[#This Row],[Quantity_Clean]]*tblOrders[[#This Row],[UnitPrice_Clean]])</f>
        <v>460.5</v>
      </c>
      <c r="AC51" s="2" t="str">
        <f>UPPER(TRIM(tblOrders[[#This Row],[OrderID]]))</f>
        <v>ORD-1014</v>
      </c>
      <c r="AD51" s="2">
        <f>VALUE(RIGHT(tblOrders[[#This Row],[OrderID]],4))</f>
        <v>1014</v>
      </c>
      <c r="AE51" s="2" t="str">
        <f>TEXT(tblOrders[[#This Row],[OrderDate_Clean]],"mmm-yyyy")</f>
        <v>Oct-2024</v>
      </c>
      <c r="AF51" s="3">
        <f>EOMONTH(tblOrders[[#This Row],[OrderDate_Clean]],0)</f>
        <v>45596</v>
      </c>
      <c r="AG51" s="2" t="s">
        <v>909</v>
      </c>
      <c r="AH51" s="2">
        <f>IF(tblOrders[[#This Row],[Discount]]="",0,IF(ISNUMBER(tblOrders[[#This Row],[Discount]]),tblOrders[[#This Row],[Discount]],VALUE(SUBSTITUTE(TRIM(tblOrders[[#This Row],[Discount]]),"%",""))/100))</f>
        <v>0</v>
      </c>
    </row>
    <row r="52" spans="1:34" x14ac:dyDescent="0.25">
      <c r="A52" s="2" t="s">
        <v>424</v>
      </c>
      <c r="B52" s="2" t="s">
        <v>425</v>
      </c>
      <c r="C52" s="2" t="s">
        <v>426</v>
      </c>
      <c r="D52" s="2" t="s">
        <v>212</v>
      </c>
      <c r="E52" s="2" t="s">
        <v>98</v>
      </c>
      <c r="F52" s="2" t="s">
        <v>118</v>
      </c>
      <c r="G52" s="2" t="s">
        <v>21</v>
      </c>
      <c r="H52" s="2" t="s">
        <v>195</v>
      </c>
      <c r="I52" s="2" t="s">
        <v>360</v>
      </c>
      <c r="J52" s="2">
        <v>146.44</v>
      </c>
      <c r="K52" s="2"/>
      <c r="L52" s="2" t="s">
        <v>102</v>
      </c>
      <c r="M52" s="2" t="s">
        <v>60</v>
      </c>
      <c r="N52" s="2" t="s">
        <v>111</v>
      </c>
      <c r="O52" s="2" t="s">
        <v>51</v>
      </c>
      <c r="P52" s="2" t="str">
        <f t="shared" si="0"/>
        <v>Sofia Malik</v>
      </c>
      <c r="Q52" s="2" t="str">
        <f>IF(OR(PROPER(TRIM(tblOrders[[#This Row],[Region]]))="Nort",PROPER(TRIM(tblOrders[[#This Row],[Region]]))="Northh"),"North",PROPER(TRIM(tblOrders[[#This Row],[Region]])))</f>
        <v>West</v>
      </c>
      <c r="R52" s="2" t="str">
        <f t="shared" si="1"/>
        <v>Clothing</v>
      </c>
      <c r="S52" s="2" t="str">
        <f t="shared" si="2"/>
        <v>In-Store</v>
      </c>
      <c r="T52" s="2" t="str">
        <f t="shared" si="3"/>
        <v>Cash</v>
      </c>
      <c r="U52" s="2" t="str">
        <f t="shared" si="4"/>
        <v>Completed</v>
      </c>
      <c r="V52" s="2">
        <f t="shared" si="5"/>
        <v>8</v>
      </c>
      <c r="W52" s="2">
        <f t="shared" si="6"/>
        <v>146.44</v>
      </c>
      <c r="X5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45369</v>
      </c>
      <c r="Y52" s="2">
        <f t="shared" si="7"/>
        <v>0</v>
      </c>
      <c r="Z52" s="2" t="str">
        <f>TRIM(CLEAN(tblOrders[[#This Row],[Notes]]))</f>
        <v/>
      </c>
      <c r="AA52" s="2" t="str">
        <f t="shared" si="8"/>
        <v>High Value</v>
      </c>
      <c r="AB52" s="2">
        <f>IF(OR(tblOrders[[#This Row],[Quantity_Clean]]="",tblOrders[[#This Row],[UnitPrice_Clean]]=""),0,tblOrders[[#This Row],[Quantity_Clean]]*tblOrders[[#This Row],[UnitPrice_Clean]])</f>
        <v>1171.52</v>
      </c>
      <c r="AC52" s="2" t="str">
        <f>UPPER(TRIM(tblOrders[[#This Row],[OrderID]]))</f>
        <v>ORD-1025</v>
      </c>
      <c r="AD52" s="2">
        <f>VALUE(RIGHT(tblOrders[[#This Row],[OrderID]],4))</f>
        <v>1025</v>
      </c>
      <c r="AE52" s="2" t="str">
        <f>TEXT(tblOrders[[#This Row],[OrderDate_Clean]],"mmm-yyyy")</f>
        <v>Mar-2024</v>
      </c>
      <c r="AF52" s="3">
        <f>EOMONTH(tblOrders[[#This Row],[OrderDate_Clean]],0)</f>
        <v>45382</v>
      </c>
      <c r="AG52" s="2" t="s">
        <v>891</v>
      </c>
      <c r="AH52" s="2">
        <f>IF(tblOrders[[#This Row],[Discount]]="",0,IF(ISNUMBER(tblOrders[[#This Row],[Discount]]),tblOrders[[#This Row],[Discount]],VALUE(SUBSTITUTE(TRIM(tblOrders[[#This Row],[Discount]]),"%",""))/100))</f>
        <v>0</v>
      </c>
    </row>
    <row r="53" spans="1:34" x14ac:dyDescent="0.25">
      <c r="A53" s="2" t="s">
        <v>424</v>
      </c>
      <c r="B53" s="2" t="s">
        <v>425</v>
      </c>
      <c r="C53" s="2" t="s">
        <v>426</v>
      </c>
      <c r="D53" s="2" t="s">
        <v>212</v>
      </c>
      <c r="E53" s="2" t="s">
        <v>98</v>
      </c>
      <c r="F53" s="2" t="s">
        <v>118</v>
      </c>
      <c r="G53" s="2" t="s">
        <v>21</v>
      </c>
      <c r="H53" s="2" t="s">
        <v>195</v>
      </c>
      <c r="I53" s="2" t="s">
        <v>360</v>
      </c>
      <c r="J53" s="2">
        <v>146.44</v>
      </c>
      <c r="K53" s="2"/>
      <c r="L53" s="2" t="s">
        <v>102</v>
      </c>
      <c r="M53" s="2" t="s">
        <v>60</v>
      </c>
      <c r="N53" s="2" t="s">
        <v>111</v>
      </c>
      <c r="O53" s="2" t="s">
        <v>51</v>
      </c>
      <c r="P53" s="2" t="str">
        <f t="shared" si="0"/>
        <v>Sofia Malik</v>
      </c>
      <c r="Q53" s="2" t="str">
        <f>IF(OR(PROPER(TRIM(tblOrders[[#This Row],[Region]]))="Nort",PROPER(TRIM(tblOrders[[#This Row],[Region]]))="Northh"),"North",PROPER(TRIM(tblOrders[[#This Row],[Region]])))</f>
        <v>West</v>
      </c>
      <c r="R53" s="2" t="str">
        <f t="shared" si="1"/>
        <v>Clothing</v>
      </c>
      <c r="S53" s="2" t="str">
        <f t="shared" si="2"/>
        <v>In-Store</v>
      </c>
      <c r="T53" s="2" t="str">
        <f t="shared" si="3"/>
        <v>Cash</v>
      </c>
      <c r="U53" s="2" t="str">
        <f t="shared" si="4"/>
        <v>Completed</v>
      </c>
      <c r="V53" s="2">
        <f t="shared" si="5"/>
        <v>8</v>
      </c>
      <c r="W53" s="2">
        <f t="shared" si="6"/>
        <v>146.44</v>
      </c>
      <c r="X5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45369</v>
      </c>
      <c r="Y53" s="2">
        <f t="shared" si="7"/>
        <v>0</v>
      </c>
      <c r="Z53" s="2" t="str">
        <f>TRIM(CLEAN(tblOrders[[#This Row],[Notes]]))</f>
        <v/>
      </c>
      <c r="AA53" s="2" t="str">
        <f t="shared" si="8"/>
        <v>High Value</v>
      </c>
      <c r="AB53" s="2">
        <f>IF(OR(tblOrders[[#This Row],[Quantity_Clean]]="",tblOrders[[#This Row],[UnitPrice_Clean]]=""),0,tblOrders[[#This Row],[Quantity_Clean]]*tblOrders[[#This Row],[UnitPrice_Clean]])</f>
        <v>1171.52</v>
      </c>
      <c r="AC53" s="2" t="str">
        <f>UPPER(TRIM(tblOrders[[#This Row],[OrderID]]))</f>
        <v>ORD-1025</v>
      </c>
      <c r="AD53" s="2">
        <f>VALUE(RIGHT(tblOrders[[#This Row],[OrderID]],4))</f>
        <v>1025</v>
      </c>
      <c r="AE53" s="2" t="str">
        <f>TEXT(tblOrders[[#This Row],[OrderDate_Clean]],"mmm-yyyy")</f>
        <v>Mar-2024</v>
      </c>
      <c r="AF53" s="3">
        <f>EOMONTH(tblOrders[[#This Row],[OrderDate_Clean]],0)</f>
        <v>45382</v>
      </c>
      <c r="AG53" s="2" t="s">
        <v>891</v>
      </c>
      <c r="AH53" s="2">
        <f>IF(tblOrders[[#This Row],[Discount]]="",0,IF(ISNUMBER(tblOrders[[#This Row],[Discount]]),tblOrders[[#This Row],[Discount]],VALUE(SUBSTITUTE(TRIM(tblOrders[[#This Row],[Discount]]),"%",""))/100))</f>
        <v>0</v>
      </c>
    </row>
    <row r="54" spans="1:34" x14ac:dyDescent="0.25">
      <c r="A54" s="2" t="s">
        <v>209</v>
      </c>
      <c r="B54" s="2" t="s">
        <v>210</v>
      </c>
      <c r="C54" s="2" t="s">
        <v>211</v>
      </c>
      <c r="D54" s="2" t="s">
        <v>212</v>
      </c>
      <c r="E54" s="2" t="s">
        <v>65</v>
      </c>
      <c r="F54" s="2" t="s">
        <v>118</v>
      </c>
      <c r="G54" s="2" t="s">
        <v>213</v>
      </c>
      <c r="H54" s="2" t="s">
        <v>108</v>
      </c>
      <c r="I54" s="2">
        <v>10</v>
      </c>
      <c r="J54" s="2">
        <v>140.9</v>
      </c>
      <c r="K54" s="2">
        <v>0</v>
      </c>
      <c r="L54" s="2" t="s">
        <v>132</v>
      </c>
      <c r="M54" s="2" t="s">
        <v>158</v>
      </c>
      <c r="N54" s="2" t="s">
        <v>50</v>
      </c>
      <c r="O54" s="2" t="s">
        <v>112</v>
      </c>
      <c r="P54" s="2" t="str">
        <f t="shared" si="0"/>
        <v>Hina Raza</v>
      </c>
      <c r="Q54" s="2" t="str">
        <f>IF(OR(PROPER(TRIM(tblOrders[[#This Row],[Region]]))="Nort",PROPER(TRIM(tblOrders[[#This Row],[Region]]))="Northh"),"North",PROPER(TRIM(tblOrders[[#This Row],[Region]])))</f>
        <v>West</v>
      </c>
      <c r="R54" s="2" t="str">
        <f t="shared" si="1"/>
        <v>Clothing</v>
      </c>
      <c r="S54" s="2" t="str">
        <f t="shared" si="2"/>
        <v>In-Store</v>
      </c>
      <c r="T54" s="2" t="str">
        <f t="shared" si="3"/>
        <v>Cash</v>
      </c>
      <c r="U54" s="2" t="str">
        <f t="shared" si="4"/>
        <v>Pending</v>
      </c>
      <c r="V54" s="2">
        <f t="shared" si="5"/>
        <v>10</v>
      </c>
      <c r="W54" s="2">
        <f t="shared" si="6"/>
        <v>140.9</v>
      </c>
      <c r="X5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45478</v>
      </c>
      <c r="Y54" s="2">
        <f t="shared" si="7"/>
        <v>0</v>
      </c>
      <c r="Z54" s="2" t="str">
        <f>TRIM(CLEAN(tblOrders[[#This Row],[Notes]]))</f>
        <v>Follow up needed</v>
      </c>
      <c r="AA54" s="2" t="str">
        <f t="shared" si="8"/>
        <v>High Value</v>
      </c>
      <c r="AB54" s="2">
        <f>IF(OR(tblOrders[[#This Row],[Quantity_Clean]]="",tblOrders[[#This Row],[UnitPrice_Clean]]=""),0,tblOrders[[#This Row],[Quantity_Clean]]*tblOrders[[#This Row],[UnitPrice_Clean]])</f>
        <v>1409</v>
      </c>
      <c r="AC54" s="2" t="str">
        <f>UPPER(TRIM(tblOrders[[#This Row],[OrderID]]))</f>
        <v>ORD-1081</v>
      </c>
      <c r="AD54" s="2">
        <f>VALUE(RIGHT(tblOrders[[#This Row],[OrderID]],4))</f>
        <v>1081</v>
      </c>
      <c r="AE54" s="2" t="str">
        <f>TEXT(tblOrders[[#This Row],[OrderDate_Clean]],"mmm-yyyy")</f>
        <v>Jul-2024</v>
      </c>
      <c r="AF54" s="3">
        <f>EOMONTH(tblOrders[[#This Row],[OrderDate_Clean]],0)</f>
        <v>45504</v>
      </c>
      <c r="AG54" s="2" t="s">
        <v>910</v>
      </c>
      <c r="AH54" s="2">
        <f>IF(tblOrders[[#This Row],[Discount]]="",0,IF(ISNUMBER(tblOrders[[#This Row],[Discount]]),tblOrders[[#This Row],[Discount]],VALUE(SUBSTITUTE(TRIM(tblOrders[[#This Row],[Discount]]),"%",""))/100))</f>
        <v>0</v>
      </c>
    </row>
    <row r="55" spans="1:34" x14ac:dyDescent="0.25">
      <c r="A55" s="2" t="s">
        <v>692</v>
      </c>
      <c r="B55" s="2" t="s">
        <v>693</v>
      </c>
      <c r="C55" s="2" t="s">
        <v>694</v>
      </c>
      <c r="D55" s="2" t="s">
        <v>152</v>
      </c>
      <c r="E55" s="2" t="s">
        <v>19</v>
      </c>
      <c r="F55" s="2" t="s">
        <v>20</v>
      </c>
      <c r="G55" s="2" t="s">
        <v>119</v>
      </c>
      <c r="H55" s="2" t="s">
        <v>22</v>
      </c>
      <c r="I55" s="2">
        <v>3</v>
      </c>
      <c r="J55" s="2">
        <v>138.01</v>
      </c>
      <c r="K55" s="2">
        <v>0</v>
      </c>
      <c r="L55" s="2" t="s">
        <v>69</v>
      </c>
      <c r="M55" s="2" t="s">
        <v>201</v>
      </c>
      <c r="N55" s="2"/>
      <c r="O55" s="2" t="s">
        <v>87</v>
      </c>
      <c r="P55" s="2" t="str">
        <f t="shared" si="0"/>
        <v>Umar Hussain</v>
      </c>
      <c r="Q55" s="2" t="str">
        <f>IF(OR(PROPER(TRIM(tblOrders[[#This Row],[Region]]))="Nort",PROPER(TRIM(tblOrders[[#This Row],[Region]]))="Northh"),"North",PROPER(TRIM(tblOrders[[#This Row],[Region]])))</f>
        <v>East</v>
      </c>
      <c r="R55" s="2" t="str">
        <f t="shared" si="1"/>
        <v>Clothing</v>
      </c>
      <c r="S55" s="2" t="str">
        <f t="shared" si="2"/>
        <v>In-Store</v>
      </c>
      <c r="T55" s="2" t="str">
        <f t="shared" si="3"/>
        <v>Debit Card</v>
      </c>
      <c r="U55" s="2" t="str">
        <f t="shared" si="4"/>
        <v>Pending</v>
      </c>
      <c r="V55" s="2">
        <f t="shared" si="5"/>
        <v>3</v>
      </c>
      <c r="W55" s="2">
        <f t="shared" si="6"/>
        <v>138.01</v>
      </c>
      <c r="X5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45434</v>
      </c>
      <c r="Y55" s="2">
        <f t="shared" si="7"/>
        <v>0</v>
      </c>
      <c r="Z55" s="2" t="str">
        <f>TRIM(CLEAN(tblOrders[[#This Row],[Notes]]))</f>
        <v>Damaged on arrival - replaced</v>
      </c>
      <c r="AA55" s="2" t="str">
        <f t="shared" si="8"/>
        <v>Standard</v>
      </c>
      <c r="AB55" s="2">
        <f>IF(OR(tblOrders[[#This Row],[Quantity_Clean]]="",tblOrders[[#This Row],[UnitPrice_Clean]]=""),0,tblOrders[[#This Row],[Quantity_Clean]]*tblOrders[[#This Row],[UnitPrice_Clean]])</f>
        <v>414.03</v>
      </c>
      <c r="AC55" s="2" t="str">
        <f>UPPER(TRIM(tblOrders[[#This Row],[OrderID]]))</f>
        <v>ORD-1134</v>
      </c>
      <c r="AD55" s="2">
        <f>VALUE(RIGHT(tblOrders[[#This Row],[OrderID]],4))</f>
        <v>1134</v>
      </c>
      <c r="AE55" s="2" t="str">
        <f>TEXT(tblOrders[[#This Row],[OrderDate_Clean]],"mmm-yyyy")</f>
        <v>May-2024</v>
      </c>
      <c r="AF55" s="3">
        <f>EOMONTH(tblOrders[[#This Row],[OrderDate_Clean]],0)</f>
        <v>45443</v>
      </c>
      <c r="AG55" s="2" t="s">
        <v>911</v>
      </c>
      <c r="AH55" s="2">
        <f>IF(tblOrders[[#This Row],[Discount]]="",0,IF(ISNUMBER(tblOrders[[#This Row],[Discount]]),tblOrders[[#This Row],[Discount]],VALUE(SUBSTITUTE(TRIM(tblOrders[[#This Row],[Discount]]),"%",""))/100))</f>
        <v>0</v>
      </c>
    </row>
    <row r="56" spans="1:34" x14ac:dyDescent="0.25">
      <c r="A56" s="2" t="s">
        <v>664</v>
      </c>
      <c r="B56" s="2" t="s">
        <v>665</v>
      </c>
      <c r="C56" s="2" t="s">
        <v>666</v>
      </c>
      <c r="D56" s="2" t="s">
        <v>258</v>
      </c>
      <c r="E56" s="2" t="s">
        <v>45</v>
      </c>
      <c r="F56" s="2" t="s">
        <v>118</v>
      </c>
      <c r="G56" s="2" t="s">
        <v>119</v>
      </c>
      <c r="H56" s="2" t="s">
        <v>48</v>
      </c>
      <c r="I56" s="2">
        <v>11</v>
      </c>
      <c r="J56" s="2">
        <v>134.47</v>
      </c>
      <c r="K56" s="2">
        <v>0</v>
      </c>
      <c r="L56" s="2" t="s">
        <v>237</v>
      </c>
      <c r="M56" s="2" t="s">
        <v>70</v>
      </c>
      <c r="N56" s="2" t="s">
        <v>50</v>
      </c>
      <c r="O56" s="2"/>
      <c r="P56" s="2" t="str">
        <f t="shared" si="0"/>
        <v>Yusuf Ahmed</v>
      </c>
      <c r="Q56" s="2" t="str">
        <f>IF(OR(PROPER(TRIM(tblOrders[[#This Row],[Region]]))="Nort",PROPER(TRIM(tblOrders[[#This Row],[Region]]))="Northh"),"North",PROPER(TRIM(tblOrders[[#This Row],[Region]])))</f>
        <v>South</v>
      </c>
      <c r="R56" s="2" t="str">
        <f t="shared" si="1"/>
        <v>Clothing</v>
      </c>
      <c r="S56" s="2" t="str">
        <f t="shared" si="2"/>
        <v>In-Store</v>
      </c>
      <c r="T56" s="2" t="str">
        <f t="shared" si="3"/>
        <v>Bank Transfer</v>
      </c>
      <c r="U56" s="2" t="str">
        <f t="shared" si="4"/>
        <v>Refunded</v>
      </c>
      <c r="V56" s="2">
        <f t="shared" si="5"/>
        <v>11</v>
      </c>
      <c r="W56" s="2">
        <f t="shared" si="6"/>
        <v>134.47</v>
      </c>
      <c r="X5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45455</v>
      </c>
      <c r="Y56" s="2">
        <f t="shared" si="7"/>
        <v>0</v>
      </c>
      <c r="Z56" s="2" t="str">
        <f>TRIM(CLEAN(tblOrders[[#This Row],[Notes]]))</f>
        <v/>
      </c>
      <c r="AA56" s="2" t="str">
        <f t="shared" si="8"/>
        <v>High Value</v>
      </c>
      <c r="AB56" s="2">
        <f>IF(OR(tblOrders[[#This Row],[Quantity_Clean]]="",tblOrders[[#This Row],[UnitPrice_Clean]]=""),0,tblOrders[[#This Row],[Quantity_Clean]]*tblOrders[[#This Row],[UnitPrice_Clean]])</f>
        <v>1479.17</v>
      </c>
      <c r="AC56" s="2" t="str">
        <f>UPPER(TRIM(tblOrders[[#This Row],[OrderID]]))</f>
        <v>ORD-1111</v>
      </c>
      <c r="AD56" s="2">
        <f>VALUE(RIGHT(tblOrders[[#This Row],[OrderID]],4))</f>
        <v>1111</v>
      </c>
      <c r="AE56" s="2" t="str">
        <f>TEXT(tblOrders[[#This Row],[OrderDate_Clean]],"mmm-yyyy")</f>
        <v>Jun-2024</v>
      </c>
      <c r="AF56" s="3">
        <f>EOMONTH(tblOrders[[#This Row],[OrderDate_Clean]],0)</f>
        <v>45473</v>
      </c>
      <c r="AG56" s="2" t="s">
        <v>906</v>
      </c>
      <c r="AH56" s="2">
        <f>IF(tblOrders[[#This Row],[Discount]]="",0,IF(ISNUMBER(tblOrders[[#This Row],[Discount]]),tblOrders[[#This Row],[Discount]],VALUE(SUBSTITUTE(TRIM(tblOrders[[#This Row],[Discount]]),"%",""))/100))</f>
        <v>0</v>
      </c>
    </row>
    <row r="57" spans="1:34" x14ac:dyDescent="0.25">
      <c r="A57" s="2" t="s">
        <v>335</v>
      </c>
      <c r="B57" s="2" t="s">
        <v>336</v>
      </c>
      <c r="C57" s="2" t="s">
        <v>337</v>
      </c>
      <c r="D57" s="2" t="s">
        <v>44</v>
      </c>
      <c r="E57" s="2" t="s">
        <v>45</v>
      </c>
      <c r="F57" s="2" t="s">
        <v>118</v>
      </c>
      <c r="G57" s="2" t="s">
        <v>213</v>
      </c>
      <c r="H57" s="2" t="s">
        <v>48</v>
      </c>
      <c r="I57" s="2">
        <v>6</v>
      </c>
      <c r="J57" s="2">
        <v>107.78</v>
      </c>
      <c r="K57" s="2"/>
      <c r="L57" s="2" t="s">
        <v>180</v>
      </c>
      <c r="M57" s="2" t="s">
        <v>60</v>
      </c>
      <c r="N57" s="2" t="s">
        <v>111</v>
      </c>
      <c r="O57" s="2" t="s">
        <v>126</v>
      </c>
      <c r="P57" s="2" t="str">
        <f t="shared" si="0"/>
        <v>Umar Lewis</v>
      </c>
      <c r="Q57" s="2" t="str">
        <f>IF(OR(PROPER(TRIM(tblOrders[[#This Row],[Region]]))="Nort",PROPER(TRIM(tblOrders[[#This Row],[Region]]))="Northh"),"North",PROPER(TRIM(tblOrders[[#This Row],[Region]])))</f>
        <v>South</v>
      </c>
      <c r="R57" s="2" t="str">
        <f t="shared" si="1"/>
        <v>Clothing</v>
      </c>
      <c r="S57" s="2" t="str">
        <f t="shared" si="2"/>
        <v>In-Store</v>
      </c>
      <c r="T57" s="2" t="str">
        <f t="shared" si="3"/>
        <v>Credit Card</v>
      </c>
      <c r="U57" s="2" t="str">
        <f t="shared" si="4"/>
        <v>Completed</v>
      </c>
      <c r="V57" s="2">
        <f t="shared" si="5"/>
        <v>6</v>
      </c>
      <c r="W57" s="2">
        <f t="shared" si="6"/>
        <v>107.78</v>
      </c>
      <c r="X5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45643</v>
      </c>
      <c r="Y57" s="2">
        <f t="shared" si="7"/>
        <v>0</v>
      </c>
      <c r="Z57" s="2" t="str">
        <f>TRIM(CLEAN(tblOrders[[#This Row],[Notes]]))</f>
        <v>Gift wrap requested</v>
      </c>
      <c r="AA57" s="2" t="str">
        <f t="shared" si="8"/>
        <v>Standard</v>
      </c>
      <c r="AB57" s="2">
        <f>IF(OR(tblOrders[[#This Row],[Quantity_Clean]]="",tblOrders[[#This Row],[UnitPrice_Clean]]=""),0,tblOrders[[#This Row],[Quantity_Clean]]*tblOrders[[#This Row],[UnitPrice_Clean]])</f>
        <v>646.68000000000006</v>
      </c>
      <c r="AC57" s="2" t="str">
        <f>UPPER(TRIM(tblOrders[[#This Row],[OrderID]]))</f>
        <v>ORD-1150</v>
      </c>
      <c r="AD57" s="2">
        <f>VALUE(RIGHT(tblOrders[[#This Row],[OrderID]],4))</f>
        <v>1150</v>
      </c>
      <c r="AE57" s="2" t="str">
        <f>TEXT(tblOrders[[#This Row],[OrderDate_Clean]],"mmm-yyyy")</f>
        <v>Dec-2024</v>
      </c>
      <c r="AF57" s="3">
        <f>EOMONTH(tblOrders[[#This Row],[OrderDate_Clean]],0)</f>
        <v>45657</v>
      </c>
      <c r="AG57" s="2" t="s">
        <v>911</v>
      </c>
      <c r="AH57" s="2">
        <f>IF(tblOrders[[#This Row],[Discount]]="",0,IF(ISNUMBER(tblOrders[[#This Row],[Discount]]),tblOrders[[#This Row],[Discount]],VALUE(SUBSTITUTE(TRIM(tblOrders[[#This Row],[Discount]]),"%",""))/100))</f>
        <v>0</v>
      </c>
    </row>
    <row r="58" spans="1:34" x14ac:dyDescent="0.25">
      <c r="A58" s="2" t="s">
        <v>685</v>
      </c>
      <c r="B58" s="2" t="s">
        <v>686</v>
      </c>
      <c r="C58" s="2" t="s">
        <v>687</v>
      </c>
      <c r="D58" s="2" t="s">
        <v>31</v>
      </c>
      <c r="E58" s="2" t="s">
        <v>199</v>
      </c>
      <c r="F58" s="2" t="s">
        <v>298</v>
      </c>
      <c r="G58" s="2" t="s">
        <v>21</v>
      </c>
      <c r="H58" s="2" t="s">
        <v>195</v>
      </c>
      <c r="I58" s="2">
        <v>8</v>
      </c>
      <c r="J58" s="2">
        <v>77.94</v>
      </c>
      <c r="K58" s="2">
        <v>0.05</v>
      </c>
      <c r="L58" s="2" t="s">
        <v>59</v>
      </c>
      <c r="M58" s="2" t="s">
        <v>170</v>
      </c>
      <c r="N58" s="2" t="s">
        <v>39</v>
      </c>
      <c r="O58" s="2" t="s">
        <v>51</v>
      </c>
      <c r="P58" s="2" t="str">
        <f t="shared" si="0"/>
        <v>Tom Iqbal</v>
      </c>
      <c r="Q58" s="2" t="str">
        <f>IF(OR(PROPER(TRIM(tblOrders[[#This Row],[Region]]))="Nort",PROPER(TRIM(tblOrders[[#This Row],[Region]]))="Northh"),"North",PROPER(TRIM(tblOrders[[#This Row],[Region]])))</f>
        <v>North</v>
      </c>
      <c r="R58" s="2" t="str">
        <f t="shared" si="1"/>
        <v>Clothing</v>
      </c>
      <c r="S58" s="2" t="str">
        <f t="shared" si="2"/>
        <v>In-Store</v>
      </c>
      <c r="T58" s="2" t="str">
        <f t="shared" si="3"/>
        <v>Debit Card</v>
      </c>
      <c r="U58" s="2" t="str">
        <f t="shared" si="4"/>
        <v>Cancelled</v>
      </c>
      <c r="V58" s="2">
        <f t="shared" si="5"/>
        <v>8</v>
      </c>
      <c r="W58" s="2">
        <f t="shared" si="6"/>
        <v>77.94</v>
      </c>
      <c r="X5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45504</v>
      </c>
      <c r="Y58" s="2">
        <f t="shared" si="7"/>
        <v>0.05</v>
      </c>
      <c r="Z58" s="2" t="str">
        <f>TRIM(CLEAN(tblOrders[[#This Row],[Notes]]))</f>
        <v/>
      </c>
      <c r="AA58" s="2" t="str">
        <f t="shared" si="8"/>
        <v>Standard</v>
      </c>
      <c r="AB58" s="2">
        <f>IF(OR(tblOrders[[#This Row],[Quantity_Clean]]="",tblOrders[[#This Row],[UnitPrice_Clean]]=""),0,tblOrders[[#This Row],[Quantity_Clean]]*tblOrders[[#This Row],[UnitPrice_Clean]])</f>
        <v>623.52</v>
      </c>
      <c r="AC58" s="2" t="str">
        <f>UPPER(TRIM(tblOrders[[#This Row],[OrderID]]))</f>
        <v>ORD-1074</v>
      </c>
      <c r="AD58" s="2">
        <f>VALUE(RIGHT(tblOrders[[#This Row],[OrderID]],4))</f>
        <v>1074</v>
      </c>
      <c r="AE58" s="2" t="str">
        <f>TEXT(tblOrders[[#This Row],[OrderDate_Clean]],"mmm-yyyy")</f>
        <v>Jul-2024</v>
      </c>
      <c r="AF58" s="3">
        <f>EOMONTH(tblOrders[[#This Row],[OrderDate_Clean]],0)</f>
        <v>45504</v>
      </c>
      <c r="AG58" s="2" t="s">
        <v>912</v>
      </c>
      <c r="AH58" s="2">
        <f>IF(tblOrders[[#This Row],[Discount]]="",0,IF(ISNUMBER(tblOrders[[#This Row],[Discount]]),tblOrders[[#This Row],[Discount]],VALUE(SUBSTITUTE(TRIM(tblOrders[[#This Row],[Discount]]),"%",""))/100))</f>
        <v>0.05</v>
      </c>
    </row>
    <row r="59" spans="1:34" x14ac:dyDescent="0.25">
      <c r="A59" s="2" t="s">
        <v>261</v>
      </c>
      <c r="B59" s="2" t="s">
        <v>262</v>
      </c>
      <c r="C59" s="2" t="s">
        <v>263</v>
      </c>
      <c r="D59" s="2" t="s">
        <v>64</v>
      </c>
      <c r="E59" s="2" t="s">
        <v>65</v>
      </c>
      <c r="F59" s="2" t="s">
        <v>20</v>
      </c>
      <c r="G59" s="2" t="s">
        <v>264</v>
      </c>
      <c r="H59" s="2" t="s">
        <v>22</v>
      </c>
      <c r="I59" s="2">
        <v>12</v>
      </c>
      <c r="J59" s="2">
        <v>48.62</v>
      </c>
      <c r="K59" s="2"/>
      <c r="L59" s="2" t="s">
        <v>79</v>
      </c>
      <c r="M59" s="2" t="s">
        <v>165</v>
      </c>
      <c r="N59" s="2" t="s">
        <v>26</v>
      </c>
      <c r="O59" s="2" t="s">
        <v>171</v>
      </c>
      <c r="P59" s="2" t="str">
        <f t="shared" si="0"/>
        <v>Noah Anderson</v>
      </c>
      <c r="Q59" s="2" t="str">
        <f>IF(OR(PROPER(TRIM(tblOrders[[#This Row],[Region]]))="Nort",PROPER(TRIM(tblOrders[[#This Row],[Region]]))="Northh"),"North",PROPER(TRIM(tblOrders[[#This Row],[Region]])))</f>
        <v>West</v>
      </c>
      <c r="R59" s="2" t="str">
        <f t="shared" si="1"/>
        <v>Clothing</v>
      </c>
      <c r="S59" s="2" t="str">
        <f t="shared" si="2"/>
        <v>In-Store</v>
      </c>
      <c r="T59" s="2" t="str">
        <f t="shared" si="3"/>
        <v>Cash</v>
      </c>
      <c r="U59" s="2" t="str">
        <f t="shared" si="4"/>
        <v>Cancelled</v>
      </c>
      <c r="V59" s="2">
        <f t="shared" si="5"/>
        <v>12</v>
      </c>
      <c r="W59" s="2">
        <f t="shared" si="6"/>
        <v>48.62</v>
      </c>
      <c r="X5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45567</v>
      </c>
      <c r="Y59" s="2">
        <f t="shared" si="7"/>
        <v>0</v>
      </c>
      <c r="Z59" s="2" t="str">
        <f>TRIM(CLEAN(tblOrders[[#This Row],[Notes]]))</f>
        <v>Leave at front desk</v>
      </c>
      <c r="AA59" s="2" t="str">
        <f t="shared" si="8"/>
        <v>Standard</v>
      </c>
      <c r="AB59" s="2">
        <f>IF(OR(tblOrders[[#This Row],[Quantity_Clean]]="",tblOrders[[#This Row],[UnitPrice_Clean]]=""),0,tblOrders[[#This Row],[Quantity_Clean]]*tblOrders[[#This Row],[UnitPrice_Clean]])</f>
        <v>583.43999999999994</v>
      </c>
      <c r="AC59" s="2" t="str">
        <f>UPPER(TRIM(tblOrders[[#This Row],[OrderID]]))</f>
        <v>ORD-1065</v>
      </c>
      <c r="AD59" s="2">
        <f>VALUE(RIGHT(tblOrders[[#This Row],[OrderID]],4))</f>
        <v>1065</v>
      </c>
      <c r="AE59" s="2" t="str">
        <f>TEXT(tblOrders[[#This Row],[OrderDate_Clean]],"mmm-yyyy")</f>
        <v>Oct-2024</v>
      </c>
      <c r="AF59" s="3">
        <f>EOMONTH(tblOrders[[#This Row],[OrderDate_Clean]],0)</f>
        <v>45596</v>
      </c>
      <c r="AG59" s="2" t="s">
        <v>913</v>
      </c>
      <c r="AH59" s="2">
        <f>IF(tblOrders[[#This Row],[Discount]]="",0,IF(ISNUMBER(tblOrders[[#This Row],[Discount]]),tblOrders[[#This Row],[Discount]],VALUE(SUBSTITUTE(TRIM(tblOrders[[#This Row],[Discount]]),"%",""))/100))</f>
        <v>0</v>
      </c>
    </row>
    <row r="60" spans="1:34" x14ac:dyDescent="0.25">
      <c r="A60" s="2" t="s">
        <v>637</v>
      </c>
      <c r="B60" s="2" t="s">
        <v>638</v>
      </c>
      <c r="C60" s="2" t="s">
        <v>639</v>
      </c>
      <c r="D60" s="2" t="s">
        <v>152</v>
      </c>
      <c r="E60" s="2" t="s">
        <v>117</v>
      </c>
      <c r="F60" s="2" t="s">
        <v>298</v>
      </c>
      <c r="G60" s="2" t="s">
        <v>213</v>
      </c>
      <c r="H60" s="2" t="s">
        <v>108</v>
      </c>
      <c r="I60" s="2">
        <v>7</v>
      </c>
      <c r="J60" s="2">
        <v>36.619999999999997</v>
      </c>
      <c r="K60" s="2" t="s">
        <v>254</v>
      </c>
      <c r="L60" s="2" t="s">
        <v>59</v>
      </c>
      <c r="M60" s="2" t="s">
        <v>38</v>
      </c>
      <c r="N60" s="2" t="s">
        <v>26</v>
      </c>
      <c r="O60" s="2" t="s">
        <v>87</v>
      </c>
      <c r="P60" s="2" t="str">
        <f t="shared" si="0"/>
        <v>Kevin Clark</v>
      </c>
      <c r="Q60" s="2" t="str">
        <f>IF(OR(PROPER(TRIM(tblOrders[[#This Row],[Region]]))="Nort",PROPER(TRIM(tblOrders[[#This Row],[Region]]))="Northh"),"North",PROPER(TRIM(tblOrders[[#This Row],[Region]])))</f>
        <v>East</v>
      </c>
      <c r="R60" s="2" t="str">
        <f t="shared" si="1"/>
        <v>Clothing</v>
      </c>
      <c r="S60" s="2" t="str">
        <f t="shared" si="2"/>
        <v>In-Store</v>
      </c>
      <c r="T60" s="2" t="str">
        <f t="shared" si="3"/>
        <v>Debit Card</v>
      </c>
      <c r="U60" s="2" t="str">
        <f t="shared" si="4"/>
        <v>Cancelled</v>
      </c>
      <c r="V60" s="2">
        <f t="shared" si="5"/>
        <v>7</v>
      </c>
      <c r="W60" s="2">
        <f t="shared" si="6"/>
        <v>36.619999999999997</v>
      </c>
      <c r="X6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45476</v>
      </c>
      <c r="Y60" s="2" t="str">
        <f t="shared" si="7"/>
        <v>0%</v>
      </c>
      <c r="Z60" s="2" t="str">
        <f>TRIM(CLEAN(tblOrders[[#This Row],[Notes]]))</f>
        <v>Damaged on arrival - replaced</v>
      </c>
      <c r="AA60" s="2" t="str">
        <f t="shared" si="8"/>
        <v>Standard</v>
      </c>
      <c r="AB60" s="2">
        <f>IF(OR(tblOrders[[#This Row],[Quantity_Clean]]="",tblOrders[[#This Row],[UnitPrice_Clean]]=""),0,tblOrders[[#This Row],[Quantity_Clean]]*tblOrders[[#This Row],[UnitPrice_Clean]])</f>
        <v>256.33999999999997</v>
      </c>
      <c r="AC60" s="2" t="str">
        <f>UPPER(TRIM(tblOrders[[#This Row],[OrderID]]))</f>
        <v>ORD-1144</v>
      </c>
      <c r="AD60" s="2">
        <f>VALUE(RIGHT(tblOrders[[#This Row],[OrderID]],4))</f>
        <v>1144</v>
      </c>
      <c r="AE60" s="2" t="str">
        <f>TEXT(tblOrders[[#This Row],[OrderDate_Clean]],"mmm-yyyy")</f>
        <v>Jul-2024</v>
      </c>
      <c r="AF60" s="3">
        <f>EOMONTH(tblOrders[[#This Row],[OrderDate_Clean]],0)</f>
        <v>45504</v>
      </c>
      <c r="AG60" s="2" t="s">
        <v>884</v>
      </c>
      <c r="AH60" s="2">
        <f>IF(tblOrders[[#This Row],[Discount]]="",0,IF(ISNUMBER(tblOrders[[#This Row],[Discount]]),tblOrders[[#This Row],[Discount]],VALUE(SUBSTITUTE(TRIM(tblOrders[[#This Row],[Discount]]),"%",""))/100))</f>
        <v>0</v>
      </c>
    </row>
    <row r="61" spans="1:34" x14ac:dyDescent="0.25">
      <c r="A61" s="2" t="s">
        <v>775</v>
      </c>
      <c r="B61" s="2" t="s">
        <v>776</v>
      </c>
      <c r="C61" s="2" t="s">
        <v>777</v>
      </c>
      <c r="D61" s="2" t="s">
        <v>124</v>
      </c>
      <c r="E61" s="2" t="s">
        <v>45</v>
      </c>
      <c r="F61" s="2" t="s">
        <v>298</v>
      </c>
      <c r="G61" s="2" t="s">
        <v>264</v>
      </c>
      <c r="H61" s="2" t="s">
        <v>58</v>
      </c>
      <c r="I61" s="2"/>
      <c r="J61" s="2">
        <v>31.99</v>
      </c>
      <c r="K61" s="2">
        <v>0.15</v>
      </c>
      <c r="L61" s="2" t="s">
        <v>180</v>
      </c>
      <c r="M61" s="2" t="s">
        <v>86</v>
      </c>
      <c r="N61" s="2" t="s">
        <v>26</v>
      </c>
      <c r="O61" s="2" t="s">
        <v>87</v>
      </c>
      <c r="P61" s="2" t="str">
        <f t="shared" si="0"/>
        <v>Zara Raza</v>
      </c>
      <c r="Q61" s="2" t="str">
        <f>IF(OR(PROPER(TRIM(tblOrders[[#This Row],[Region]]))="Nort",PROPER(TRIM(tblOrders[[#This Row],[Region]]))="Northh"),"North",PROPER(TRIM(tblOrders[[#This Row],[Region]])))</f>
        <v>South</v>
      </c>
      <c r="R61" s="2" t="str">
        <f t="shared" si="1"/>
        <v>Clothing</v>
      </c>
      <c r="S61" s="2" t="str">
        <f t="shared" si="2"/>
        <v>Online</v>
      </c>
      <c r="T61" s="2" t="str">
        <f t="shared" si="3"/>
        <v>Credit Card</v>
      </c>
      <c r="U61" s="2" t="str">
        <f t="shared" si="4"/>
        <v>Completed</v>
      </c>
      <c r="V61" s="2" t="str">
        <f t="shared" si="5"/>
        <v/>
      </c>
      <c r="W61" s="2">
        <f t="shared" si="6"/>
        <v>31.99</v>
      </c>
      <c r="X6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45437</v>
      </c>
      <c r="Y61" s="2">
        <f t="shared" si="7"/>
        <v>0.15</v>
      </c>
      <c r="Z61" s="2" t="str">
        <f>TRIM(CLEAN(tblOrders[[#This Row],[Notes]]))</f>
        <v>Damaged on arrival - replaced</v>
      </c>
      <c r="AA61" s="2" t="str">
        <f t="shared" si="8"/>
        <v>Review</v>
      </c>
      <c r="AB61" s="2">
        <f>IF(OR(tblOrders[[#This Row],[Quantity_Clean]]="",tblOrders[[#This Row],[UnitPrice_Clean]]=""),0,tblOrders[[#This Row],[Quantity_Clean]]*tblOrders[[#This Row],[UnitPrice_Clean]])</f>
        <v>0</v>
      </c>
      <c r="AC61" s="2" t="str">
        <f>UPPER(TRIM(tblOrders[[#This Row],[OrderID]]))</f>
        <v>ORD-1035</v>
      </c>
      <c r="AD61" s="2">
        <f>VALUE(RIGHT(tblOrders[[#This Row],[OrderID]],4))</f>
        <v>1035</v>
      </c>
      <c r="AE61" s="2" t="str">
        <f>TEXT(tblOrders[[#This Row],[OrderDate_Clean]],"mmm-yyyy")</f>
        <v>May-2024</v>
      </c>
      <c r="AF61" s="3">
        <f>EOMONTH(tblOrders[[#This Row],[OrderDate_Clean]],0)</f>
        <v>45443</v>
      </c>
      <c r="AG61" s="2" t="s">
        <v>914</v>
      </c>
      <c r="AH61" s="2">
        <f>IF(tblOrders[[#This Row],[Discount]]="",0,IF(ISNUMBER(tblOrders[[#This Row],[Discount]]),tblOrders[[#This Row],[Discount]],VALUE(SUBSTITUTE(TRIM(tblOrders[[#This Row],[Discount]]),"%",""))/100))</f>
        <v>0.15</v>
      </c>
    </row>
    <row r="62" spans="1:34" x14ac:dyDescent="0.25">
      <c r="A62" s="2" t="s">
        <v>841</v>
      </c>
      <c r="B62" s="2" t="s">
        <v>842</v>
      </c>
      <c r="C62" s="2" t="s">
        <v>843</v>
      </c>
      <c r="D62" s="2" t="s">
        <v>194</v>
      </c>
      <c r="E62" s="2"/>
      <c r="F62" s="2" t="s">
        <v>20</v>
      </c>
      <c r="G62" s="2" t="s">
        <v>213</v>
      </c>
      <c r="H62" s="2" t="s">
        <v>22</v>
      </c>
      <c r="I62" s="2">
        <v>5</v>
      </c>
      <c r="J62" s="2">
        <v>15.02</v>
      </c>
      <c r="K62" s="2"/>
      <c r="L62" s="2" t="s">
        <v>260</v>
      </c>
      <c r="M62" s="2" t="s">
        <v>38</v>
      </c>
      <c r="N62" s="2"/>
      <c r="O62" s="2" t="s">
        <v>40</v>
      </c>
      <c r="P62" s="2" t="str">
        <f t="shared" si="0"/>
        <v>Sarah Malik</v>
      </c>
      <c r="Q62" s="2" t="str">
        <f>IF(OR(PROPER(TRIM(tblOrders[[#This Row],[Region]]))="Nort",PROPER(TRIM(tblOrders[[#This Row],[Region]]))="Northh"),"North",PROPER(TRIM(tblOrders[[#This Row],[Region]])))</f>
        <v>West</v>
      </c>
      <c r="R62" s="2" t="str">
        <f t="shared" si="1"/>
        <v>Clothing</v>
      </c>
      <c r="S62" s="2" t="str">
        <f t="shared" si="2"/>
        <v>In-Store</v>
      </c>
      <c r="T62" s="2" t="str">
        <f t="shared" si="3"/>
        <v>Credit Card</v>
      </c>
      <c r="U62" s="2" t="str">
        <f t="shared" si="4"/>
        <v>Cancelled</v>
      </c>
      <c r="V62" s="2">
        <f t="shared" si="5"/>
        <v>5</v>
      </c>
      <c r="W62" s="2">
        <f t="shared" si="6"/>
        <v>15.02</v>
      </c>
      <c r="X6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45642</v>
      </c>
      <c r="Y62" s="2">
        <f t="shared" si="7"/>
        <v>0</v>
      </c>
      <c r="Z62" s="2" t="str">
        <f>TRIM(CLEAN(tblOrders[[#This Row],[Notes]]))</f>
        <v>VIP customer</v>
      </c>
      <c r="AA62" s="2" t="str">
        <f t="shared" si="8"/>
        <v>Standard</v>
      </c>
      <c r="AB62" s="2">
        <f>IF(OR(tblOrders[[#This Row],[Quantity_Clean]]="",tblOrders[[#This Row],[UnitPrice_Clean]]=""),0,tblOrders[[#This Row],[Quantity_Clean]]*tblOrders[[#This Row],[UnitPrice_Clean]])</f>
        <v>75.099999999999994</v>
      </c>
      <c r="AC62" s="2" t="str">
        <f>UPPER(TRIM(tblOrders[[#This Row],[OrderID]]))</f>
        <v>ORD-1168</v>
      </c>
      <c r="AD62" s="2">
        <f>VALUE(RIGHT(tblOrders[[#This Row],[OrderID]],4))</f>
        <v>1168</v>
      </c>
      <c r="AE62" s="2" t="str">
        <f>TEXT(tblOrders[[#This Row],[OrderDate_Clean]],"mmm-yyyy")</f>
        <v>Dec-2024</v>
      </c>
      <c r="AF62" s="3">
        <f>EOMONTH(tblOrders[[#This Row],[OrderDate_Clean]],0)</f>
        <v>45657</v>
      </c>
      <c r="AG62" s="2" t="s">
        <v>903</v>
      </c>
      <c r="AH62" s="2">
        <f>IF(tblOrders[[#This Row],[Discount]]="",0,IF(ISNUMBER(tblOrders[[#This Row],[Discount]]),tblOrders[[#This Row],[Discount]],VALUE(SUBSTITUTE(TRIM(tblOrders[[#This Row],[Discount]]),"%",""))/100))</f>
        <v>0</v>
      </c>
    </row>
    <row r="63" spans="1:34" x14ac:dyDescent="0.25">
      <c r="A63" s="2" t="s">
        <v>450</v>
      </c>
      <c r="B63" s="2" t="s">
        <v>451</v>
      </c>
      <c r="C63" s="2" t="s">
        <v>452</v>
      </c>
      <c r="D63" s="2" t="s">
        <v>18</v>
      </c>
      <c r="E63" s="2" t="s">
        <v>19</v>
      </c>
      <c r="F63" s="2" t="s">
        <v>20</v>
      </c>
      <c r="G63" s="2" t="s">
        <v>264</v>
      </c>
      <c r="H63" s="2" t="s">
        <v>200</v>
      </c>
      <c r="I63" s="2">
        <v>8</v>
      </c>
      <c r="J63" s="2"/>
      <c r="K63" s="2"/>
      <c r="L63" s="2" t="s">
        <v>79</v>
      </c>
      <c r="M63" s="2" t="s">
        <v>25</v>
      </c>
      <c r="N63" s="2" t="s">
        <v>39</v>
      </c>
      <c r="O63" s="2" t="s">
        <v>126</v>
      </c>
      <c r="P63" s="2" t="str">
        <f t="shared" si="0"/>
        <v>Priya Ahmed</v>
      </c>
      <c r="Q63" s="2" t="str">
        <f>IF(OR(PROPER(TRIM(tblOrders[[#This Row],[Region]]))="Nort",PROPER(TRIM(tblOrders[[#This Row],[Region]]))="Northh"),"North",PROPER(TRIM(tblOrders[[#This Row],[Region]])))</f>
        <v>East</v>
      </c>
      <c r="R63" s="2" t="str">
        <f t="shared" si="1"/>
        <v>Clothing</v>
      </c>
      <c r="S63" s="2" t="str">
        <f t="shared" si="2"/>
        <v>Online</v>
      </c>
      <c r="T63" s="2" t="str">
        <f t="shared" si="3"/>
        <v>Cash</v>
      </c>
      <c r="U63" s="2" t="str">
        <f t="shared" si="4"/>
        <v>Completed</v>
      </c>
      <c r="V63" s="2">
        <f t="shared" si="5"/>
        <v>8</v>
      </c>
      <c r="W63" s="2" t="str">
        <f t="shared" si="6"/>
        <v/>
      </c>
      <c r="X6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45561</v>
      </c>
      <c r="Y63" s="2">
        <f t="shared" si="7"/>
        <v>0</v>
      </c>
      <c r="Z63" s="2" t="str">
        <f>TRIM(CLEAN(tblOrders[[#This Row],[Notes]]))</f>
        <v>Gift wrap requested</v>
      </c>
      <c r="AA63" s="2" t="str">
        <f t="shared" si="8"/>
        <v>Review</v>
      </c>
      <c r="AB63" s="2">
        <f>IF(OR(tblOrders[[#This Row],[Quantity_Clean]]="",tblOrders[[#This Row],[UnitPrice_Clean]]=""),0,tblOrders[[#This Row],[Quantity_Clean]]*tblOrders[[#This Row],[UnitPrice_Clean]])</f>
        <v>0</v>
      </c>
      <c r="AC63" s="2" t="str">
        <f>UPPER(TRIM(tblOrders[[#This Row],[OrderID]]))</f>
        <v>ORD-1156</v>
      </c>
      <c r="AD63" s="2">
        <f>VALUE(RIGHT(tblOrders[[#This Row],[OrderID]],4))</f>
        <v>1156</v>
      </c>
      <c r="AE63" s="2" t="str">
        <f>TEXT(tblOrders[[#This Row],[OrderDate_Clean]],"mmm-yyyy")</f>
        <v>Sep-2024</v>
      </c>
      <c r="AF63" s="3">
        <f>EOMONTH(tblOrders[[#This Row],[OrderDate_Clean]],0)</f>
        <v>45565</v>
      </c>
      <c r="AG63" s="2" t="s">
        <v>915</v>
      </c>
      <c r="AH63" s="2">
        <f>IF(tblOrders[[#This Row],[Discount]]="",0,IF(ISNUMBER(tblOrders[[#This Row],[Discount]]),tblOrders[[#This Row],[Discount]],VALUE(SUBSTITUTE(TRIM(tblOrders[[#This Row],[Discount]]),"%",""))/100))</f>
        <v>0</v>
      </c>
    </row>
    <row r="64" spans="1:34" x14ac:dyDescent="0.25">
      <c r="A64" s="2" t="s">
        <v>689</v>
      </c>
      <c r="B64" s="2" t="s">
        <v>690</v>
      </c>
      <c r="C64" s="2" t="s">
        <v>691</v>
      </c>
      <c r="D64" s="2" t="s">
        <v>224</v>
      </c>
      <c r="E64" s="2" t="s">
        <v>125</v>
      </c>
      <c r="F64" s="2" t="s">
        <v>118</v>
      </c>
      <c r="G64" s="2" t="s">
        <v>264</v>
      </c>
      <c r="H64" s="2" t="s">
        <v>178</v>
      </c>
      <c r="I64" s="2">
        <v>4</v>
      </c>
      <c r="J64" s="2"/>
      <c r="K64" s="2">
        <v>0.2</v>
      </c>
      <c r="L64" s="2" t="s">
        <v>132</v>
      </c>
      <c r="M64" s="2" t="s">
        <v>165</v>
      </c>
      <c r="N64" s="2" t="s">
        <v>111</v>
      </c>
      <c r="O64" s="2" t="s">
        <v>112</v>
      </c>
      <c r="P64" s="2" t="str">
        <f t="shared" si="0"/>
        <v>Zara Brown</v>
      </c>
      <c r="Q64" s="2" t="str">
        <f>IF(OR(PROPER(TRIM(tblOrders[[#This Row],[Region]]))="Nort",PROPER(TRIM(tblOrders[[#This Row],[Region]]))="Northh"),"North",PROPER(TRIM(tblOrders[[#This Row],[Region]])))</f>
        <v>South</v>
      </c>
      <c r="R64" s="2" t="str">
        <f t="shared" si="1"/>
        <v>Clothing</v>
      </c>
      <c r="S64" s="2" t="str">
        <f t="shared" si="2"/>
        <v>Online</v>
      </c>
      <c r="T64" s="2" t="str">
        <f t="shared" si="3"/>
        <v>Cash</v>
      </c>
      <c r="U64" s="2" t="str">
        <f t="shared" si="4"/>
        <v>Cancelled</v>
      </c>
      <c r="V64" s="2">
        <f t="shared" si="5"/>
        <v>4</v>
      </c>
      <c r="W64" s="2" t="str">
        <f t="shared" si="6"/>
        <v/>
      </c>
      <c r="X6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45602</v>
      </c>
      <c r="Y64" s="2">
        <f t="shared" si="7"/>
        <v>0.2</v>
      </c>
      <c r="Z64" s="2" t="str">
        <f>TRIM(CLEAN(tblOrders[[#This Row],[Notes]]))</f>
        <v>Follow up needed</v>
      </c>
      <c r="AA64" s="2" t="str">
        <f t="shared" si="8"/>
        <v>Review</v>
      </c>
      <c r="AB64" s="2">
        <f>IF(OR(tblOrders[[#This Row],[Quantity_Clean]]="",tblOrders[[#This Row],[UnitPrice_Clean]]=""),0,tblOrders[[#This Row],[Quantity_Clean]]*tblOrders[[#This Row],[UnitPrice_Clean]])</f>
        <v>0</v>
      </c>
      <c r="AC64" s="2" t="str">
        <f>UPPER(TRIM(tblOrders[[#This Row],[OrderID]]))</f>
        <v>ORD-1213</v>
      </c>
      <c r="AD64" s="2">
        <f>VALUE(RIGHT(tblOrders[[#This Row],[OrderID]],4))</f>
        <v>1213</v>
      </c>
      <c r="AE64" s="2" t="str">
        <f>TEXT(tblOrders[[#This Row],[OrderDate_Clean]],"mmm-yyyy")</f>
        <v>Nov-2024</v>
      </c>
      <c r="AF64" s="3">
        <f>EOMONTH(tblOrders[[#This Row],[OrderDate_Clean]],0)</f>
        <v>45626</v>
      </c>
      <c r="AG64" s="2" t="s">
        <v>914</v>
      </c>
      <c r="AH64" s="2">
        <f>IF(tblOrders[[#This Row],[Discount]]="",0,IF(ISNUMBER(tblOrders[[#This Row],[Discount]]),tblOrders[[#This Row],[Discount]],VALUE(SUBSTITUTE(TRIM(tblOrders[[#This Row],[Discount]]),"%",""))/100))</f>
        <v>0.2</v>
      </c>
    </row>
    <row r="65" spans="1:34" x14ac:dyDescent="0.25">
      <c r="A65" s="2" t="s">
        <v>579</v>
      </c>
      <c r="B65" s="2" t="s">
        <v>580</v>
      </c>
      <c r="C65" s="2" t="s">
        <v>581</v>
      </c>
      <c r="D65" s="2" t="s">
        <v>75</v>
      </c>
      <c r="E65" s="2" t="s">
        <v>32</v>
      </c>
      <c r="F65" s="2" t="s">
        <v>298</v>
      </c>
      <c r="G65" s="2" t="s">
        <v>264</v>
      </c>
      <c r="H65" s="2" t="s">
        <v>108</v>
      </c>
      <c r="I65" s="2">
        <v>9</v>
      </c>
      <c r="J65" s="2"/>
      <c r="K65" s="2">
        <v>0.05</v>
      </c>
      <c r="L65" s="2" t="s">
        <v>139</v>
      </c>
      <c r="M65" s="2" t="s">
        <v>201</v>
      </c>
      <c r="N65" s="2" t="s">
        <v>39</v>
      </c>
      <c r="O65" s="2" t="s">
        <v>93</v>
      </c>
      <c r="P65" s="2" t="str">
        <f t="shared" si="0"/>
        <v>Sarah Taylor</v>
      </c>
      <c r="Q65" s="2" t="str">
        <f>IF(OR(PROPER(TRIM(tblOrders[[#This Row],[Region]]))="Nort",PROPER(TRIM(tblOrders[[#This Row],[Region]]))="Northh"),"North",PROPER(TRIM(tblOrders[[#This Row],[Region]])))</f>
        <v>North</v>
      </c>
      <c r="R65" s="2" t="str">
        <f t="shared" si="1"/>
        <v>Clothing</v>
      </c>
      <c r="S65" s="2" t="str">
        <f t="shared" si="2"/>
        <v>In-Store</v>
      </c>
      <c r="T65" s="2" t="str">
        <f t="shared" si="3"/>
        <v>Debit Card</v>
      </c>
      <c r="U65" s="2" t="str">
        <f t="shared" si="4"/>
        <v>Pending</v>
      </c>
      <c r="V65" s="2">
        <f t="shared" si="5"/>
        <v>9</v>
      </c>
      <c r="W65" s="2" t="str">
        <f t="shared" si="6"/>
        <v/>
      </c>
      <c r="X6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45341</v>
      </c>
      <c r="Y65" s="2">
        <f t="shared" si="7"/>
        <v>0.05</v>
      </c>
      <c r="Z65" s="2" t="str">
        <f>TRIM(CLEAN(tblOrders[[#This Row],[Notes]]))</f>
        <v>Bulk order - business account</v>
      </c>
      <c r="AA65" s="2" t="str">
        <f t="shared" si="8"/>
        <v>Review</v>
      </c>
      <c r="AB65" s="2">
        <f>IF(OR(tblOrders[[#This Row],[Quantity_Clean]]="",tblOrders[[#This Row],[UnitPrice_Clean]]=""),0,tblOrders[[#This Row],[Quantity_Clean]]*tblOrders[[#This Row],[UnitPrice_Clean]])</f>
        <v>0</v>
      </c>
      <c r="AC65" s="2" t="str">
        <f>UPPER(TRIM(tblOrders[[#This Row],[OrderID]]))</f>
        <v>ORD-1199</v>
      </c>
      <c r="AD65" s="2">
        <f>VALUE(RIGHT(tblOrders[[#This Row],[OrderID]],4))</f>
        <v>1199</v>
      </c>
      <c r="AE65" s="2" t="str">
        <f>TEXT(tblOrders[[#This Row],[OrderDate_Clean]],"mmm-yyyy")</f>
        <v>Feb-2024</v>
      </c>
      <c r="AF65" s="3">
        <f>EOMONTH(tblOrders[[#This Row],[OrderDate_Clean]],0)</f>
        <v>45351</v>
      </c>
      <c r="AG65" s="2" t="s">
        <v>916</v>
      </c>
      <c r="AH65" s="2">
        <f>IF(tblOrders[[#This Row],[Discount]]="",0,IF(ISNUMBER(tblOrders[[#This Row],[Discount]]),tblOrders[[#This Row],[Discount]],VALUE(SUBSTITUTE(TRIM(tblOrders[[#This Row],[Discount]]),"%",""))/100))</f>
        <v>0.05</v>
      </c>
    </row>
    <row r="66" spans="1:34" x14ac:dyDescent="0.25">
      <c r="A66" s="2" t="s">
        <v>172</v>
      </c>
      <c r="B66" s="2" t="s">
        <v>173</v>
      </c>
      <c r="C66" s="2" t="s">
        <v>174</v>
      </c>
      <c r="D66" s="2" t="s">
        <v>175</v>
      </c>
      <c r="E66" s="2" t="s">
        <v>32</v>
      </c>
      <c r="F66" s="2" t="s">
        <v>176</v>
      </c>
      <c r="G66" s="2" t="s">
        <v>177</v>
      </c>
      <c r="H66" s="2" t="s">
        <v>178</v>
      </c>
      <c r="I66" s="2">
        <v>10</v>
      </c>
      <c r="J66" s="2" t="s">
        <v>179</v>
      </c>
      <c r="K66" s="2" t="s">
        <v>85</v>
      </c>
      <c r="L66" s="2" t="s">
        <v>180</v>
      </c>
      <c r="M66" s="2" t="s">
        <v>25</v>
      </c>
      <c r="N66" s="2" t="s">
        <v>39</v>
      </c>
      <c r="O66" s="2" t="s">
        <v>40</v>
      </c>
      <c r="P66" s="2" t="str">
        <f t="shared" ref="P66:P129" si="9">PROPER(TRIM(C66))</f>
        <v>Daniel Taylor</v>
      </c>
      <c r="Q66" s="2" t="str">
        <f>IF(OR(PROPER(TRIM(tblOrders[[#This Row],[Region]]))="Nort",PROPER(TRIM(tblOrders[[#This Row],[Region]]))="Northh"),"North",PROPER(TRIM(tblOrders[[#This Row],[Region]])))</f>
        <v>North</v>
      </c>
      <c r="R66" s="2" t="str">
        <f t="shared" ref="R66:R129" si="10">IF(PROPER(TRIM(F66))="Cloth Ing","Clothing",IF(PROPER(TRIM(F66))="Electronic","Electronics",IF(PROPER(TRIM(F66))="Grocery","Groceries",SUBSTITUTE(PROPER(TRIM(F66)),"Stationary","Stationery"))))</f>
        <v>Electronics</v>
      </c>
      <c r="S66" s="2" t="str">
        <f t="shared" ref="S66:S129" si="11">IF(LOWER(TRIM(H66))="online","Online",IF(OR(LOWER(TRIM(H66))="in-store",LOWER(TRIM(H66))="in store",LOWER(TRIM(H66))="instore"),"In-Store",PROPER(TRIM(H66))))</f>
        <v>Online</v>
      </c>
      <c r="T66" s="2" t="str">
        <f t="shared" ref="T66:T129" si="12">IF(UPPER(TRIM(L66))="CC","Credit Card",PROPER(TRIM(L66)))</f>
        <v>Credit Card</v>
      </c>
      <c r="U66" s="2" t="str">
        <f t="shared" ref="U66:U129" si="13">IF(PROPER(TRIM(M66))="Complete","Completed",IF(PROPER(TRIM(M66))="Canceled","Cancelled",PROPER(TRIM(M66))))</f>
        <v>Completed</v>
      </c>
      <c r="V66" s="2">
        <f t="shared" ref="V66:V129" si="14">IFERROR(VALUE(TRIM(I66)),"")</f>
        <v>10</v>
      </c>
      <c r="W66" s="2">
        <f t="shared" ref="W66:W129" si="15">IFERROR(VALUE(SUBSTITUTE(TRIM(J66),"$","")),"")</f>
        <v>31.54</v>
      </c>
      <c r="X6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45636</v>
      </c>
      <c r="Y66" s="2" t="str">
        <f t="shared" ref="Y66:Y129" si="16">IF(K66="",0,K66)</f>
        <v>10%</v>
      </c>
      <c r="Z66" s="2" t="str">
        <f>TRIM(CLEAN(tblOrders[[#This Row],[Notes]]))</f>
        <v>VIP customer</v>
      </c>
      <c r="AA66" s="2" t="str">
        <f t="shared" ref="AA66:AA129" si="17">IF(OR(V66="",W66=""),"Review",IF(V66*W66&gt;=1000,"High Value","Standard"))</f>
        <v>Standard</v>
      </c>
      <c r="AB66" s="2">
        <f>IF(OR(tblOrders[[#This Row],[Quantity_Clean]]="",tblOrders[[#This Row],[UnitPrice_Clean]]=""),0,tblOrders[[#This Row],[Quantity_Clean]]*tblOrders[[#This Row],[UnitPrice_Clean]])</f>
        <v>315.39999999999998</v>
      </c>
      <c r="AC66" s="2" t="str">
        <f>UPPER(TRIM(tblOrders[[#This Row],[OrderID]]))</f>
        <v>ORD-1036</v>
      </c>
      <c r="AD66" s="2">
        <f>VALUE(RIGHT(tblOrders[[#This Row],[OrderID]],4))</f>
        <v>1036</v>
      </c>
      <c r="AE66" s="2" t="str">
        <f>TEXT(tblOrders[[#This Row],[OrderDate_Clean]],"mmm-yyyy")</f>
        <v>Dec-2024</v>
      </c>
      <c r="AF66" s="3">
        <f>EOMONTH(tblOrders[[#This Row],[OrderDate_Clean]],0)</f>
        <v>45657</v>
      </c>
      <c r="AG66" s="2" t="s">
        <v>893</v>
      </c>
      <c r="AH66" s="2">
        <f>IF(tblOrders[[#This Row],[Discount]]="",0,IF(ISNUMBER(tblOrders[[#This Row],[Discount]]),tblOrders[[#This Row],[Discount]],VALUE(SUBSTITUTE(TRIM(tblOrders[[#This Row],[Discount]]),"%",""))/100))</f>
        <v>0.1</v>
      </c>
    </row>
    <row r="67" spans="1:34" x14ac:dyDescent="0.25">
      <c r="A67" s="2" t="s">
        <v>561</v>
      </c>
      <c r="B67" s="2" t="s">
        <v>562</v>
      </c>
      <c r="C67" s="2" t="s">
        <v>382</v>
      </c>
      <c r="D67" s="2" t="s">
        <v>31</v>
      </c>
      <c r="E67" s="2" t="s">
        <v>76</v>
      </c>
      <c r="F67" s="2" t="s">
        <v>176</v>
      </c>
      <c r="G67" s="2" t="s">
        <v>177</v>
      </c>
      <c r="H67" s="2" t="s">
        <v>108</v>
      </c>
      <c r="I67" s="2">
        <v>10</v>
      </c>
      <c r="J67" s="2">
        <v>487.05</v>
      </c>
      <c r="K67" s="2">
        <v>0.05</v>
      </c>
      <c r="L67" s="2" t="s">
        <v>24</v>
      </c>
      <c r="M67" s="2" t="s">
        <v>70</v>
      </c>
      <c r="N67" s="2" t="s">
        <v>26</v>
      </c>
      <c r="O67" s="2" t="s">
        <v>126</v>
      </c>
      <c r="P67" s="2" t="str">
        <f t="shared" si="9"/>
        <v>Chen Farooq</v>
      </c>
      <c r="Q67" s="2" t="str">
        <f>IF(OR(PROPER(TRIM(tblOrders[[#This Row],[Region]]))="Nort",PROPER(TRIM(tblOrders[[#This Row],[Region]]))="Northh"),"North",PROPER(TRIM(tblOrders[[#This Row],[Region]])))</f>
        <v>North</v>
      </c>
      <c r="R67" s="2" t="str">
        <f t="shared" si="10"/>
        <v>Electronics</v>
      </c>
      <c r="S67" s="2" t="str">
        <f t="shared" si="11"/>
        <v>In-Store</v>
      </c>
      <c r="T67" s="2" t="str">
        <f t="shared" si="12"/>
        <v>Credit Card</v>
      </c>
      <c r="U67" s="2" t="str">
        <f t="shared" si="13"/>
        <v>Refunded</v>
      </c>
      <c r="V67" s="2">
        <f t="shared" si="14"/>
        <v>10</v>
      </c>
      <c r="W67" s="2">
        <f t="shared" si="15"/>
        <v>487.05</v>
      </c>
      <c r="X6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45535</v>
      </c>
      <c r="Y67" s="2">
        <f t="shared" si="16"/>
        <v>0.05</v>
      </c>
      <c r="Z67" s="2" t="str">
        <f>TRIM(CLEAN(tblOrders[[#This Row],[Notes]]))</f>
        <v>Gift wrap requested</v>
      </c>
      <c r="AA67" s="2" t="str">
        <f t="shared" si="17"/>
        <v>High Value</v>
      </c>
      <c r="AB67" s="2">
        <f>IF(OR(tblOrders[[#This Row],[Quantity_Clean]]="",tblOrders[[#This Row],[UnitPrice_Clean]]=""),0,tblOrders[[#This Row],[Quantity_Clean]]*tblOrders[[#This Row],[UnitPrice_Clean]])</f>
        <v>4870.5</v>
      </c>
      <c r="AC67" s="2" t="str">
        <f>UPPER(TRIM(tblOrders[[#This Row],[OrderID]]))</f>
        <v>ORD-1116</v>
      </c>
      <c r="AD67" s="2">
        <f>VALUE(RIGHT(tblOrders[[#This Row],[OrderID]],4))</f>
        <v>1116</v>
      </c>
      <c r="AE67" s="2" t="str">
        <f>TEXT(tblOrders[[#This Row],[OrderDate_Clean]],"mmm-yyyy")</f>
        <v>Aug-2024</v>
      </c>
      <c r="AF67" s="3">
        <f>EOMONTH(tblOrders[[#This Row],[OrderDate_Clean]],0)</f>
        <v>45535</v>
      </c>
      <c r="AG67" s="2" t="s">
        <v>917</v>
      </c>
      <c r="AH67" s="2">
        <f>IF(tblOrders[[#This Row],[Discount]]="",0,IF(ISNUMBER(tblOrders[[#This Row],[Discount]]),tblOrders[[#This Row],[Discount]],VALUE(SUBSTITUTE(TRIM(tblOrders[[#This Row],[Discount]]),"%",""))/100))</f>
        <v>0.05</v>
      </c>
    </row>
    <row r="68" spans="1:34" x14ac:dyDescent="0.25">
      <c r="A68" s="2" t="s">
        <v>716</v>
      </c>
      <c r="B68" s="2" t="s">
        <v>717</v>
      </c>
      <c r="C68" s="2" t="s">
        <v>718</v>
      </c>
      <c r="D68" s="2" t="s">
        <v>285</v>
      </c>
      <c r="E68" s="2" t="s">
        <v>199</v>
      </c>
      <c r="F68" s="2" t="s">
        <v>176</v>
      </c>
      <c r="G68" s="2" t="s">
        <v>100</v>
      </c>
      <c r="H68" s="2" t="s">
        <v>48</v>
      </c>
      <c r="I68" s="2">
        <v>1</v>
      </c>
      <c r="J68" s="2">
        <v>388.56</v>
      </c>
      <c r="K68" s="2">
        <v>0.1</v>
      </c>
      <c r="L68" s="2" t="s">
        <v>143</v>
      </c>
      <c r="M68" s="2" t="s">
        <v>70</v>
      </c>
      <c r="N68" s="2" t="s">
        <v>26</v>
      </c>
      <c r="O68" s="2" t="s">
        <v>87</v>
      </c>
      <c r="P68" s="2" t="str">
        <f t="shared" si="9"/>
        <v>Aisha Qureshi</v>
      </c>
      <c r="Q68" s="2" t="str">
        <f>IF(OR(PROPER(TRIM(tblOrders[[#This Row],[Region]]))="Nort",PROPER(TRIM(tblOrders[[#This Row],[Region]]))="Northh"),"North",PROPER(TRIM(tblOrders[[#This Row],[Region]])))</f>
        <v>North</v>
      </c>
      <c r="R68" s="2" t="str">
        <f t="shared" si="10"/>
        <v>Electronics</v>
      </c>
      <c r="S68" s="2" t="str">
        <f t="shared" si="11"/>
        <v>In-Store</v>
      </c>
      <c r="T68" s="2" t="str">
        <f t="shared" si="12"/>
        <v>Credit Card</v>
      </c>
      <c r="U68" s="2" t="str">
        <f t="shared" si="13"/>
        <v>Refunded</v>
      </c>
      <c r="V68" s="2">
        <f t="shared" si="14"/>
        <v>1</v>
      </c>
      <c r="W68" s="2">
        <f t="shared" si="15"/>
        <v>388.56</v>
      </c>
      <c r="X6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45511</v>
      </c>
      <c r="Y68" s="2">
        <f t="shared" si="16"/>
        <v>0.1</v>
      </c>
      <c r="Z68" s="2" t="str">
        <f>TRIM(CLEAN(tblOrders[[#This Row],[Notes]]))</f>
        <v>Damaged on arrival - replaced</v>
      </c>
      <c r="AA68" s="2" t="str">
        <f t="shared" si="17"/>
        <v>Standard</v>
      </c>
      <c r="AB68" s="2">
        <f>IF(OR(tblOrders[[#This Row],[Quantity_Clean]]="",tblOrders[[#This Row],[UnitPrice_Clean]]=""),0,tblOrders[[#This Row],[Quantity_Clean]]*tblOrders[[#This Row],[UnitPrice_Clean]])</f>
        <v>388.56</v>
      </c>
      <c r="AC68" s="2" t="str">
        <f>UPPER(TRIM(tblOrders[[#This Row],[OrderID]]))</f>
        <v>ORD-1214</v>
      </c>
      <c r="AD68" s="2">
        <f>VALUE(RIGHT(tblOrders[[#This Row],[OrderID]],4))</f>
        <v>1214</v>
      </c>
      <c r="AE68" s="2" t="str">
        <f>TEXT(tblOrders[[#This Row],[OrderDate_Clean]],"mmm-yyyy")</f>
        <v>Aug-2024</v>
      </c>
      <c r="AF68" s="3">
        <f>EOMONTH(tblOrders[[#This Row],[OrderDate_Clean]],0)</f>
        <v>45535</v>
      </c>
      <c r="AG68" s="2" t="s">
        <v>918</v>
      </c>
      <c r="AH68" s="2">
        <f>IF(tblOrders[[#This Row],[Discount]]="",0,IF(ISNUMBER(tblOrders[[#This Row],[Discount]]),tblOrders[[#This Row],[Discount]],VALUE(SUBSTITUTE(TRIM(tblOrders[[#This Row],[Discount]]),"%",""))/100))</f>
        <v>0.1</v>
      </c>
    </row>
    <row r="69" spans="1:34" x14ac:dyDescent="0.25">
      <c r="A69" s="2" t="s">
        <v>726</v>
      </c>
      <c r="B69" s="2" t="s">
        <v>696</v>
      </c>
      <c r="C69" s="2" t="s">
        <v>727</v>
      </c>
      <c r="D69" s="2" t="s">
        <v>152</v>
      </c>
      <c r="E69" s="2" t="s">
        <v>117</v>
      </c>
      <c r="F69" s="2" t="s">
        <v>176</v>
      </c>
      <c r="G69" s="2" t="s">
        <v>164</v>
      </c>
      <c r="H69" s="2" t="s">
        <v>22</v>
      </c>
      <c r="I69" s="2">
        <v>10</v>
      </c>
      <c r="J69" s="2">
        <v>255.77</v>
      </c>
      <c r="K69" s="2" t="s">
        <v>259</v>
      </c>
      <c r="L69" s="2" t="s">
        <v>143</v>
      </c>
      <c r="M69" s="2" t="s">
        <v>144</v>
      </c>
      <c r="N69" s="2" t="s">
        <v>71</v>
      </c>
      <c r="O69" s="2" t="s">
        <v>27</v>
      </c>
      <c r="P69" s="2" t="str">
        <f t="shared" si="9"/>
        <v>Tom Raza</v>
      </c>
      <c r="Q69" s="2" t="str">
        <f>IF(OR(PROPER(TRIM(tblOrders[[#This Row],[Region]]))="Nort",PROPER(TRIM(tblOrders[[#This Row],[Region]]))="Northh"),"North",PROPER(TRIM(tblOrders[[#This Row],[Region]])))</f>
        <v>East</v>
      </c>
      <c r="R69" s="2" t="str">
        <f t="shared" si="10"/>
        <v>Electronics</v>
      </c>
      <c r="S69" s="2" t="str">
        <f t="shared" si="11"/>
        <v>In-Store</v>
      </c>
      <c r="T69" s="2" t="str">
        <f t="shared" si="12"/>
        <v>Credit Card</v>
      </c>
      <c r="U69" s="2" t="str">
        <f t="shared" si="13"/>
        <v>Refunded</v>
      </c>
      <c r="V69" s="2">
        <f t="shared" si="14"/>
        <v>10</v>
      </c>
      <c r="W69" s="2">
        <f t="shared" si="15"/>
        <v>255.77</v>
      </c>
      <c r="X6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45651</v>
      </c>
      <c r="Y69" s="2" t="str">
        <f t="shared" si="16"/>
        <v>20%</v>
      </c>
      <c r="Z69" s="2" t="str">
        <f>TRIM(CLEAN(tblOrders[[#This Row],[Notes]]))</f>
        <v>Customer called twice</v>
      </c>
      <c r="AA69" s="2" t="str">
        <f t="shared" si="17"/>
        <v>High Value</v>
      </c>
      <c r="AB69" s="2">
        <f>IF(OR(tblOrders[[#This Row],[Quantity_Clean]]="",tblOrders[[#This Row],[UnitPrice_Clean]]=""),0,tblOrders[[#This Row],[Quantity_Clean]]*tblOrders[[#This Row],[UnitPrice_Clean]])</f>
        <v>2557.7000000000003</v>
      </c>
      <c r="AC69" s="2" t="str">
        <f>UPPER(TRIM(tblOrders[[#This Row],[OrderID]]))</f>
        <v>ORD-1124</v>
      </c>
      <c r="AD69" s="2">
        <f>VALUE(RIGHT(tblOrders[[#This Row],[OrderID]],4))</f>
        <v>1124</v>
      </c>
      <c r="AE69" s="2" t="str">
        <f>TEXT(tblOrders[[#This Row],[OrderDate_Clean]],"mmm-yyyy")</f>
        <v>Dec-2024</v>
      </c>
      <c r="AF69" s="3">
        <f>EOMONTH(tblOrders[[#This Row],[OrderDate_Clean]],0)</f>
        <v>45657</v>
      </c>
      <c r="AG69" s="2" t="s">
        <v>919</v>
      </c>
      <c r="AH69" s="2">
        <f>IF(tblOrders[[#This Row],[Discount]]="",0,IF(ISNUMBER(tblOrders[[#This Row],[Discount]]),tblOrders[[#This Row],[Discount]],VALUE(SUBSTITUTE(TRIM(tblOrders[[#This Row],[Discount]]),"%",""))/100))</f>
        <v>0.2</v>
      </c>
    </row>
    <row r="70" spans="1:34" x14ac:dyDescent="0.25">
      <c r="A70" s="2" t="s">
        <v>441</v>
      </c>
      <c r="B70" s="2" t="s">
        <v>442</v>
      </c>
      <c r="C70" s="2" t="s">
        <v>443</v>
      </c>
      <c r="D70" s="2" t="s">
        <v>224</v>
      </c>
      <c r="E70" s="2" t="s">
        <v>125</v>
      </c>
      <c r="F70" s="2" t="s">
        <v>176</v>
      </c>
      <c r="G70" s="2" t="s">
        <v>177</v>
      </c>
      <c r="H70" s="2" t="s">
        <v>35</v>
      </c>
      <c r="I70" s="2">
        <v>11</v>
      </c>
      <c r="J70" s="2"/>
      <c r="K70" s="2"/>
      <c r="L70" s="2" t="s">
        <v>79</v>
      </c>
      <c r="M70" s="2" t="s">
        <v>144</v>
      </c>
      <c r="N70" s="2" t="s">
        <v>50</v>
      </c>
      <c r="O70" s="2" t="s">
        <v>93</v>
      </c>
      <c r="P70" s="2" t="str">
        <f t="shared" si="9"/>
        <v>Sana Farooq</v>
      </c>
      <c r="Q70" s="2" t="str">
        <f>IF(OR(PROPER(TRIM(tblOrders[[#This Row],[Region]]))="Nort",PROPER(TRIM(tblOrders[[#This Row],[Region]]))="Northh"),"North",PROPER(TRIM(tblOrders[[#This Row],[Region]])))</f>
        <v>South</v>
      </c>
      <c r="R70" s="2" t="str">
        <f t="shared" si="10"/>
        <v>Electronics</v>
      </c>
      <c r="S70" s="2" t="str">
        <f t="shared" si="11"/>
        <v>In-Store</v>
      </c>
      <c r="T70" s="2" t="str">
        <f t="shared" si="12"/>
        <v>Cash</v>
      </c>
      <c r="U70" s="2" t="str">
        <f t="shared" si="13"/>
        <v>Refunded</v>
      </c>
      <c r="V70" s="2">
        <f t="shared" si="14"/>
        <v>11</v>
      </c>
      <c r="W70" s="2" t="str">
        <f t="shared" si="15"/>
        <v/>
      </c>
      <c r="X7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45407</v>
      </c>
      <c r="Y70" s="2">
        <f t="shared" si="16"/>
        <v>0</v>
      </c>
      <c r="Z70" s="2" t="str">
        <f>TRIM(CLEAN(tblOrders[[#This Row],[Notes]]))</f>
        <v>Bulk order - business account</v>
      </c>
      <c r="AA70" s="2" t="str">
        <f t="shared" si="17"/>
        <v>Review</v>
      </c>
      <c r="AB70" s="2">
        <f>IF(OR(tblOrders[[#This Row],[Quantity_Clean]]="",tblOrders[[#This Row],[UnitPrice_Clean]]=""),0,tblOrders[[#This Row],[Quantity_Clean]]*tblOrders[[#This Row],[UnitPrice_Clean]])</f>
        <v>0</v>
      </c>
      <c r="AC70" s="2" t="str">
        <f>UPPER(TRIM(tblOrders[[#This Row],[OrderID]]))</f>
        <v>ORD-1195</v>
      </c>
      <c r="AD70" s="2">
        <f>VALUE(RIGHT(tblOrders[[#This Row],[OrderID]],4))</f>
        <v>1195</v>
      </c>
      <c r="AE70" s="2" t="str">
        <f>TEXT(tblOrders[[#This Row],[OrderDate_Clean]],"mmm-yyyy")</f>
        <v>Apr-2024</v>
      </c>
      <c r="AF70" s="3">
        <f>EOMONTH(tblOrders[[#This Row],[OrderDate_Clean]],0)</f>
        <v>45412</v>
      </c>
      <c r="AG70" s="2" t="s">
        <v>920</v>
      </c>
      <c r="AH70" s="2">
        <f>IF(tblOrders[[#This Row],[Discount]]="",0,IF(ISNUMBER(tblOrders[[#This Row],[Discount]]),tblOrders[[#This Row],[Discount]],VALUE(SUBSTITUTE(TRIM(tblOrders[[#This Row],[Discount]]),"%",""))/100))</f>
        <v>0</v>
      </c>
    </row>
    <row r="71" spans="1:34" x14ac:dyDescent="0.25">
      <c r="A71" s="2" t="s">
        <v>94</v>
      </c>
      <c r="B71" s="2" t="s">
        <v>95</v>
      </c>
      <c r="C71" s="2" t="s">
        <v>96</v>
      </c>
      <c r="D71" s="2" t="s">
        <v>97</v>
      </c>
      <c r="E71" s="2" t="s">
        <v>98</v>
      </c>
      <c r="F71" s="2" t="s">
        <v>99</v>
      </c>
      <c r="G71" s="2" t="s">
        <v>100</v>
      </c>
      <c r="H71" s="2" t="s">
        <v>35</v>
      </c>
      <c r="I71" s="2">
        <v>11</v>
      </c>
      <c r="J71" s="2" t="s">
        <v>101</v>
      </c>
      <c r="K71" s="2">
        <v>0.2</v>
      </c>
      <c r="L71" s="2" t="s">
        <v>102</v>
      </c>
      <c r="M71" s="2" t="s">
        <v>86</v>
      </c>
      <c r="N71" s="2"/>
      <c r="O71" s="2" t="s">
        <v>40</v>
      </c>
      <c r="P71" s="2" t="str">
        <f t="shared" si="9"/>
        <v>Ahmed Brown</v>
      </c>
      <c r="Q71" s="2" t="str">
        <f>IF(OR(PROPER(TRIM(tblOrders[[#This Row],[Region]]))="Nort",PROPER(TRIM(tblOrders[[#This Row],[Region]]))="Northh"),"North",PROPER(TRIM(tblOrders[[#This Row],[Region]])))</f>
        <v>West</v>
      </c>
      <c r="R71" s="2" t="str">
        <f t="shared" si="10"/>
        <v>Electronics</v>
      </c>
      <c r="S71" s="2" t="str">
        <f t="shared" si="11"/>
        <v>In-Store</v>
      </c>
      <c r="T71" s="2" t="str">
        <f t="shared" si="12"/>
        <v>Cash</v>
      </c>
      <c r="U71" s="2" t="str">
        <f t="shared" si="13"/>
        <v>Completed</v>
      </c>
      <c r="V71" s="2">
        <f t="shared" si="14"/>
        <v>11</v>
      </c>
      <c r="W71" s="2">
        <f t="shared" si="15"/>
        <v>231.27</v>
      </c>
      <c r="X7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45555</v>
      </c>
      <c r="Y71" s="2">
        <f t="shared" si="16"/>
        <v>0.2</v>
      </c>
      <c r="Z71" s="2" t="str">
        <f>TRIM(CLEAN(tblOrders[[#This Row],[Notes]]))</f>
        <v>VIP customer</v>
      </c>
      <c r="AA71" s="2" t="str">
        <f t="shared" si="17"/>
        <v>High Value</v>
      </c>
      <c r="AB71" s="2">
        <f>IF(OR(tblOrders[[#This Row],[Quantity_Clean]]="",tblOrders[[#This Row],[UnitPrice_Clean]]=""),0,tblOrders[[#This Row],[Quantity_Clean]]*tblOrders[[#This Row],[UnitPrice_Clean]])</f>
        <v>2543.9700000000003</v>
      </c>
      <c r="AC71" s="2" t="str">
        <f>UPPER(TRIM(tblOrders[[#This Row],[OrderID]]))</f>
        <v>ORD-1076</v>
      </c>
      <c r="AD71" s="2">
        <f>VALUE(RIGHT(tblOrders[[#This Row],[OrderID]],4))</f>
        <v>1076</v>
      </c>
      <c r="AE71" s="2" t="str">
        <f>TEXT(tblOrders[[#This Row],[OrderDate_Clean]],"mmm-yyyy")</f>
        <v>Sep-2024</v>
      </c>
      <c r="AF71" s="3">
        <f>EOMONTH(tblOrders[[#This Row],[OrderDate_Clean]],0)</f>
        <v>45565</v>
      </c>
      <c r="AG71" s="2" t="s">
        <v>921</v>
      </c>
      <c r="AH71" s="2">
        <f>IF(tblOrders[[#This Row],[Discount]]="",0,IF(ISNUMBER(tblOrders[[#This Row],[Discount]]),tblOrders[[#This Row],[Discount]],VALUE(SUBSTITUTE(TRIM(tblOrders[[#This Row],[Discount]]),"%",""))/100))</f>
        <v>0.2</v>
      </c>
    </row>
    <row r="72" spans="1:34" x14ac:dyDescent="0.25">
      <c r="A72" s="2" t="s">
        <v>633</v>
      </c>
      <c r="B72" s="2" t="s">
        <v>634</v>
      </c>
      <c r="C72" s="2" t="s">
        <v>635</v>
      </c>
      <c r="D72" s="2" t="s">
        <v>175</v>
      </c>
      <c r="E72" s="2" t="s">
        <v>199</v>
      </c>
      <c r="F72" s="2" t="s">
        <v>163</v>
      </c>
      <c r="G72" s="2" t="s">
        <v>177</v>
      </c>
      <c r="H72" s="2" t="s">
        <v>35</v>
      </c>
      <c r="I72" s="2">
        <v>7</v>
      </c>
      <c r="J72" s="2" t="s">
        <v>636</v>
      </c>
      <c r="K72" s="2"/>
      <c r="L72" s="2" t="s">
        <v>37</v>
      </c>
      <c r="M72" s="2" t="s">
        <v>165</v>
      </c>
      <c r="N72" s="2" t="s">
        <v>26</v>
      </c>
      <c r="O72" s="2" t="s">
        <v>171</v>
      </c>
      <c r="P72" s="2" t="str">
        <f t="shared" si="9"/>
        <v>Bilal Johnson</v>
      </c>
      <c r="Q72" s="2" t="str">
        <f>IF(OR(PROPER(TRIM(tblOrders[[#This Row],[Region]]))="Nort",PROPER(TRIM(tblOrders[[#This Row],[Region]]))="Northh"),"North",PROPER(TRIM(tblOrders[[#This Row],[Region]])))</f>
        <v>North</v>
      </c>
      <c r="R72" s="2" t="str">
        <f t="shared" si="10"/>
        <v>Electronics</v>
      </c>
      <c r="S72" s="2" t="str">
        <f t="shared" si="11"/>
        <v>In-Store</v>
      </c>
      <c r="T72" s="2" t="str">
        <f t="shared" si="12"/>
        <v>Bank Transfer</v>
      </c>
      <c r="U72" s="2" t="str">
        <f t="shared" si="13"/>
        <v>Cancelled</v>
      </c>
      <c r="V72" s="2">
        <f t="shared" si="14"/>
        <v>7</v>
      </c>
      <c r="W72" s="2">
        <f t="shared" si="15"/>
        <v>20.260000000000002</v>
      </c>
      <c r="X7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45443</v>
      </c>
      <c r="Y72" s="2">
        <f t="shared" si="16"/>
        <v>0</v>
      </c>
      <c r="Z72" s="2" t="str">
        <f>TRIM(CLEAN(tblOrders[[#This Row],[Notes]]))</f>
        <v>Leave at front desk</v>
      </c>
      <c r="AA72" s="2" t="str">
        <f t="shared" si="17"/>
        <v>Standard</v>
      </c>
      <c r="AB72" s="2">
        <f>IF(OR(tblOrders[[#This Row],[Quantity_Clean]]="",tblOrders[[#This Row],[UnitPrice_Clean]]=""),0,tblOrders[[#This Row],[Quantity_Clean]]*tblOrders[[#This Row],[UnitPrice_Clean]])</f>
        <v>141.82000000000002</v>
      </c>
      <c r="AC72" s="2" t="str">
        <f>UPPER(TRIM(tblOrders[[#This Row],[OrderID]]))</f>
        <v>ORD-1202</v>
      </c>
      <c r="AD72" s="2">
        <f>VALUE(RIGHT(tblOrders[[#This Row],[OrderID]],4))</f>
        <v>1202</v>
      </c>
      <c r="AE72" s="2" t="str">
        <f>TEXT(tblOrders[[#This Row],[OrderDate_Clean]],"mmm-yyyy")</f>
        <v>May-2024</v>
      </c>
      <c r="AF72" s="3">
        <f>EOMONTH(tblOrders[[#This Row],[OrderDate_Clean]],0)</f>
        <v>45443</v>
      </c>
      <c r="AG72" s="2" t="s">
        <v>922</v>
      </c>
      <c r="AH72" s="2">
        <f>IF(tblOrders[[#This Row],[Discount]]="",0,IF(ISNUMBER(tblOrders[[#This Row],[Discount]]),tblOrders[[#This Row],[Discount]],VALUE(SUBSTITUTE(TRIM(tblOrders[[#This Row],[Discount]]),"%",""))/100))</f>
        <v>0</v>
      </c>
    </row>
    <row r="73" spans="1:34" x14ac:dyDescent="0.25">
      <c r="A73" s="2" t="s">
        <v>535</v>
      </c>
      <c r="B73" s="2" t="s">
        <v>536</v>
      </c>
      <c r="C73" s="2" t="s">
        <v>528</v>
      </c>
      <c r="D73" s="2" t="s">
        <v>212</v>
      </c>
      <c r="E73" s="2" t="s">
        <v>98</v>
      </c>
      <c r="F73" s="2" t="s">
        <v>99</v>
      </c>
      <c r="G73" s="2" t="s">
        <v>164</v>
      </c>
      <c r="H73" s="2" t="s">
        <v>195</v>
      </c>
      <c r="I73" s="2">
        <v>11</v>
      </c>
      <c r="J73" s="2" t="s">
        <v>537</v>
      </c>
      <c r="K73" s="2"/>
      <c r="L73" s="2" t="s">
        <v>37</v>
      </c>
      <c r="M73" s="2" t="s">
        <v>70</v>
      </c>
      <c r="N73" s="2" t="s">
        <v>71</v>
      </c>
      <c r="O73" s="2" t="s">
        <v>93</v>
      </c>
      <c r="P73" s="2" t="str">
        <f t="shared" si="9"/>
        <v>Zara Johnson</v>
      </c>
      <c r="Q73" s="2" t="str">
        <f>IF(OR(PROPER(TRIM(tblOrders[[#This Row],[Region]]))="Nort",PROPER(TRIM(tblOrders[[#This Row],[Region]]))="Northh"),"North",PROPER(TRIM(tblOrders[[#This Row],[Region]])))</f>
        <v>West</v>
      </c>
      <c r="R73" s="2" t="str">
        <f t="shared" si="10"/>
        <v>Electronics</v>
      </c>
      <c r="S73" s="2" t="str">
        <f t="shared" si="11"/>
        <v>In-Store</v>
      </c>
      <c r="T73" s="2" t="str">
        <f t="shared" si="12"/>
        <v>Bank Transfer</v>
      </c>
      <c r="U73" s="2" t="str">
        <f t="shared" si="13"/>
        <v>Refunded</v>
      </c>
      <c r="V73" s="2">
        <f t="shared" si="14"/>
        <v>11</v>
      </c>
      <c r="W73" s="2">
        <f t="shared" si="15"/>
        <v>150.28</v>
      </c>
      <c r="X7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45548</v>
      </c>
      <c r="Y73" s="2">
        <f t="shared" si="16"/>
        <v>0</v>
      </c>
      <c r="Z73" s="2" t="str">
        <f>TRIM(CLEAN(tblOrders[[#This Row],[Notes]]))</f>
        <v>Bulk order - business account</v>
      </c>
      <c r="AA73" s="2" t="str">
        <f t="shared" si="17"/>
        <v>High Value</v>
      </c>
      <c r="AB73" s="2">
        <f>IF(OR(tblOrders[[#This Row],[Quantity_Clean]]="",tblOrders[[#This Row],[UnitPrice_Clean]]=""),0,tblOrders[[#This Row],[Quantity_Clean]]*tblOrders[[#This Row],[UnitPrice_Clean]])</f>
        <v>1653.08</v>
      </c>
      <c r="AC73" s="2" t="str">
        <f>UPPER(TRIM(tblOrders[[#This Row],[OrderID]]))</f>
        <v>ORD-1006</v>
      </c>
      <c r="AD73" s="2">
        <f>VALUE(RIGHT(tblOrders[[#This Row],[OrderID]],4))</f>
        <v>1006</v>
      </c>
      <c r="AE73" s="2" t="str">
        <f>TEXT(tblOrders[[#This Row],[OrderDate_Clean]],"mmm-yyyy")</f>
        <v>Sep-2024</v>
      </c>
      <c r="AF73" s="3">
        <f>EOMONTH(tblOrders[[#This Row],[OrderDate_Clean]],0)</f>
        <v>45565</v>
      </c>
      <c r="AG73" s="2" t="s">
        <v>909</v>
      </c>
      <c r="AH73" s="2">
        <f>IF(tblOrders[[#This Row],[Discount]]="",0,IF(ISNUMBER(tblOrders[[#This Row],[Discount]]),tblOrders[[#This Row],[Discount]],VALUE(SUBSTITUTE(TRIM(tblOrders[[#This Row],[Discount]]),"%",""))/100))</f>
        <v>0</v>
      </c>
    </row>
    <row r="74" spans="1:34" x14ac:dyDescent="0.25">
      <c r="A74" s="2" t="s">
        <v>719</v>
      </c>
      <c r="B74" s="2" t="s">
        <v>720</v>
      </c>
      <c r="C74" s="2" t="s">
        <v>721</v>
      </c>
      <c r="D74" s="2" t="s">
        <v>152</v>
      </c>
      <c r="E74" s="2" t="s">
        <v>19</v>
      </c>
      <c r="F74" s="2" t="s">
        <v>83</v>
      </c>
      <c r="G74" s="2" t="s">
        <v>177</v>
      </c>
      <c r="H74" s="2" t="s">
        <v>178</v>
      </c>
      <c r="I74" s="2">
        <v>8</v>
      </c>
      <c r="J74" s="2" t="s">
        <v>722</v>
      </c>
      <c r="K74" s="2" t="s">
        <v>347</v>
      </c>
      <c r="L74" s="2" t="s">
        <v>69</v>
      </c>
      <c r="M74" s="2" t="s">
        <v>25</v>
      </c>
      <c r="N74" s="2" t="s">
        <v>111</v>
      </c>
      <c r="O74" s="2" t="s">
        <v>27</v>
      </c>
      <c r="P74" s="2" t="str">
        <f t="shared" si="9"/>
        <v>Michael Ahmed</v>
      </c>
      <c r="Q74" s="2" t="str">
        <f>IF(OR(PROPER(TRIM(tblOrders[[#This Row],[Region]]))="Nort",PROPER(TRIM(tblOrders[[#This Row],[Region]]))="Northh"),"North",PROPER(TRIM(tblOrders[[#This Row],[Region]])))</f>
        <v>East</v>
      </c>
      <c r="R74" s="2" t="str">
        <f t="shared" si="10"/>
        <v>Electronics</v>
      </c>
      <c r="S74" s="2" t="str">
        <f t="shared" si="11"/>
        <v>Online</v>
      </c>
      <c r="T74" s="2" t="str">
        <f t="shared" si="12"/>
        <v>Debit Card</v>
      </c>
      <c r="U74" s="2" t="str">
        <f t="shared" si="13"/>
        <v>Completed</v>
      </c>
      <c r="V74" s="2">
        <f t="shared" si="14"/>
        <v>8</v>
      </c>
      <c r="W74" s="2">
        <f t="shared" si="15"/>
        <v>316.73</v>
      </c>
      <c r="X7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45627</v>
      </c>
      <c r="Y74" s="2" t="str">
        <f t="shared" si="16"/>
        <v>15%</v>
      </c>
      <c r="Z74" s="2" t="str">
        <f>TRIM(CLEAN(tblOrders[[#This Row],[Notes]]))</f>
        <v>Customer called twice</v>
      </c>
      <c r="AA74" s="2" t="str">
        <f t="shared" si="17"/>
        <v>High Value</v>
      </c>
      <c r="AB74" s="2">
        <f>IF(OR(tblOrders[[#This Row],[Quantity_Clean]]="",tblOrders[[#This Row],[UnitPrice_Clean]]=""),0,tblOrders[[#This Row],[Quantity_Clean]]*tblOrders[[#This Row],[UnitPrice_Clean]])</f>
        <v>2533.84</v>
      </c>
      <c r="AC74" s="2" t="str">
        <f>UPPER(TRIM(tblOrders[[#This Row],[OrderID]]))</f>
        <v>ORD-1023</v>
      </c>
      <c r="AD74" s="2">
        <f>VALUE(RIGHT(tblOrders[[#This Row],[OrderID]],4))</f>
        <v>1023</v>
      </c>
      <c r="AE74" s="2" t="str">
        <f>TEXT(tblOrders[[#This Row],[OrderDate_Clean]],"mmm-yyyy")</f>
        <v>Dec-2024</v>
      </c>
      <c r="AF74" s="3">
        <f>EOMONTH(tblOrders[[#This Row],[OrderDate_Clean]],0)</f>
        <v>45657</v>
      </c>
      <c r="AG74" s="2" t="s">
        <v>908</v>
      </c>
      <c r="AH74" s="2">
        <f>IF(tblOrders[[#This Row],[Discount]]="",0,IF(ISNUMBER(tblOrders[[#This Row],[Discount]]),tblOrders[[#This Row],[Discount]],VALUE(SUBSTITUTE(TRIM(tblOrders[[#This Row],[Discount]]),"%",""))/100))</f>
        <v>0.15</v>
      </c>
    </row>
    <row r="75" spans="1:34" x14ac:dyDescent="0.25">
      <c r="A75" s="2" t="s">
        <v>461</v>
      </c>
      <c r="B75" s="2" t="s">
        <v>462</v>
      </c>
      <c r="C75" s="2" t="s">
        <v>463</v>
      </c>
      <c r="D75" s="2" t="s">
        <v>44</v>
      </c>
      <c r="E75" s="2" t="s">
        <v>125</v>
      </c>
      <c r="F75" s="2" t="s">
        <v>99</v>
      </c>
      <c r="G75" s="2" t="s">
        <v>84</v>
      </c>
      <c r="H75" s="2" t="s">
        <v>35</v>
      </c>
      <c r="I75" s="2">
        <v>8</v>
      </c>
      <c r="J75" s="2">
        <v>484.71</v>
      </c>
      <c r="K75" s="2">
        <v>0.15</v>
      </c>
      <c r="L75" s="2" t="s">
        <v>139</v>
      </c>
      <c r="M75" s="2" t="s">
        <v>201</v>
      </c>
      <c r="N75" s="2" t="s">
        <v>50</v>
      </c>
      <c r="O75" s="2" t="s">
        <v>40</v>
      </c>
      <c r="P75" s="2" t="str">
        <f t="shared" si="9"/>
        <v>John Wilson</v>
      </c>
      <c r="Q75" s="2" t="str">
        <f>IF(OR(PROPER(TRIM(tblOrders[[#This Row],[Region]]))="Nort",PROPER(TRIM(tblOrders[[#This Row],[Region]]))="Northh"),"North",PROPER(TRIM(tblOrders[[#This Row],[Region]])))</f>
        <v>South</v>
      </c>
      <c r="R75" s="2" t="str">
        <f t="shared" si="10"/>
        <v>Electronics</v>
      </c>
      <c r="S75" s="2" t="str">
        <f t="shared" si="11"/>
        <v>In-Store</v>
      </c>
      <c r="T75" s="2" t="str">
        <f t="shared" si="12"/>
        <v>Debit Card</v>
      </c>
      <c r="U75" s="2" t="str">
        <f t="shared" si="13"/>
        <v>Pending</v>
      </c>
      <c r="V75" s="2">
        <f t="shared" si="14"/>
        <v>8</v>
      </c>
      <c r="W75" s="2">
        <f t="shared" si="15"/>
        <v>484.71</v>
      </c>
      <c r="X7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45343</v>
      </c>
      <c r="Y75" s="2">
        <f t="shared" si="16"/>
        <v>0.15</v>
      </c>
      <c r="Z75" s="2" t="str">
        <f>TRIM(CLEAN(tblOrders[[#This Row],[Notes]]))</f>
        <v>VIP customer</v>
      </c>
      <c r="AA75" s="2" t="str">
        <f t="shared" si="17"/>
        <v>High Value</v>
      </c>
      <c r="AB75" s="2">
        <f>IF(OR(tblOrders[[#This Row],[Quantity_Clean]]="",tblOrders[[#This Row],[UnitPrice_Clean]]=""),0,tblOrders[[#This Row],[Quantity_Clean]]*tblOrders[[#This Row],[UnitPrice_Clean]])</f>
        <v>3877.68</v>
      </c>
      <c r="AC75" s="2" t="str">
        <f>UPPER(TRIM(tblOrders[[#This Row],[OrderID]]))</f>
        <v>ORD-1160</v>
      </c>
      <c r="AD75" s="2">
        <f>VALUE(RIGHT(tblOrders[[#This Row],[OrderID]],4))</f>
        <v>1160</v>
      </c>
      <c r="AE75" s="2" t="str">
        <f>TEXT(tblOrders[[#This Row],[OrderDate_Clean]],"mmm-yyyy")</f>
        <v>Feb-2024</v>
      </c>
      <c r="AF75" s="3">
        <f>EOMONTH(tblOrders[[#This Row],[OrderDate_Clean]],0)</f>
        <v>45351</v>
      </c>
      <c r="AG75" s="2" t="s">
        <v>895</v>
      </c>
      <c r="AH75" s="2">
        <f>IF(tblOrders[[#This Row],[Discount]]="",0,IF(ISNUMBER(tblOrders[[#This Row],[Discount]]),tblOrders[[#This Row],[Discount]],VALUE(SUBSTITUTE(TRIM(tblOrders[[#This Row],[Discount]]),"%",""))/100))</f>
        <v>0.15</v>
      </c>
    </row>
    <row r="76" spans="1:34" x14ac:dyDescent="0.25">
      <c r="A76" s="2" t="s">
        <v>676</v>
      </c>
      <c r="B76" s="2" t="s">
        <v>677</v>
      </c>
      <c r="C76" s="2" t="s">
        <v>678</v>
      </c>
      <c r="D76" s="2" t="s">
        <v>97</v>
      </c>
      <c r="E76" s="2" t="s">
        <v>98</v>
      </c>
      <c r="F76" s="2" t="s">
        <v>99</v>
      </c>
      <c r="G76" s="2" t="s">
        <v>100</v>
      </c>
      <c r="H76" s="2" t="s">
        <v>108</v>
      </c>
      <c r="I76" s="2">
        <v>5</v>
      </c>
      <c r="J76" s="2">
        <v>393.21</v>
      </c>
      <c r="K76" s="2"/>
      <c r="L76" s="2" t="s">
        <v>180</v>
      </c>
      <c r="M76" s="2" t="s">
        <v>38</v>
      </c>
      <c r="N76" s="2"/>
      <c r="O76" s="2"/>
      <c r="P76" s="2" t="str">
        <f t="shared" si="9"/>
        <v>David Sheikh</v>
      </c>
      <c r="Q76" s="2" t="str">
        <f>IF(OR(PROPER(TRIM(tblOrders[[#This Row],[Region]]))="Nort",PROPER(TRIM(tblOrders[[#This Row],[Region]]))="Northh"),"North",PROPER(TRIM(tblOrders[[#This Row],[Region]])))</f>
        <v>West</v>
      </c>
      <c r="R76" s="2" t="str">
        <f t="shared" si="10"/>
        <v>Electronics</v>
      </c>
      <c r="S76" s="2" t="str">
        <f t="shared" si="11"/>
        <v>In-Store</v>
      </c>
      <c r="T76" s="2" t="str">
        <f t="shared" si="12"/>
        <v>Credit Card</v>
      </c>
      <c r="U76" s="2" t="str">
        <f t="shared" si="13"/>
        <v>Cancelled</v>
      </c>
      <c r="V76" s="2">
        <f t="shared" si="14"/>
        <v>5</v>
      </c>
      <c r="W76" s="2">
        <f t="shared" si="15"/>
        <v>393.21</v>
      </c>
      <c r="X7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45648</v>
      </c>
      <c r="Y76" s="2">
        <f t="shared" si="16"/>
        <v>0</v>
      </c>
      <c r="Z76" s="2" t="str">
        <f>TRIM(CLEAN(tblOrders[[#This Row],[Notes]]))</f>
        <v/>
      </c>
      <c r="AA76" s="2" t="str">
        <f t="shared" si="17"/>
        <v>High Value</v>
      </c>
      <c r="AB76" s="2">
        <f>IF(OR(tblOrders[[#This Row],[Quantity_Clean]]="",tblOrders[[#This Row],[UnitPrice_Clean]]=""),0,tblOrders[[#This Row],[Quantity_Clean]]*tblOrders[[#This Row],[UnitPrice_Clean]])</f>
        <v>1966.05</v>
      </c>
      <c r="AC76" s="2" t="str">
        <f>UPPER(TRIM(tblOrders[[#This Row],[OrderID]]))</f>
        <v>ORD-1126</v>
      </c>
      <c r="AD76" s="2">
        <f>VALUE(RIGHT(tblOrders[[#This Row],[OrderID]],4))</f>
        <v>1126</v>
      </c>
      <c r="AE76" s="2" t="str">
        <f>TEXT(tblOrders[[#This Row],[OrderDate_Clean]],"mmm-yyyy")</f>
        <v>Dec-2024</v>
      </c>
      <c r="AF76" s="3">
        <f>EOMONTH(tblOrders[[#This Row],[OrderDate_Clean]],0)</f>
        <v>45657</v>
      </c>
      <c r="AG76" s="2" t="s">
        <v>882</v>
      </c>
      <c r="AH76" s="2">
        <f>IF(tblOrders[[#This Row],[Discount]]="",0,IF(ISNUMBER(tblOrders[[#This Row],[Discount]]),tblOrders[[#This Row],[Discount]],VALUE(SUBSTITUTE(TRIM(tblOrders[[#This Row],[Discount]]),"%",""))/100))</f>
        <v>0</v>
      </c>
    </row>
    <row r="77" spans="1:34" x14ac:dyDescent="0.25">
      <c r="A77" s="2" t="s">
        <v>217</v>
      </c>
      <c r="B77" s="2" t="s">
        <v>218</v>
      </c>
      <c r="C77" s="2" t="s">
        <v>219</v>
      </c>
      <c r="D77" s="2" t="s">
        <v>55</v>
      </c>
      <c r="E77" s="2" t="s">
        <v>32</v>
      </c>
      <c r="F77" s="2" t="s">
        <v>99</v>
      </c>
      <c r="G77" s="2" t="s">
        <v>220</v>
      </c>
      <c r="H77" s="2" t="s">
        <v>108</v>
      </c>
      <c r="I77" s="2" t="s">
        <v>169</v>
      </c>
      <c r="J77" s="2">
        <v>387.86</v>
      </c>
      <c r="K77" s="2"/>
      <c r="L77" s="2" t="s">
        <v>132</v>
      </c>
      <c r="M77" s="2" t="s">
        <v>208</v>
      </c>
      <c r="N77" s="2" t="s">
        <v>39</v>
      </c>
      <c r="O77" s="2" t="s">
        <v>126</v>
      </c>
      <c r="P77" s="2" t="str">
        <f t="shared" si="9"/>
        <v>Bilal Brown</v>
      </c>
      <c r="Q77" s="2" t="str">
        <f>IF(OR(PROPER(TRIM(tblOrders[[#This Row],[Region]]))="Nort",PROPER(TRIM(tblOrders[[#This Row],[Region]]))="Northh"),"North",PROPER(TRIM(tblOrders[[#This Row],[Region]])))</f>
        <v>North</v>
      </c>
      <c r="R77" s="2" t="str">
        <f t="shared" si="10"/>
        <v>Electronics</v>
      </c>
      <c r="S77" s="2" t="str">
        <f t="shared" si="11"/>
        <v>In-Store</v>
      </c>
      <c r="T77" s="2" t="str">
        <f t="shared" si="12"/>
        <v>Cash</v>
      </c>
      <c r="U77" s="2" t="str">
        <f t="shared" si="13"/>
        <v>Completed</v>
      </c>
      <c r="V77" s="2">
        <f t="shared" si="14"/>
        <v>5</v>
      </c>
      <c r="W77" s="2">
        <f t="shared" si="15"/>
        <v>387.86</v>
      </c>
      <c r="X7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45563</v>
      </c>
      <c r="Y77" s="2">
        <f t="shared" si="16"/>
        <v>0</v>
      </c>
      <c r="Z77" s="2" t="str">
        <f>TRIM(CLEAN(tblOrders[[#This Row],[Notes]]))</f>
        <v>Gift wrap requested</v>
      </c>
      <c r="AA77" s="2" t="str">
        <f t="shared" si="17"/>
        <v>High Value</v>
      </c>
      <c r="AB77" s="2">
        <f>IF(OR(tblOrders[[#This Row],[Quantity_Clean]]="",tblOrders[[#This Row],[UnitPrice_Clean]]=""),0,tblOrders[[#This Row],[Quantity_Clean]]*tblOrders[[#This Row],[UnitPrice_Clean]])</f>
        <v>1939.3000000000002</v>
      </c>
      <c r="AC77" s="2" t="str">
        <f>UPPER(TRIM(tblOrders[[#This Row],[OrderID]]))</f>
        <v>ORD-1138</v>
      </c>
      <c r="AD77" s="2">
        <f>VALUE(RIGHT(tblOrders[[#This Row],[OrderID]],4))</f>
        <v>1138</v>
      </c>
      <c r="AE77" s="2" t="str">
        <f>TEXT(tblOrders[[#This Row],[OrderDate_Clean]],"mmm-yyyy")</f>
        <v>Sep-2024</v>
      </c>
      <c r="AF77" s="3">
        <f>EOMONTH(tblOrders[[#This Row],[OrderDate_Clean]],0)</f>
        <v>45565</v>
      </c>
      <c r="AG77" s="2" t="s">
        <v>923</v>
      </c>
      <c r="AH77" s="2">
        <f>IF(tblOrders[[#This Row],[Discount]]="",0,IF(ISNUMBER(tblOrders[[#This Row],[Discount]]),tblOrders[[#This Row],[Discount]],VALUE(SUBSTITUTE(TRIM(tblOrders[[#This Row],[Discount]]),"%",""))/100))</f>
        <v>0</v>
      </c>
    </row>
    <row r="78" spans="1:34" x14ac:dyDescent="0.25">
      <c r="A78" s="2" t="s">
        <v>415</v>
      </c>
      <c r="B78" s="2" t="s">
        <v>416</v>
      </c>
      <c r="C78" s="2" t="s">
        <v>417</v>
      </c>
      <c r="D78" s="2" t="s">
        <v>18</v>
      </c>
      <c r="E78" s="2" t="s">
        <v>117</v>
      </c>
      <c r="F78" s="2" t="s">
        <v>163</v>
      </c>
      <c r="G78" s="2" t="s">
        <v>177</v>
      </c>
      <c r="H78" s="2" t="s">
        <v>22</v>
      </c>
      <c r="I78" s="2">
        <v>10</v>
      </c>
      <c r="J78" s="2">
        <v>350.13</v>
      </c>
      <c r="K78" s="2">
        <v>0</v>
      </c>
      <c r="L78" s="2" t="s">
        <v>132</v>
      </c>
      <c r="M78" s="2" t="s">
        <v>158</v>
      </c>
      <c r="N78" s="2" t="s">
        <v>39</v>
      </c>
      <c r="O78" s="2" t="s">
        <v>51</v>
      </c>
      <c r="P78" s="2" t="str">
        <f t="shared" si="9"/>
        <v>Laura Garcia</v>
      </c>
      <c r="Q78" s="2" t="str">
        <f>IF(OR(PROPER(TRIM(tblOrders[[#This Row],[Region]]))="Nort",PROPER(TRIM(tblOrders[[#This Row],[Region]]))="Northh"),"North",PROPER(TRIM(tblOrders[[#This Row],[Region]])))</f>
        <v>East</v>
      </c>
      <c r="R78" s="2" t="str">
        <f t="shared" si="10"/>
        <v>Electronics</v>
      </c>
      <c r="S78" s="2" t="str">
        <f t="shared" si="11"/>
        <v>In-Store</v>
      </c>
      <c r="T78" s="2" t="str">
        <f t="shared" si="12"/>
        <v>Cash</v>
      </c>
      <c r="U78" s="2" t="str">
        <f t="shared" si="13"/>
        <v>Pending</v>
      </c>
      <c r="V78" s="2">
        <f t="shared" si="14"/>
        <v>10</v>
      </c>
      <c r="W78" s="2">
        <f t="shared" si="15"/>
        <v>350.13</v>
      </c>
      <c r="X7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45339</v>
      </c>
      <c r="Y78" s="2">
        <f t="shared" si="16"/>
        <v>0</v>
      </c>
      <c r="Z78" s="2" t="str">
        <f>TRIM(CLEAN(tblOrders[[#This Row],[Notes]]))</f>
        <v/>
      </c>
      <c r="AA78" s="2" t="str">
        <f t="shared" si="17"/>
        <v>High Value</v>
      </c>
      <c r="AB78" s="2">
        <f>IF(OR(tblOrders[[#This Row],[Quantity_Clean]]="",tblOrders[[#This Row],[UnitPrice_Clean]]=""),0,tblOrders[[#This Row],[Quantity_Clean]]*tblOrders[[#This Row],[UnitPrice_Clean]])</f>
        <v>3501.3</v>
      </c>
      <c r="AC78" s="2" t="str">
        <f>UPPER(TRIM(tblOrders[[#This Row],[OrderID]]))</f>
        <v>ORD-1115</v>
      </c>
      <c r="AD78" s="2">
        <f>VALUE(RIGHT(tblOrders[[#This Row],[OrderID]],4))</f>
        <v>1115</v>
      </c>
      <c r="AE78" s="2" t="str">
        <f>TEXT(tblOrders[[#This Row],[OrderDate_Clean]],"mmm-yyyy")</f>
        <v>Feb-2024</v>
      </c>
      <c r="AF78" s="3">
        <f>EOMONTH(tblOrders[[#This Row],[OrderDate_Clean]],0)</f>
        <v>45351</v>
      </c>
      <c r="AG78" s="2" t="s">
        <v>897</v>
      </c>
      <c r="AH78" s="2">
        <f>IF(tblOrders[[#This Row],[Discount]]="",0,IF(ISNUMBER(tblOrders[[#This Row],[Discount]]),tblOrders[[#This Row],[Discount]],VALUE(SUBSTITUTE(TRIM(tblOrders[[#This Row],[Discount]]),"%",""))/100))</f>
        <v>0</v>
      </c>
    </row>
    <row r="79" spans="1:34" x14ac:dyDescent="0.25">
      <c r="A79" s="2" t="s">
        <v>723</v>
      </c>
      <c r="B79" s="2" t="s">
        <v>724</v>
      </c>
      <c r="C79" s="2" t="s">
        <v>725</v>
      </c>
      <c r="D79" s="2" t="s">
        <v>334</v>
      </c>
      <c r="E79" s="2" t="s">
        <v>45</v>
      </c>
      <c r="F79" s="2" t="s">
        <v>83</v>
      </c>
      <c r="G79" s="2" t="s">
        <v>177</v>
      </c>
      <c r="H79" s="2" t="s">
        <v>108</v>
      </c>
      <c r="I79" s="2" t="s">
        <v>23</v>
      </c>
      <c r="J79" s="2">
        <v>339.24</v>
      </c>
      <c r="K79" s="2" t="s">
        <v>347</v>
      </c>
      <c r="L79" s="2" t="s">
        <v>143</v>
      </c>
      <c r="M79" s="2" t="s">
        <v>25</v>
      </c>
      <c r="N79" s="2" t="s">
        <v>39</v>
      </c>
      <c r="O79" s="2" t="s">
        <v>112</v>
      </c>
      <c r="P79" s="2" t="str">
        <f t="shared" si="9"/>
        <v>Kevin Wilson</v>
      </c>
      <c r="Q79" s="2" t="str">
        <f>IF(OR(PROPER(TRIM(tblOrders[[#This Row],[Region]]))="Nort",PROPER(TRIM(tblOrders[[#This Row],[Region]]))="Northh"),"North",PROPER(TRIM(tblOrders[[#This Row],[Region]])))</f>
        <v>South</v>
      </c>
      <c r="R79" s="2" t="str">
        <f t="shared" si="10"/>
        <v>Electronics</v>
      </c>
      <c r="S79" s="2" t="str">
        <f t="shared" si="11"/>
        <v>In-Store</v>
      </c>
      <c r="T79" s="2" t="str">
        <f t="shared" si="12"/>
        <v>Credit Card</v>
      </c>
      <c r="U79" s="2" t="str">
        <f t="shared" si="13"/>
        <v>Completed</v>
      </c>
      <c r="V79" s="2">
        <f t="shared" si="14"/>
        <v>12</v>
      </c>
      <c r="W79" s="2">
        <f t="shared" si="15"/>
        <v>339.24</v>
      </c>
      <c r="X7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45357</v>
      </c>
      <c r="Y79" s="2" t="str">
        <f t="shared" si="16"/>
        <v>15%</v>
      </c>
      <c r="Z79" s="2" t="str">
        <f>TRIM(CLEAN(tblOrders[[#This Row],[Notes]]))</f>
        <v>Follow up needed</v>
      </c>
      <c r="AA79" s="2" t="str">
        <f t="shared" si="17"/>
        <v>High Value</v>
      </c>
      <c r="AB79" s="2">
        <f>IF(OR(tblOrders[[#This Row],[Quantity_Clean]]="",tblOrders[[#This Row],[UnitPrice_Clean]]=""),0,tblOrders[[#This Row],[Quantity_Clean]]*tblOrders[[#This Row],[UnitPrice_Clean]])</f>
        <v>4070.88</v>
      </c>
      <c r="AC79" s="2" t="str">
        <f>UPPER(TRIM(tblOrders[[#This Row],[OrderID]]))</f>
        <v>ORD-1211</v>
      </c>
      <c r="AD79" s="2">
        <f>VALUE(RIGHT(tblOrders[[#This Row],[OrderID]],4))</f>
        <v>1211</v>
      </c>
      <c r="AE79" s="2" t="str">
        <f>TEXT(tblOrders[[#This Row],[OrderDate_Clean]],"mmm-yyyy")</f>
        <v>Mar-2024</v>
      </c>
      <c r="AF79" s="3">
        <f>EOMONTH(tblOrders[[#This Row],[OrderDate_Clean]],0)</f>
        <v>45382</v>
      </c>
      <c r="AG79" s="2" t="s">
        <v>884</v>
      </c>
      <c r="AH79" s="2">
        <f>IF(tblOrders[[#This Row],[Discount]]="",0,IF(ISNUMBER(tblOrders[[#This Row],[Discount]]),tblOrders[[#This Row],[Discount]],VALUE(SUBSTITUTE(TRIM(tblOrders[[#This Row],[Discount]]),"%",""))/100))</f>
        <v>0.15</v>
      </c>
    </row>
    <row r="80" spans="1:34" x14ac:dyDescent="0.25">
      <c r="A80" s="2" t="s">
        <v>825</v>
      </c>
      <c r="B80" s="2" t="s">
        <v>826</v>
      </c>
      <c r="C80" s="2" t="s">
        <v>827</v>
      </c>
      <c r="D80" s="2" t="s">
        <v>258</v>
      </c>
      <c r="E80" s="2" t="s">
        <v>125</v>
      </c>
      <c r="F80" s="2" t="s">
        <v>83</v>
      </c>
      <c r="G80" s="2" t="s">
        <v>177</v>
      </c>
      <c r="H80" s="2" t="s">
        <v>108</v>
      </c>
      <c r="I80" s="2">
        <v>9</v>
      </c>
      <c r="J80" s="2">
        <v>301.98</v>
      </c>
      <c r="K80" s="2">
        <v>0.15</v>
      </c>
      <c r="L80" s="2" t="s">
        <v>180</v>
      </c>
      <c r="M80" s="2" t="s">
        <v>60</v>
      </c>
      <c r="N80" s="2"/>
      <c r="O80" s="2"/>
      <c r="P80" s="2" t="str">
        <f t="shared" si="9"/>
        <v>Sofia Clark</v>
      </c>
      <c r="Q80" s="2" t="str">
        <f>IF(OR(PROPER(TRIM(tblOrders[[#This Row],[Region]]))="Nort",PROPER(TRIM(tblOrders[[#This Row],[Region]]))="Northh"),"North",PROPER(TRIM(tblOrders[[#This Row],[Region]])))</f>
        <v>South</v>
      </c>
      <c r="R80" s="2" t="str">
        <f t="shared" si="10"/>
        <v>Electronics</v>
      </c>
      <c r="S80" s="2" t="str">
        <f t="shared" si="11"/>
        <v>In-Store</v>
      </c>
      <c r="T80" s="2" t="str">
        <f t="shared" si="12"/>
        <v>Credit Card</v>
      </c>
      <c r="U80" s="2" t="str">
        <f t="shared" si="13"/>
        <v>Completed</v>
      </c>
      <c r="V80" s="2">
        <f t="shared" si="14"/>
        <v>9</v>
      </c>
      <c r="W80" s="2">
        <f t="shared" si="15"/>
        <v>301.98</v>
      </c>
      <c r="X8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45405</v>
      </c>
      <c r="Y80" s="2">
        <f t="shared" si="16"/>
        <v>0.15</v>
      </c>
      <c r="Z80" s="2" t="str">
        <f>TRIM(CLEAN(tblOrders[[#This Row],[Notes]]))</f>
        <v/>
      </c>
      <c r="AA80" s="2" t="str">
        <f t="shared" si="17"/>
        <v>High Value</v>
      </c>
      <c r="AB80" s="2">
        <f>IF(OR(tblOrders[[#This Row],[Quantity_Clean]]="",tblOrders[[#This Row],[UnitPrice_Clean]]=""),0,tblOrders[[#This Row],[Quantity_Clean]]*tblOrders[[#This Row],[UnitPrice_Clean]])</f>
        <v>2717.82</v>
      </c>
      <c r="AC80" s="2" t="str">
        <f>UPPER(TRIM(tblOrders[[#This Row],[OrderID]]))</f>
        <v>ORD-1189</v>
      </c>
      <c r="AD80" s="2">
        <f>VALUE(RIGHT(tblOrders[[#This Row],[OrderID]],4))</f>
        <v>1189</v>
      </c>
      <c r="AE80" s="2" t="str">
        <f>TEXT(tblOrders[[#This Row],[OrderDate_Clean]],"mmm-yyyy")</f>
        <v>Apr-2024</v>
      </c>
      <c r="AF80" s="3">
        <f>EOMONTH(tblOrders[[#This Row],[OrderDate_Clean]],0)</f>
        <v>45412</v>
      </c>
      <c r="AG80" s="2" t="s">
        <v>891</v>
      </c>
      <c r="AH80" s="2">
        <f>IF(tblOrders[[#This Row],[Discount]]="",0,IF(ISNUMBER(tblOrders[[#This Row],[Discount]]),tblOrders[[#This Row],[Discount]],VALUE(SUBSTITUTE(TRIM(tblOrders[[#This Row],[Discount]]),"%",""))/100))</f>
        <v>0.15</v>
      </c>
    </row>
    <row r="81" spans="1:34" x14ac:dyDescent="0.25">
      <c r="A81" s="2" t="s">
        <v>80</v>
      </c>
      <c r="B81" s="2" t="s">
        <v>81</v>
      </c>
      <c r="C81" s="2" t="s">
        <v>82</v>
      </c>
      <c r="D81" s="2" t="s">
        <v>44</v>
      </c>
      <c r="E81" s="2" t="s">
        <v>45</v>
      </c>
      <c r="F81" s="2" t="s">
        <v>83</v>
      </c>
      <c r="G81" s="2" t="s">
        <v>84</v>
      </c>
      <c r="H81" s="2" t="s">
        <v>35</v>
      </c>
      <c r="I81" s="2">
        <v>10</v>
      </c>
      <c r="J81" s="2">
        <v>286.63</v>
      </c>
      <c r="K81" s="2" t="s">
        <v>85</v>
      </c>
      <c r="L81" s="2" t="s">
        <v>79</v>
      </c>
      <c r="M81" s="2" t="s">
        <v>86</v>
      </c>
      <c r="N81" s="2"/>
      <c r="O81" s="2" t="s">
        <v>87</v>
      </c>
      <c r="P81" s="2" t="str">
        <f t="shared" si="9"/>
        <v>Bilal Iqbal</v>
      </c>
      <c r="Q81" s="2" t="str">
        <f>IF(OR(PROPER(TRIM(tblOrders[[#This Row],[Region]]))="Nort",PROPER(TRIM(tblOrders[[#This Row],[Region]]))="Northh"),"North",PROPER(TRIM(tblOrders[[#This Row],[Region]])))</f>
        <v>South</v>
      </c>
      <c r="R81" s="2" t="str">
        <f t="shared" si="10"/>
        <v>Electronics</v>
      </c>
      <c r="S81" s="2" t="str">
        <f t="shared" si="11"/>
        <v>In-Store</v>
      </c>
      <c r="T81" s="2" t="str">
        <f t="shared" si="12"/>
        <v>Cash</v>
      </c>
      <c r="U81" s="2" t="str">
        <f t="shared" si="13"/>
        <v>Completed</v>
      </c>
      <c r="V81" s="2">
        <f t="shared" si="14"/>
        <v>10</v>
      </c>
      <c r="W81" s="2">
        <f t="shared" si="15"/>
        <v>286.63</v>
      </c>
      <c r="X8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45476</v>
      </c>
      <c r="Y81" s="2" t="str">
        <f t="shared" si="16"/>
        <v>10%</v>
      </c>
      <c r="Z81" s="2" t="str">
        <f>TRIM(CLEAN(tblOrders[[#This Row],[Notes]]))</f>
        <v>Damaged on arrival - replaced</v>
      </c>
      <c r="AA81" s="2" t="str">
        <f t="shared" si="17"/>
        <v>High Value</v>
      </c>
      <c r="AB81" s="2">
        <f>IF(OR(tblOrders[[#This Row],[Quantity_Clean]]="",tblOrders[[#This Row],[UnitPrice_Clean]]=""),0,tblOrders[[#This Row],[Quantity_Clean]]*tblOrders[[#This Row],[UnitPrice_Clean]])</f>
        <v>2866.3</v>
      </c>
      <c r="AC81" s="2" t="str">
        <f>UPPER(TRIM(tblOrders[[#This Row],[OrderID]]))</f>
        <v>ORD-1185</v>
      </c>
      <c r="AD81" s="2">
        <f>VALUE(RIGHT(tblOrders[[#This Row],[OrderID]],4))</f>
        <v>1185</v>
      </c>
      <c r="AE81" s="2" t="str">
        <f>TEXT(tblOrders[[#This Row],[OrderDate_Clean]],"mmm-yyyy")</f>
        <v>Jul-2024</v>
      </c>
      <c r="AF81" s="3">
        <f>EOMONTH(tblOrders[[#This Row],[OrderDate_Clean]],0)</f>
        <v>45504</v>
      </c>
      <c r="AG81" s="2" t="s">
        <v>923</v>
      </c>
      <c r="AH81" s="2">
        <f>IF(tblOrders[[#This Row],[Discount]]="",0,IF(ISNUMBER(tblOrders[[#This Row],[Discount]]),tblOrders[[#This Row],[Discount]],VALUE(SUBSTITUTE(TRIM(tblOrders[[#This Row],[Discount]]),"%",""))/100))</f>
        <v>0.1</v>
      </c>
    </row>
    <row r="82" spans="1:34" x14ac:dyDescent="0.25">
      <c r="A82" s="2" t="s">
        <v>713</v>
      </c>
      <c r="B82" s="2" t="s">
        <v>714</v>
      </c>
      <c r="C82" s="2" t="s">
        <v>715</v>
      </c>
      <c r="D82" s="2" t="s">
        <v>152</v>
      </c>
      <c r="E82" s="2" t="s">
        <v>19</v>
      </c>
      <c r="F82" s="2" t="s">
        <v>163</v>
      </c>
      <c r="G82" s="2" t="s">
        <v>220</v>
      </c>
      <c r="H82" s="2" t="s">
        <v>48</v>
      </c>
      <c r="I82" s="2">
        <v>7</v>
      </c>
      <c r="J82" s="2">
        <v>273.8</v>
      </c>
      <c r="K82" s="2">
        <v>0.05</v>
      </c>
      <c r="L82" s="2" t="s">
        <v>260</v>
      </c>
      <c r="M82" s="2" t="s">
        <v>170</v>
      </c>
      <c r="N82" s="2" t="s">
        <v>39</v>
      </c>
      <c r="O82" s="2" t="s">
        <v>171</v>
      </c>
      <c r="P82" s="2" t="str">
        <f t="shared" si="9"/>
        <v>Bilal Lee</v>
      </c>
      <c r="Q82" s="2" t="str">
        <f>IF(OR(PROPER(TRIM(tblOrders[[#This Row],[Region]]))="Nort",PROPER(TRIM(tblOrders[[#This Row],[Region]]))="Northh"),"North",PROPER(TRIM(tblOrders[[#This Row],[Region]])))</f>
        <v>East</v>
      </c>
      <c r="R82" s="2" t="str">
        <f t="shared" si="10"/>
        <v>Electronics</v>
      </c>
      <c r="S82" s="2" t="str">
        <f t="shared" si="11"/>
        <v>In-Store</v>
      </c>
      <c r="T82" s="2" t="str">
        <f t="shared" si="12"/>
        <v>Credit Card</v>
      </c>
      <c r="U82" s="2" t="str">
        <f t="shared" si="13"/>
        <v>Cancelled</v>
      </c>
      <c r="V82" s="2">
        <f t="shared" si="14"/>
        <v>7</v>
      </c>
      <c r="W82" s="2">
        <f t="shared" si="15"/>
        <v>273.8</v>
      </c>
      <c r="X8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45627</v>
      </c>
      <c r="Y82" s="2">
        <f t="shared" si="16"/>
        <v>0.05</v>
      </c>
      <c r="Z82" s="2" t="str">
        <f>TRIM(CLEAN(tblOrders[[#This Row],[Notes]]))</f>
        <v>Leave at front desk</v>
      </c>
      <c r="AA82" s="2" t="str">
        <f t="shared" si="17"/>
        <v>High Value</v>
      </c>
      <c r="AB82" s="2">
        <f>IF(OR(tblOrders[[#This Row],[Quantity_Clean]]="",tblOrders[[#This Row],[UnitPrice_Clean]]=""),0,tblOrders[[#This Row],[Quantity_Clean]]*tblOrders[[#This Row],[UnitPrice_Clean]])</f>
        <v>1916.6000000000001</v>
      </c>
      <c r="AC82" s="2" t="str">
        <f>UPPER(TRIM(tblOrders[[#This Row],[OrderID]]))</f>
        <v>ORD-1079</v>
      </c>
      <c r="AD82" s="2">
        <f>VALUE(RIGHT(tblOrders[[#This Row],[OrderID]],4))</f>
        <v>1079</v>
      </c>
      <c r="AE82" s="2" t="str">
        <f>TEXT(tblOrders[[#This Row],[OrderDate_Clean]],"mmm-yyyy")</f>
        <v>Dec-2024</v>
      </c>
      <c r="AF82" s="3">
        <f>EOMONTH(tblOrders[[#This Row],[OrderDate_Clean]],0)</f>
        <v>45657</v>
      </c>
      <c r="AG82" s="2" t="s">
        <v>924</v>
      </c>
      <c r="AH82" s="2">
        <f>IF(tblOrders[[#This Row],[Discount]]="",0,IF(ISNUMBER(tblOrders[[#This Row],[Discount]]),tblOrders[[#This Row],[Discount]],VALUE(SUBSTITUTE(TRIM(tblOrders[[#This Row],[Discount]]),"%",""))/100))</f>
        <v>0.05</v>
      </c>
    </row>
    <row r="83" spans="1:34" x14ac:dyDescent="0.25">
      <c r="A83" s="2" t="s">
        <v>613</v>
      </c>
      <c r="B83" s="2" t="s">
        <v>614</v>
      </c>
      <c r="C83" s="2" t="s">
        <v>615</v>
      </c>
      <c r="D83" s="2" t="s">
        <v>124</v>
      </c>
      <c r="E83" s="2" t="s">
        <v>125</v>
      </c>
      <c r="F83" s="2" t="s">
        <v>83</v>
      </c>
      <c r="G83" s="2" t="s">
        <v>100</v>
      </c>
      <c r="H83" s="2" t="s">
        <v>48</v>
      </c>
      <c r="I83" s="2">
        <v>2</v>
      </c>
      <c r="J83" s="2">
        <v>217.11</v>
      </c>
      <c r="K83" s="2"/>
      <c r="L83" s="2" t="s">
        <v>79</v>
      </c>
      <c r="M83" s="2" t="s">
        <v>92</v>
      </c>
      <c r="N83" s="2" t="s">
        <v>39</v>
      </c>
      <c r="O83" s="2" t="s">
        <v>112</v>
      </c>
      <c r="P83" s="2" t="str">
        <f t="shared" si="9"/>
        <v>Sana Qureshi</v>
      </c>
      <c r="Q83" s="2" t="str">
        <f>IF(OR(PROPER(TRIM(tblOrders[[#This Row],[Region]]))="Nort",PROPER(TRIM(tblOrders[[#This Row],[Region]]))="Northh"),"North",PROPER(TRIM(tblOrders[[#This Row],[Region]])))</f>
        <v>South</v>
      </c>
      <c r="R83" s="2" t="str">
        <f t="shared" si="10"/>
        <v>Electronics</v>
      </c>
      <c r="S83" s="2" t="str">
        <f t="shared" si="11"/>
        <v>In-Store</v>
      </c>
      <c r="T83" s="2" t="str">
        <f t="shared" si="12"/>
        <v>Cash</v>
      </c>
      <c r="U83" s="2" t="str">
        <f t="shared" si="13"/>
        <v>Cancelled</v>
      </c>
      <c r="V83" s="2">
        <f t="shared" si="14"/>
        <v>2</v>
      </c>
      <c r="W83" s="2">
        <f t="shared" si="15"/>
        <v>217.11</v>
      </c>
      <c r="X8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45461</v>
      </c>
      <c r="Y83" s="2">
        <f t="shared" si="16"/>
        <v>0</v>
      </c>
      <c r="Z83" s="2" t="str">
        <f>TRIM(CLEAN(tblOrders[[#This Row],[Notes]]))</f>
        <v>Follow up needed</v>
      </c>
      <c r="AA83" s="2" t="str">
        <f t="shared" si="17"/>
        <v>Standard</v>
      </c>
      <c r="AB83" s="2">
        <f>IF(OR(tblOrders[[#This Row],[Quantity_Clean]]="",tblOrders[[#This Row],[UnitPrice_Clean]]=""),0,tblOrders[[#This Row],[Quantity_Clean]]*tblOrders[[#This Row],[UnitPrice_Clean]])</f>
        <v>434.22</v>
      </c>
      <c r="AC83" s="2" t="str">
        <f>UPPER(TRIM(tblOrders[[#This Row],[OrderID]]))</f>
        <v>ORD-1196</v>
      </c>
      <c r="AD83" s="2">
        <f>VALUE(RIGHT(tblOrders[[#This Row],[OrderID]],4))</f>
        <v>1196</v>
      </c>
      <c r="AE83" s="2" t="str">
        <f>TEXT(tblOrders[[#This Row],[OrderDate_Clean]],"mmm-yyyy")</f>
        <v>Jun-2024</v>
      </c>
      <c r="AF83" s="3">
        <f>EOMONTH(tblOrders[[#This Row],[OrderDate_Clean]],0)</f>
        <v>45473</v>
      </c>
      <c r="AG83" s="2" t="s">
        <v>920</v>
      </c>
      <c r="AH83" s="2">
        <f>IF(tblOrders[[#This Row],[Discount]]="",0,IF(ISNUMBER(tblOrders[[#This Row],[Discount]]),tblOrders[[#This Row],[Discount]],VALUE(SUBSTITUTE(TRIM(tblOrders[[#This Row],[Discount]]),"%",""))/100))</f>
        <v>0</v>
      </c>
    </row>
    <row r="84" spans="1:34" x14ac:dyDescent="0.25">
      <c r="A84" s="2" t="s">
        <v>613</v>
      </c>
      <c r="B84" s="2" t="s">
        <v>614</v>
      </c>
      <c r="C84" s="2" t="s">
        <v>688</v>
      </c>
      <c r="D84" s="2" t="s">
        <v>124</v>
      </c>
      <c r="E84" s="2" t="s">
        <v>125</v>
      </c>
      <c r="F84" s="2" t="s">
        <v>83</v>
      </c>
      <c r="G84" s="2" t="s">
        <v>100</v>
      </c>
      <c r="H84" s="2" t="s">
        <v>48</v>
      </c>
      <c r="I84" s="2">
        <v>2</v>
      </c>
      <c r="J84" s="2">
        <v>217.11</v>
      </c>
      <c r="K84" s="2"/>
      <c r="L84" s="2" t="s">
        <v>79</v>
      </c>
      <c r="M84" s="2" t="s">
        <v>92</v>
      </c>
      <c r="N84" s="2" t="s">
        <v>39</v>
      </c>
      <c r="O84" s="2" t="s">
        <v>112</v>
      </c>
      <c r="P84" s="2" t="str">
        <f t="shared" si="9"/>
        <v>Sana Qureshi</v>
      </c>
      <c r="Q84" s="2" t="str">
        <f>IF(OR(PROPER(TRIM(tblOrders[[#This Row],[Region]]))="Nort",PROPER(TRIM(tblOrders[[#This Row],[Region]]))="Northh"),"North",PROPER(TRIM(tblOrders[[#This Row],[Region]])))</f>
        <v>South</v>
      </c>
      <c r="R84" s="2" t="str">
        <f t="shared" si="10"/>
        <v>Electronics</v>
      </c>
      <c r="S84" s="2" t="str">
        <f t="shared" si="11"/>
        <v>In-Store</v>
      </c>
      <c r="T84" s="2" t="str">
        <f t="shared" si="12"/>
        <v>Cash</v>
      </c>
      <c r="U84" s="2" t="str">
        <f t="shared" si="13"/>
        <v>Cancelled</v>
      </c>
      <c r="V84" s="2">
        <f t="shared" si="14"/>
        <v>2</v>
      </c>
      <c r="W84" s="2">
        <f t="shared" si="15"/>
        <v>217.11</v>
      </c>
      <c r="X8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45461</v>
      </c>
      <c r="Y84" s="2">
        <f t="shared" si="16"/>
        <v>0</v>
      </c>
      <c r="Z84" s="2" t="str">
        <f>TRIM(CLEAN(tblOrders[[#This Row],[Notes]]))</f>
        <v>Follow up needed</v>
      </c>
      <c r="AA84" s="2" t="str">
        <f t="shared" si="17"/>
        <v>Standard</v>
      </c>
      <c r="AB84" s="2">
        <f>IF(OR(tblOrders[[#This Row],[Quantity_Clean]]="",tblOrders[[#This Row],[UnitPrice_Clean]]=""),0,tblOrders[[#This Row],[Quantity_Clean]]*tblOrders[[#This Row],[UnitPrice_Clean]])</f>
        <v>434.22</v>
      </c>
      <c r="AC84" s="2" t="str">
        <f>UPPER(TRIM(tblOrders[[#This Row],[OrderID]]))</f>
        <v>ORD-1196</v>
      </c>
      <c r="AD84" s="2">
        <f>VALUE(RIGHT(tblOrders[[#This Row],[OrderID]],4))</f>
        <v>1196</v>
      </c>
      <c r="AE84" s="2" t="str">
        <f>TEXT(tblOrders[[#This Row],[OrderDate_Clean]],"mmm-yyyy")</f>
        <v>Jun-2024</v>
      </c>
      <c r="AF84" s="3">
        <f>EOMONTH(tblOrders[[#This Row],[OrderDate_Clean]],0)</f>
        <v>45473</v>
      </c>
      <c r="AG84" s="2" t="s">
        <v>925</v>
      </c>
      <c r="AH84" s="2">
        <f>IF(tblOrders[[#This Row],[Discount]]="",0,IF(ISNUMBER(tblOrders[[#This Row],[Discount]]),tblOrders[[#This Row],[Discount]],VALUE(SUBSTITUTE(TRIM(tblOrders[[#This Row],[Discount]]),"%",""))/100))</f>
        <v>0</v>
      </c>
    </row>
    <row r="85" spans="1:34" x14ac:dyDescent="0.25">
      <c r="A85" s="2" t="s">
        <v>455</v>
      </c>
      <c r="B85" s="2" t="s">
        <v>456</v>
      </c>
      <c r="C85" s="2" t="s">
        <v>457</v>
      </c>
      <c r="D85" s="2" t="s">
        <v>55</v>
      </c>
      <c r="E85" s="2" t="s">
        <v>76</v>
      </c>
      <c r="F85" s="2" t="s">
        <v>83</v>
      </c>
      <c r="G85" s="2" t="s">
        <v>177</v>
      </c>
      <c r="H85" s="2" t="s">
        <v>195</v>
      </c>
      <c r="I85" s="2">
        <v>9</v>
      </c>
      <c r="J85" s="2">
        <v>210.67</v>
      </c>
      <c r="K85" s="2">
        <v>0.15</v>
      </c>
      <c r="L85" s="2" t="s">
        <v>102</v>
      </c>
      <c r="M85" s="2" t="s">
        <v>208</v>
      </c>
      <c r="N85" s="2" t="s">
        <v>50</v>
      </c>
      <c r="O85" s="2" t="s">
        <v>93</v>
      </c>
      <c r="P85" s="2" t="str">
        <f t="shared" si="9"/>
        <v>John Farooq</v>
      </c>
      <c r="Q85" s="2" t="str">
        <f>IF(OR(PROPER(TRIM(tblOrders[[#This Row],[Region]]))="Nort",PROPER(TRIM(tblOrders[[#This Row],[Region]]))="Northh"),"North",PROPER(TRIM(tblOrders[[#This Row],[Region]])))</f>
        <v>North</v>
      </c>
      <c r="R85" s="2" t="str">
        <f t="shared" si="10"/>
        <v>Electronics</v>
      </c>
      <c r="S85" s="2" t="str">
        <f t="shared" si="11"/>
        <v>In-Store</v>
      </c>
      <c r="T85" s="2" t="str">
        <f t="shared" si="12"/>
        <v>Cash</v>
      </c>
      <c r="U85" s="2" t="str">
        <f t="shared" si="13"/>
        <v>Completed</v>
      </c>
      <c r="V85" s="2">
        <f t="shared" si="14"/>
        <v>9</v>
      </c>
      <c r="W85" s="2">
        <f t="shared" si="15"/>
        <v>210.67</v>
      </c>
      <c r="X8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45389</v>
      </c>
      <c r="Y85" s="2">
        <f t="shared" si="16"/>
        <v>0.15</v>
      </c>
      <c r="Z85" s="2" t="str">
        <f>TRIM(CLEAN(tblOrders[[#This Row],[Notes]]))</f>
        <v>Bulk order - business account</v>
      </c>
      <c r="AA85" s="2" t="str">
        <f t="shared" si="17"/>
        <v>High Value</v>
      </c>
      <c r="AB85" s="2">
        <f>IF(OR(tblOrders[[#This Row],[Quantity_Clean]]="",tblOrders[[#This Row],[UnitPrice_Clean]]=""),0,tblOrders[[#This Row],[Quantity_Clean]]*tblOrders[[#This Row],[UnitPrice_Clean]])</f>
        <v>1896.03</v>
      </c>
      <c r="AC85" s="2" t="str">
        <f>UPPER(TRIM(tblOrders[[#This Row],[OrderID]]))</f>
        <v>ORD-1043</v>
      </c>
      <c r="AD85" s="2">
        <f>VALUE(RIGHT(tblOrders[[#This Row],[OrderID]],4))</f>
        <v>1043</v>
      </c>
      <c r="AE85" s="2" t="str">
        <f>TEXT(tblOrders[[#This Row],[OrderDate_Clean]],"mmm-yyyy")</f>
        <v>Apr-2024</v>
      </c>
      <c r="AF85" s="3">
        <f>EOMONTH(tblOrders[[#This Row],[OrderDate_Clean]],0)</f>
        <v>45412</v>
      </c>
      <c r="AG85" s="2" t="s">
        <v>926</v>
      </c>
      <c r="AH85" s="2">
        <f>IF(tblOrders[[#This Row],[Discount]]="",0,IF(ISNUMBER(tblOrders[[#This Row],[Discount]]),tblOrders[[#This Row],[Discount]],VALUE(SUBSTITUTE(TRIM(tblOrders[[#This Row],[Discount]]),"%",""))/100))</f>
        <v>0.15</v>
      </c>
    </row>
    <row r="86" spans="1:34" x14ac:dyDescent="0.25">
      <c r="A86" s="2" t="s">
        <v>610</v>
      </c>
      <c r="B86" s="2" t="s">
        <v>611</v>
      </c>
      <c r="C86" s="2" t="s">
        <v>612</v>
      </c>
      <c r="D86" s="2" t="s">
        <v>97</v>
      </c>
      <c r="E86" s="2" t="s">
        <v>98</v>
      </c>
      <c r="F86" s="2" t="s">
        <v>163</v>
      </c>
      <c r="G86" s="2" t="s">
        <v>164</v>
      </c>
      <c r="H86" s="2" t="s">
        <v>195</v>
      </c>
      <c r="I86" s="2">
        <v>11</v>
      </c>
      <c r="J86" s="2">
        <v>204.19</v>
      </c>
      <c r="K86" s="2"/>
      <c r="L86" s="2" t="s">
        <v>69</v>
      </c>
      <c r="M86" s="2" t="s">
        <v>158</v>
      </c>
      <c r="N86" s="2" t="s">
        <v>50</v>
      </c>
      <c r="O86" s="2" t="s">
        <v>171</v>
      </c>
      <c r="P86" s="2" t="str">
        <f t="shared" si="9"/>
        <v>Hina Garcia</v>
      </c>
      <c r="Q86" s="2" t="str">
        <f>IF(OR(PROPER(TRIM(tblOrders[[#This Row],[Region]]))="Nort",PROPER(TRIM(tblOrders[[#This Row],[Region]]))="Northh"),"North",PROPER(TRIM(tblOrders[[#This Row],[Region]])))</f>
        <v>West</v>
      </c>
      <c r="R86" s="2" t="str">
        <f t="shared" si="10"/>
        <v>Electronics</v>
      </c>
      <c r="S86" s="2" t="str">
        <f t="shared" si="11"/>
        <v>In-Store</v>
      </c>
      <c r="T86" s="2" t="str">
        <f t="shared" si="12"/>
        <v>Debit Card</v>
      </c>
      <c r="U86" s="2" t="str">
        <f t="shared" si="13"/>
        <v>Pending</v>
      </c>
      <c r="V86" s="2">
        <f t="shared" si="14"/>
        <v>11</v>
      </c>
      <c r="W86" s="2">
        <f t="shared" si="15"/>
        <v>204.19</v>
      </c>
      <c r="X8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45638</v>
      </c>
      <c r="Y86" s="2">
        <f t="shared" si="16"/>
        <v>0</v>
      </c>
      <c r="Z86" s="2" t="str">
        <f>TRIM(CLEAN(tblOrders[[#This Row],[Notes]]))</f>
        <v>Leave at front desk</v>
      </c>
      <c r="AA86" s="2" t="str">
        <f t="shared" si="17"/>
        <v>High Value</v>
      </c>
      <c r="AB86" s="2">
        <f>IF(OR(tblOrders[[#This Row],[Quantity_Clean]]="",tblOrders[[#This Row],[UnitPrice_Clean]]=""),0,tblOrders[[#This Row],[Quantity_Clean]]*tblOrders[[#This Row],[UnitPrice_Clean]])</f>
        <v>2246.09</v>
      </c>
      <c r="AC86" s="2" t="str">
        <f>UPPER(TRIM(tblOrders[[#This Row],[OrderID]]))</f>
        <v>ORD-1021</v>
      </c>
      <c r="AD86" s="2">
        <f>VALUE(RIGHT(tblOrders[[#This Row],[OrderID]],4))</f>
        <v>1021</v>
      </c>
      <c r="AE86" s="2" t="str">
        <f>TEXT(tblOrders[[#This Row],[OrderDate_Clean]],"mmm-yyyy")</f>
        <v>Dec-2024</v>
      </c>
      <c r="AF86" s="3">
        <f>EOMONTH(tblOrders[[#This Row],[OrderDate_Clean]],0)</f>
        <v>45657</v>
      </c>
      <c r="AG86" s="2" t="s">
        <v>910</v>
      </c>
      <c r="AH86" s="2">
        <f>IF(tblOrders[[#This Row],[Discount]]="",0,IF(ISNUMBER(tblOrders[[#This Row],[Discount]]),tblOrders[[#This Row],[Discount]],VALUE(SUBSTITUTE(TRIM(tblOrders[[#This Row],[Discount]]),"%",""))/100))</f>
        <v>0</v>
      </c>
    </row>
    <row r="87" spans="1:34" x14ac:dyDescent="0.25">
      <c r="A87" s="2" t="s">
        <v>698</v>
      </c>
      <c r="B87" s="2" t="s">
        <v>699</v>
      </c>
      <c r="C87" s="2" t="s">
        <v>700</v>
      </c>
      <c r="D87" s="2" t="s">
        <v>18</v>
      </c>
      <c r="E87" s="2" t="s">
        <v>19</v>
      </c>
      <c r="F87" s="2" t="s">
        <v>83</v>
      </c>
      <c r="G87" s="2" t="s">
        <v>220</v>
      </c>
      <c r="H87" s="2" t="s">
        <v>178</v>
      </c>
      <c r="I87" s="2">
        <v>4</v>
      </c>
      <c r="J87" s="2">
        <v>193.16</v>
      </c>
      <c r="K87" s="2">
        <v>0.05</v>
      </c>
      <c r="L87" s="2" t="s">
        <v>139</v>
      </c>
      <c r="M87" s="2" t="s">
        <v>170</v>
      </c>
      <c r="N87" s="2" t="s">
        <v>111</v>
      </c>
      <c r="O87" s="2" t="s">
        <v>27</v>
      </c>
      <c r="P87" s="2" t="str">
        <f t="shared" si="9"/>
        <v>Yusuf Anderson</v>
      </c>
      <c r="Q87" s="2" t="str">
        <f>IF(OR(PROPER(TRIM(tblOrders[[#This Row],[Region]]))="Nort",PROPER(TRIM(tblOrders[[#This Row],[Region]]))="Northh"),"North",PROPER(TRIM(tblOrders[[#This Row],[Region]])))</f>
        <v>East</v>
      </c>
      <c r="R87" s="2" t="str">
        <f t="shared" si="10"/>
        <v>Electronics</v>
      </c>
      <c r="S87" s="2" t="str">
        <f t="shared" si="11"/>
        <v>Online</v>
      </c>
      <c r="T87" s="2" t="str">
        <f t="shared" si="12"/>
        <v>Debit Card</v>
      </c>
      <c r="U87" s="2" t="str">
        <f t="shared" si="13"/>
        <v>Cancelled</v>
      </c>
      <c r="V87" s="2">
        <f t="shared" si="14"/>
        <v>4</v>
      </c>
      <c r="W87" s="2">
        <f t="shared" si="15"/>
        <v>193.16</v>
      </c>
      <c r="X8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45635</v>
      </c>
      <c r="Y87" s="2">
        <f t="shared" si="16"/>
        <v>0.05</v>
      </c>
      <c r="Z87" s="2" t="str">
        <f>TRIM(CLEAN(tblOrders[[#This Row],[Notes]]))</f>
        <v>Customer called twice</v>
      </c>
      <c r="AA87" s="2" t="str">
        <f t="shared" si="17"/>
        <v>Standard</v>
      </c>
      <c r="AB87" s="2">
        <f>IF(OR(tblOrders[[#This Row],[Quantity_Clean]]="",tblOrders[[#This Row],[UnitPrice_Clean]]=""),0,tblOrders[[#This Row],[Quantity_Clean]]*tblOrders[[#This Row],[UnitPrice_Clean]])</f>
        <v>772.64</v>
      </c>
      <c r="AC87" s="2" t="str">
        <f>UPPER(TRIM(tblOrders[[#This Row],[OrderID]]))</f>
        <v>ORD-1003</v>
      </c>
      <c r="AD87" s="2">
        <f>VALUE(RIGHT(tblOrders[[#This Row],[OrderID]],4))</f>
        <v>1003</v>
      </c>
      <c r="AE87" s="2" t="str">
        <f>TEXT(tblOrders[[#This Row],[OrderDate_Clean]],"mmm-yyyy")</f>
        <v>Dec-2024</v>
      </c>
      <c r="AF87" s="3">
        <f>EOMONTH(tblOrders[[#This Row],[OrderDate_Clean]],0)</f>
        <v>45657</v>
      </c>
      <c r="AG87" s="2" t="s">
        <v>906</v>
      </c>
      <c r="AH87" s="2">
        <f>IF(tblOrders[[#This Row],[Discount]]="",0,IF(ISNUMBER(tblOrders[[#This Row],[Discount]]),tblOrders[[#This Row],[Discount]],VALUE(SUBSTITUTE(TRIM(tblOrders[[#This Row],[Discount]]),"%",""))/100))</f>
        <v>0.05</v>
      </c>
    </row>
    <row r="88" spans="1:34" x14ac:dyDescent="0.25">
      <c r="A88" s="2" t="s">
        <v>300</v>
      </c>
      <c r="B88" s="2" t="s">
        <v>301</v>
      </c>
      <c r="C88" s="2" t="s">
        <v>302</v>
      </c>
      <c r="D88" s="2" t="s">
        <v>194</v>
      </c>
      <c r="E88" s="2" t="s">
        <v>65</v>
      </c>
      <c r="F88" s="2" t="s">
        <v>99</v>
      </c>
      <c r="G88" s="2" t="s">
        <v>220</v>
      </c>
      <c r="H88" s="2" t="s">
        <v>200</v>
      </c>
      <c r="I88" s="2">
        <v>8</v>
      </c>
      <c r="J88" s="2">
        <v>151.53</v>
      </c>
      <c r="K88" s="2"/>
      <c r="L88" s="2" t="s">
        <v>281</v>
      </c>
      <c r="M88" s="2" t="s">
        <v>86</v>
      </c>
      <c r="N88" s="2" t="s">
        <v>71</v>
      </c>
      <c r="O88" s="2" t="s">
        <v>51</v>
      </c>
      <c r="P88" s="2" t="str">
        <f t="shared" si="9"/>
        <v>Kate Lewis</v>
      </c>
      <c r="Q88" s="2" t="str">
        <f>IF(OR(PROPER(TRIM(tblOrders[[#This Row],[Region]]))="Nort",PROPER(TRIM(tblOrders[[#This Row],[Region]]))="Northh"),"North",PROPER(TRIM(tblOrders[[#This Row],[Region]])))</f>
        <v>West</v>
      </c>
      <c r="R88" s="2" t="str">
        <f t="shared" si="10"/>
        <v>Electronics</v>
      </c>
      <c r="S88" s="2" t="str">
        <f t="shared" si="11"/>
        <v>Online</v>
      </c>
      <c r="T88" s="2" t="str">
        <f t="shared" si="12"/>
        <v>Credit Card</v>
      </c>
      <c r="U88" s="2" t="str">
        <f t="shared" si="13"/>
        <v>Completed</v>
      </c>
      <c r="V88" s="2">
        <f t="shared" si="14"/>
        <v>8</v>
      </c>
      <c r="W88" s="2">
        <f t="shared" si="15"/>
        <v>151.53</v>
      </c>
      <c r="X8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45476</v>
      </c>
      <c r="Y88" s="2">
        <f t="shared" si="16"/>
        <v>0</v>
      </c>
      <c r="Z88" s="2" t="str">
        <f>TRIM(CLEAN(tblOrders[[#This Row],[Notes]]))</f>
        <v/>
      </c>
      <c r="AA88" s="2" t="str">
        <f t="shared" si="17"/>
        <v>High Value</v>
      </c>
      <c r="AB88" s="2">
        <f>IF(OR(tblOrders[[#This Row],[Quantity_Clean]]="",tblOrders[[#This Row],[UnitPrice_Clean]]=""),0,tblOrders[[#This Row],[Quantity_Clean]]*tblOrders[[#This Row],[UnitPrice_Clean]])</f>
        <v>1212.24</v>
      </c>
      <c r="AC88" s="2" t="str">
        <f>UPPER(TRIM(tblOrders[[#This Row],[OrderID]]))</f>
        <v>ORD-1183</v>
      </c>
      <c r="AD88" s="2">
        <f>VALUE(RIGHT(tblOrders[[#This Row],[OrderID]],4))</f>
        <v>1183</v>
      </c>
      <c r="AE88" s="2" t="str">
        <f>TEXT(tblOrders[[#This Row],[OrderDate_Clean]],"mmm-yyyy")</f>
        <v>Jul-2024</v>
      </c>
      <c r="AF88" s="3">
        <f>EOMONTH(tblOrders[[#This Row],[OrderDate_Clean]],0)</f>
        <v>45504</v>
      </c>
      <c r="AG88" s="2" t="s">
        <v>927</v>
      </c>
      <c r="AH88" s="2">
        <f>IF(tblOrders[[#This Row],[Discount]]="",0,IF(ISNUMBER(tblOrders[[#This Row],[Discount]]),tblOrders[[#This Row],[Discount]],VALUE(SUBSTITUTE(TRIM(tblOrders[[#This Row],[Discount]]),"%",""))/100))</f>
        <v>0</v>
      </c>
    </row>
    <row r="89" spans="1:34" x14ac:dyDescent="0.25">
      <c r="A89" s="2" t="s">
        <v>344</v>
      </c>
      <c r="B89" s="2" t="s">
        <v>345</v>
      </c>
      <c r="C89" s="2" t="s">
        <v>346</v>
      </c>
      <c r="D89" s="2" t="s">
        <v>212</v>
      </c>
      <c r="E89" s="2" t="s">
        <v>65</v>
      </c>
      <c r="F89" s="2" t="s">
        <v>83</v>
      </c>
      <c r="G89" s="2" t="s">
        <v>220</v>
      </c>
      <c r="H89" s="2" t="s">
        <v>68</v>
      </c>
      <c r="I89" s="2">
        <v>5</v>
      </c>
      <c r="J89" s="2">
        <v>147.88999999999999</v>
      </c>
      <c r="K89" s="2" t="s">
        <v>347</v>
      </c>
      <c r="L89" s="2" t="s">
        <v>102</v>
      </c>
      <c r="M89" s="2" t="s">
        <v>201</v>
      </c>
      <c r="N89" s="2" t="s">
        <v>39</v>
      </c>
      <c r="O89" s="2" t="s">
        <v>171</v>
      </c>
      <c r="P89" s="2" t="str">
        <f t="shared" si="9"/>
        <v>Olivia Iqbal</v>
      </c>
      <c r="Q89" s="2" t="str">
        <f>IF(OR(PROPER(TRIM(tblOrders[[#This Row],[Region]]))="Nort",PROPER(TRIM(tblOrders[[#This Row],[Region]]))="Northh"),"North",PROPER(TRIM(tblOrders[[#This Row],[Region]])))</f>
        <v>West</v>
      </c>
      <c r="R89" s="2" t="str">
        <f t="shared" si="10"/>
        <v>Electronics</v>
      </c>
      <c r="S89" s="2" t="str">
        <f t="shared" si="11"/>
        <v>Online</v>
      </c>
      <c r="T89" s="2" t="str">
        <f t="shared" si="12"/>
        <v>Cash</v>
      </c>
      <c r="U89" s="2" t="str">
        <f t="shared" si="13"/>
        <v>Pending</v>
      </c>
      <c r="V89" s="2">
        <f t="shared" si="14"/>
        <v>5</v>
      </c>
      <c r="W89" s="2">
        <f t="shared" si="15"/>
        <v>147.88999999999999</v>
      </c>
      <c r="X8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45585</v>
      </c>
      <c r="Y89" s="2" t="str">
        <f t="shared" si="16"/>
        <v>15%</v>
      </c>
      <c r="Z89" s="2" t="str">
        <f>TRIM(CLEAN(tblOrders[[#This Row],[Notes]]))</f>
        <v>Leave at front desk</v>
      </c>
      <c r="AA89" s="2" t="str">
        <f t="shared" si="17"/>
        <v>Standard</v>
      </c>
      <c r="AB89" s="2">
        <f>IF(OR(tblOrders[[#This Row],[Quantity_Clean]]="",tblOrders[[#This Row],[UnitPrice_Clean]]=""),0,tblOrders[[#This Row],[Quantity_Clean]]*tblOrders[[#This Row],[UnitPrice_Clean]])</f>
        <v>739.44999999999993</v>
      </c>
      <c r="AC89" s="2" t="str">
        <f>UPPER(TRIM(tblOrders[[#This Row],[OrderID]]))</f>
        <v>ORD-1131</v>
      </c>
      <c r="AD89" s="2">
        <f>VALUE(RIGHT(tblOrders[[#This Row],[OrderID]],4))</f>
        <v>1131</v>
      </c>
      <c r="AE89" s="2" t="str">
        <f>TEXT(tblOrders[[#This Row],[OrderDate_Clean]],"mmm-yyyy")</f>
        <v>Oct-2024</v>
      </c>
      <c r="AF89" s="3">
        <f>EOMONTH(tblOrders[[#This Row],[OrderDate_Clean]],0)</f>
        <v>45596</v>
      </c>
      <c r="AG89" s="2" t="s">
        <v>928</v>
      </c>
      <c r="AH89" s="2">
        <f>IF(tblOrders[[#This Row],[Discount]]="",0,IF(ISNUMBER(tblOrders[[#This Row],[Discount]]),tblOrders[[#This Row],[Discount]],VALUE(SUBSTITUTE(TRIM(tblOrders[[#This Row],[Discount]]),"%",""))/100))</f>
        <v>0.15</v>
      </c>
    </row>
    <row r="90" spans="1:34" x14ac:dyDescent="0.25">
      <c r="A90" s="2" t="s">
        <v>159</v>
      </c>
      <c r="B90" s="2" t="s">
        <v>160</v>
      </c>
      <c r="C90" s="2" t="s">
        <v>161</v>
      </c>
      <c r="D90" s="2" t="s">
        <v>162</v>
      </c>
      <c r="E90" s="2" t="s">
        <v>19</v>
      </c>
      <c r="F90" s="2" t="s">
        <v>163</v>
      </c>
      <c r="G90" s="2" t="s">
        <v>164</v>
      </c>
      <c r="H90" s="2" t="s">
        <v>35</v>
      </c>
      <c r="I90" s="2"/>
      <c r="J90" s="2">
        <v>140.30000000000001</v>
      </c>
      <c r="K90" s="2">
        <v>0.1</v>
      </c>
      <c r="L90" s="2" t="s">
        <v>102</v>
      </c>
      <c r="M90" s="2" t="s">
        <v>165</v>
      </c>
      <c r="N90" s="2" t="s">
        <v>50</v>
      </c>
      <c r="O90" s="2" t="s">
        <v>51</v>
      </c>
      <c r="P90" s="2" t="str">
        <f t="shared" si="9"/>
        <v>Nida Johnson</v>
      </c>
      <c r="Q90" s="2" t="str">
        <f>IF(OR(PROPER(TRIM(tblOrders[[#This Row],[Region]]))="Nort",PROPER(TRIM(tblOrders[[#This Row],[Region]]))="Northh"),"North",PROPER(TRIM(tblOrders[[#This Row],[Region]])))</f>
        <v>East</v>
      </c>
      <c r="R90" s="2" t="str">
        <f t="shared" si="10"/>
        <v>Electronics</v>
      </c>
      <c r="S90" s="2" t="str">
        <f t="shared" si="11"/>
        <v>In-Store</v>
      </c>
      <c r="T90" s="2" t="str">
        <f t="shared" si="12"/>
        <v>Cash</v>
      </c>
      <c r="U90" s="2" t="str">
        <f t="shared" si="13"/>
        <v>Cancelled</v>
      </c>
      <c r="V90" s="2" t="str">
        <f t="shared" si="14"/>
        <v/>
      </c>
      <c r="W90" s="2">
        <f t="shared" si="15"/>
        <v>140.30000000000001</v>
      </c>
      <c r="X9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45387</v>
      </c>
      <c r="Y90" s="2">
        <f t="shared" si="16"/>
        <v>0.1</v>
      </c>
      <c r="Z90" s="2" t="str">
        <f>TRIM(CLEAN(tblOrders[[#This Row],[Notes]]))</f>
        <v/>
      </c>
      <c r="AA90" s="2" t="str">
        <f t="shared" si="17"/>
        <v>Review</v>
      </c>
      <c r="AB90" s="2">
        <f>IF(OR(tblOrders[[#This Row],[Quantity_Clean]]="",tblOrders[[#This Row],[UnitPrice_Clean]]=""),0,tblOrders[[#This Row],[Quantity_Clean]]*tblOrders[[#This Row],[UnitPrice_Clean]])</f>
        <v>0</v>
      </c>
      <c r="AC90" s="2" t="str">
        <f>UPPER(TRIM(tblOrders[[#This Row],[OrderID]]))</f>
        <v>ORD-1118</v>
      </c>
      <c r="AD90" s="2">
        <f>VALUE(RIGHT(tblOrders[[#This Row],[OrderID]],4))</f>
        <v>1118</v>
      </c>
      <c r="AE90" s="2" t="str">
        <f>TEXT(tblOrders[[#This Row],[OrderDate_Clean]],"mmm-yyyy")</f>
        <v>Apr-2024</v>
      </c>
      <c r="AF90" s="3">
        <f>EOMONTH(tblOrders[[#This Row],[OrderDate_Clean]],0)</f>
        <v>45412</v>
      </c>
      <c r="AG90" s="2" t="s">
        <v>905</v>
      </c>
      <c r="AH90" s="2">
        <f>IF(tblOrders[[#This Row],[Discount]]="",0,IF(ISNUMBER(tblOrders[[#This Row],[Discount]]),tblOrders[[#This Row],[Discount]],VALUE(SUBSTITUTE(TRIM(tblOrders[[#This Row],[Discount]]),"%",""))/100))</f>
        <v>0.1</v>
      </c>
    </row>
    <row r="91" spans="1:34" x14ac:dyDescent="0.25">
      <c r="A91" s="2" t="s">
        <v>282</v>
      </c>
      <c r="B91" s="2" t="s">
        <v>283</v>
      </c>
      <c r="C91" s="2" t="s">
        <v>284</v>
      </c>
      <c r="D91" s="2" t="s">
        <v>285</v>
      </c>
      <c r="E91" s="2" t="s">
        <v>76</v>
      </c>
      <c r="F91" s="2" t="s">
        <v>83</v>
      </c>
      <c r="G91" s="2" t="s">
        <v>84</v>
      </c>
      <c r="H91" s="2" t="s">
        <v>35</v>
      </c>
      <c r="I91" s="2">
        <v>8</v>
      </c>
      <c r="J91" s="2">
        <v>112.55</v>
      </c>
      <c r="K91" s="2"/>
      <c r="L91" s="2" t="s">
        <v>102</v>
      </c>
      <c r="M91" s="2" t="s">
        <v>92</v>
      </c>
      <c r="N91" s="2" t="s">
        <v>111</v>
      </c>
      <c r="O91" s="2"/>
      <c r="P91" s="2" t="str">
        <f t="shared" si="9"/>
        <v>Laura Garcia</v>
      </c>
      <c r="Q91" s="2" t="str">
        <f>IF(OR(PROPER(TRIM(tblOrders[[#This Row],[Region]]))="Nort",PROPER(TRIM(tblOrders[[#This Row],[Region]]))="Northh"),"North",PROPER(TRIM(tblOrders[[#This Row],[Region]])))</f>
        <v>North</v>
      </c>
      <c r="R91" s="2" t="str">
        <f t="shared" si="10"/>
        <v>Electronics</v>
      </c>
      <c r="S91" s="2" t="str">
        <f t="shared" si="11"/>
        <v>In-Store</v>
      </c>
      <c r="T91" s="2" t="str">
        <f t="shared" si="12"/>
        <v>Cash</v>
      </c>
      <c r="U91" s="2" t="str">
        <f t="shared" si="13"/>
        <v>Cancelled</v>
      </c>
      <c r="V91" s="2">
        <f t="shared" si="14"/>
        <v>8</v>
      </c>
      <c r="W91" s="2">
        <f t="shared" si="15"/>
        <v>112.55</v>
      </c>
      <c r="X9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45586</v>
      </c>
      <c r="Y91" s="2">
        <f t="shared" si="16"/>
        <v>0</v>
      </c>
      <c r="Z91" s="2" t="str">
        <f>TRIM(CLEAN(tblOrders[[#This Row],[Notes]]))</f>
        <v/>
      </c>
      <c r="AA91" s="2" t="str">
        <f t="shared" si="17"/>
        <v>Standard</v>
      </c>
      <c r="AB91" s="2">
        <f>IF(OR(tblOrders[[#This Row],[Quantity_Clean]]="",tblOrders[[#This Row],[UnitPrice_Clean]]=""),0,tblOrders[[#This Row],[Quantity_Clean]]*tblOrders[[#This Row],[UnitPrice_Clean]])</f>
        <v>900.4</v>
      </c>
      <c r="AC91" s="2" t="str">
        <f>UPPER(TRIM(tblOrders[[#This Row],[OrderID]]))</f>
        <v>ORD-1107</v>
      </c>
      <c r="AD91" s="2">
        <f>VALUE(RIGHT(tblOrders[[#This Row],[OrderID]],4))</f>
        <v>1107</v>
      </c>
      <c r="AE91" s="2" t="str">
        <f>TEXT(tblOrders[[#This Row],[OrderDate_Clean]],"mmm-yyyy")</f>
        <v>Oct-2024</v>
      </c>
      <c r="AF91" s="3">
        <f>EOMONTH(tblOrders[[#This Row],[OrderDate_Clean]],0)</f>
        <v>45596</v>
      </c>
      <c r="AG91" s="2" t="s">
        <v>897</v>
      </c>
      <c r="AH91" s="2">
        <f>IF(tblOrders[[#This Row],[Discount]]="",0,IF(ISNUMBER(tblOrders[[#This Row],[Discount]]),tblOrders[[#This Row],[Discount]],VALUE(SUBSTITUTE(TRIM(tblOrders[[#This Row],[Discount]]),"%",""))/100))</f>
        <v>0</v>
      </c>
    </row>
    <row r="92" spans="1:34" x14ac:dyDescent="0.25">
      <c r="A92" s="2" t="s">
        <v>816</v>
      </c>
      <c r="B92" s="2" t="s">
        <v>817</v>
      </c>
      <c r="C92" s="2" t="s">
        <v>818</v>
      </c>
      <c r="D92" s="2" t="s">
        <v>175</v>
      </c>
      <c r="E92" s="2" t="s">
        <v>76</v>
      </c>
      <c r="F92" s="2" t="s">
        <v>99</v>
      </c>
      <c r="G92" s="2" t="s">
        <v>220</v>
      </c>
      <c r="H92" s="2" t="s">
        <v>58</v>
      </c>
      <c r="I92" s="2" t="s">
        <v>819</v>
      </c>
      <c r="J92" s="2">
        <v>42.13</v>
      </c>
      <c r="K92" s="2">
        <v>0.1</v>
      </c>
      <c r="L92" s="2" t="s">
        <v>79</v>
      </c>
      <c r="M92" s="2" t="s">
        <v>110</v>
      </c>
      <c r="N92" s="2" t="s">
        <v>50</v>
      </c>
      <c r="O92" s="2" t="s">
        <v>51</v>
      </c>
      <c r="P92" s="2" t="str">
        <f t="shared" si="9"/>
        <v>Priya Lee</v>
      </c>
      <c r="Q92" s="2" t="str">
        <f>IF(OR(PROPER(TRIM(tblOrders[[#This Row],[Region]]))="Nort",PROPER(TRIM(tblOrders[[#This Row],[Region]]))="Northh"),"North",PROPER(TRIM(tblOrders[[#This Row],[Region]])))</f>
        <v>North</v>
      </c>
      <c r="R92" s="2" t="str">
        <f t="shared" si="10"/>
        <v>Electronics</v>
      </c>
      <c r="S92" s="2" t="str">
        <f t="shared" si="11"/>
        <v>Online</v>
      </c>
      <c r="T92" s="2" t="str">
        <f t="shared" si="12"/>
        <v>Cash</v>
      </c>
      <c r="U92" s="2" t="str">
        <f t="shared" si="13"/>
        <v>Pending</v>
      </c>
      <c r="V92" s="2">
        <f t="shared" si="14"/>
        <v>7</v>
      </c>
      <c r="W92" s="2">
        <f t="shared" si="15"/>
        <v>42.13</v>
      </c>
      <c r="X9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45652</v>
      </c>
      <c r="Y92" s="2">
        <f t="shared" si="16"/>
        <v>0.1</v>
      </c>
      <c r="Z92" s="2" t="str">
        <f>TRIM(CLEAN(tblOrders[[#This Row],[Notes]]))</f>
        <v/>
      </c>
      <c r="AA92" s="2" t="str">
        <f t="shared" si="17"/>
        <v>Standard</v>
      </c>
      <c r="AB92" s="2">
        <f>IF(OR(tblOrders[[#This Row],[Quantity_Clean]]="",tblOrders[[#This Row],[UnitPrice_Clean]]=""),0,tblOrders[[#This Row],[Quantity_Clean]]*tblOrders[[#This Row],[UnitPrice_Clean]])</f>
        <v>294.91000000000003</v>
      </c>
      <c r="AC92" s="2" t="str">
        <f>UPPER(TRIM(tblOrders[[#This Row],[OrderID]]))</f>
        <v>ORD-1161</v>
      </c>
      <c r="AD92" s="2">
        <f>VALUE(RIGHT(tblOrders[[#This Row],[OrderID]],4))</f>
        <v>1161</v>
      </c>
      <c r="AE92" s="2" t="str">
        <f>TEXT(tblOrders[[#This Row],[OrderDate_Clean]],"mmm-yyyy")</f>
        <v>Dec-2024</v>
      </c>
      <c r="AF92" s="3">
        <f>EOMONTH(tblOrders[[#This Row],[OrderDate_Clean]],0)</f>
        <v>45657</v>
      </c>
      <c r="AG92" s="2" t="s">
        <v>915</v>
      </c>
      <c r="AH92" s="2">
        <f>IF(tblOrders[[#This Row],[Discount]]="",0,IF(ISNUMBER(tblOrders[[#This Row],[Discount]]),tblOrders[[#This Row],[Discount]],VALUE(SUBSTITUTE(TRIM(tblOrders[[#This Row],[Discount]]),"%",""))/100))</f>
        <v>0.1</v>
      </c>
    </row>
    <row r="93" spans="1:34" x14ac:dyDescent="0.25">
      <c r="A93" s="2" t="s">
        <v>251</v>
      </c>
      <c r="B93" s="2" t="s">
        <v>252</v>
      </c>
      <c r="C93" s="2" t="s">
        <v>253</v>
      </c>
      <c r="D93" s="2" t="s">
        <v>152</v>
      </c>
      <c r="E93" s="2" t="s">
        <v>19</v>
      </c>
      <c r="F93" s="2" t="s">
        <v>163</v>
      </c>
      <c r="G93" s="2" t="s">
        <v>164</v>
      </c>
      <c r="H93" s="2" t="s">
        <v>22</v>
      </c>
      <c r="I93" s="2">
        <v>9</v>
      </c>
      <c r="J93" s="2">
        <v>27.48</v>
      </c>
      <c r="K93" s="2" t="s">
        <v>254</v>
      </c>
      <c r="L93" s="2" t="s">
        <v>24</v>
      </c>
      <c r="M93" s="2" t="s">
        <v>92</v>
      </c>
      <c r="N93" s="2" t="s">
        <v>111</v>
      </c>
      <c r="O93" s="2" t="s">
        <v>171</v>
      </c>
      <c r="P93" s="2" t="str">
        <f t="shared" si="9"/>
        <v>Zara Lee</v>
      </c>
      <c r="Q93" s="2" t="str">
        <f>IF(OR(PROPER(TRIM(tblOrders[[#This Row],[Region]]))="Nort",PROPER(TRIM(tblOrders[[#This Row],[Region]]))="Northh"),"North",PROPER(TRIM(tblOrders[[#This Row],[Region]])))</f>
        <v>East</v>
      </c>
      <c r="R93" s="2" t="str">
        <f t="shared" si="10"/>
        <v>Electronics</v>
      </c>
      <c r="S93" s="2" t="str">
        <f t="shared" si="11"/>
        <v>In-Store</v>
      </c>
      <c r="T93" s="2" t="str">
        <f t="shared" si="12"/>
        <v>Credit Card</v>
      </c>
      <c r="U93" s="2" t="str">
        <f t="shared" si="13"/>
        <v>Cancelled</v>
      </c>
      <c r="V93" s="2">
        <f t="shared" si="14"/>
        <v>9</v>
      </c>
      <c r="W93" s="2">
        <f t="shared" si="15"/>
        <v>27.48</v>
      </c>
      <c r="X9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45362</v>
      </c>
      <c r="Y93" s="2" t="str">
        <f t="shared" si="16"/>
        <v>0%</v>
      </c>
      <c r="Z93" s="2" t="str">
        <f>TRIM(CLEAN(tblOrders[[#This Row],[Notes]]))</f>
        <v>Leave at front desk</v>
      </c>
      <c r="AA93" s="2" t="str">
        <f t="shared" si="17"/>
        <v>Standard</v>
      </c>
      <c r="AB93" s="2">
        <f>IF(OR(tblOrders[[#This Row],[Quantity_Clean]]="",tblOrders[[#This Row],[UnitPrice_Clean]]=""),0,tblOrders[[#This Row],[Quantity_Clean]]*tblOrders[[#This Row],[UnitPrice_Clean]])</f>
        <v>247.32</v>
      </c>
      <c r="AC93" s="2" t="str">
        <f>UPPER(TRIM(tblOrders[[#This Row],[OrderID]]))</f>
        <v>ORD-1063</v>
      </c>
      <c r="AD93" s="2">
        <f>VALUE(RIGHT(tblOrders[[#This Row],[OrderID]],4))</f>
        <v>1063</v>
      </c>
      <c r="AE93" s="2" t="str">
        <f>TEXT(tblOrders[[#This Row],[OrderDate_Clean]],"mmm-yyyy")</f>
        <v>Mar-2024</v>
      </c>
      <c r="AF93" s="3">
        <f>EOMONTH(tblOrders[[#This Row],[OrderDate_Clean]],0)</f>
        <v>45382</v>
      </c>
      <c r="AG93" s="2" t="s">
        <v>909</v>
      </c>
      <c r="AH93" s="2">
        <f>IF(tblOrders[[#This Row],[Discount]]="",0,IF(ISNUMBER(tblOrders[[#This Row],[Discount]]),tblOrders[[#This Row],[Discount]],VALUE(SUBSTITUTE(TRIM(tblOrders[[#This Row],[Discount]]),"%",""))/100))</f>
        <v>0</v>
      </c>
    </row>
    <row r="94" spans="1:34" x14ac:dyDescent="0.25">
      <c r="A94" s="2" t="s">
        <v>586</v>
      </c>
      <c r="B94" s="2" t="s">
        <v>587</v>
      </c>
      <c r="C94" s="2" t="s">
        <v>588</v>
      </c>
      <c r="D94" s="2" t="s">
        <v>97</v>
      </c>
      <c r="E94" s="2" t="s">
        <v>98</v>
      </c>
      <c r="F94" s="2" t="s">
        <v>91</v>
      </c>
      <c r="G94" s="2" t="s">
        <v>100</v>
      </c>
      <c r="H94" s="2" t="s">
        <v>68</v>
      </c>
      <c r="I94" s="2">
        <v>4</v>
      </c>
      <c r="J94" s="2">
        <v>495.54</v>
      </c>
      <c r="K94" s="2" t="s">
        <v>85</v>
      </c>
      <c r="L94" s="2" t="s">
        <v>139</v>
      </c>
      <c r="M94" s="2" t="s">
        <v>92</v>
      </c>
      <c r="N94" s="2" t="s">
        <v>50</v>
      </c>
      <c r="O94" s="2" t="s">
        <v>126</v>
      </c>
      <c r="P94" s="2" t="str">
        <f t="shared" si="9"/>
        <v>Kevin Brown</v>
      </c>
      <c r="Q94" s="2" t="str">
        <f>IF(OR(PROPER(TRIM(tblOrders[[#This Row],[Region]]))="Nort",PROPER(TRIM(tblOrders[[#This Row],[Region]]))="Northh"),"North",PROPER(TRIM(tblOrders[[#This Row],[Region]])))</f>
        <v>West</v>
      </c>
      <c r="R94" s="2" t="str">
        <f t="shared" si="10"/>
        <v>Electronics</v>
      </c>
      <c r="S94" s="2" t="str">
        <f t="shared" si="11"/>
        <v>Online</v>
      </c>
      <c r="T94" s="2" t="str">
        <f t="shared" si="12"/>
        <v>Debit Card</v>
      </c>
      <c r="U94" s="2" t="str">
        <f t="shared" si="13"/>
        <v>Cancelled</v>
      </c>
      <c r="V94" s="2">
        <f t="shared" si="14"/>
        <v>4</v>
      </c>
      <c r="W94" s="2">
        <f t="shared" si="15"/>
        <v>495.54</v>
      </c>
      <c r="X9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45501</v>
      </c>
      <c r="Y94" s="2" t="str">
        <f t="shared" si="16"/>
        <v>10%</v>
      </c>
      <c r="Z94" s="2" t="str">
        <f>TRIM(CLEAN(tblOrders[[#This Row],[Notes]]))</f>
        <v>Gift wrap requested</v>
      </c>
      <c r="AA94" s="2" t="str">
        <f t="shared" si="17"/>
        <v>High Value</v>
      </c>
      <c r="AB94" s="2">
        <f>IF(OR(tblOrders[[#This Row],[Quantity_Clean]]="",tblOrders[[#This Row],[UnitPrice_Clean]]=""),0,tblOrders[[#This Row],[Quantity_Clean]]*tblOrders[[#This Row],[UnitPrice_Clean]])</f>
        <v>1982.16</v>
      </c>
      <c r="AC94" s="2" t="str">
        <f>UPPER(TRIM(tblOrders[[#This Row],[OrderID]]))</f>
        <v>ORD-1069</v>
      </c>
      <c r="AD94" s="2">
        <f>VALUE(RIGHT(tblOrders[[#This Row],[OrderID]],4))</f>
        <v>1069</v>
      </c>
      <c r="AE94" s="2" t="str">
        <f>TEXT(tblOrders[[#This Row],[OrderDate_Clean]],"mmm-yyyy")</f>
        <v>Jul-2024</v>
      </c>
      <c r="AF94" s="3">
        <f>EOMONTH(tblOrders[[#This Row],[OrderDate_Clean]],0)</f>
        <v>45504</v>
      </c>
      <c r="AG94" s="2" t="s">
        <v>884</v>
      </c>
      <c r="AH94" s="2">
        <f>IF(tblOrders[[#This Row],[Discount]]="",0,IF(ISNUMBER(tblOrders[[#This Row],[Discount]]),tblOrders[[#This Row],[Discount]],VALUE(SUBSTITUTE(TRIM(tblOrders[[#This Row],[Discount]]),"%",""))/100))</f>
        <v>0.1</v>
      </c>
    </row>
    <row r="95" spans="1:34" x14ac:dyDescent="0.25">
      <c r="A95" s="2" t="s">
        <v>88</v>
      </c>
      <c r="B95" s="2" t="s">
        <v>89</v>
      </c>
      <c r="C95" s="2" t="s">
        <v>90</v>
      </c>
      <c r="D95" s="2" t="s">
        <v>18</v>
      </c>
      <c r="E95" s="2" t="s">
        <v>19</v>
      </c>
      <c r="F95" s="2" t="s">
        <v>91</v>
      </c>
      <c r="G95" s="2" t="s">
        <v>84</v>
      </c>
      <c r="H95" s="2" t="s">
        <v>58</v>
      </c>
      <c r="I95" s="2">
        <v>4</v>
      </c>
      <c r="J95" s="2">
        <v>490.8</v>
      </c>
      <c r="K95" s="2"/>
      <c r="L95" s="2" t="s">
        <v>59</v>
      </c>
      <c r="M95" s="2" t="s">
        <v>92</v>
      </c>
      <c r="N95" s="2" t="s">
        <v>71</v>
      </c>
      <c r="O95" s="2" t="s">
        <v>93</v>
      </c>
      <c r="P95" s="2" t="str">
        <f t="shared" si="9"/>
        <v>Robert Ahmed</v>
      </c>
      <c r="Q95" s="2" t="str">
        <f>IF(OR(PROPER(TRIM(tblOrders[[#This Row],[Region]]))="Nort",PROPER(TRIM(tblOrders[[#This Row],[Region]]))="Northh"),"North",PROPER(TRIM(tblOrders[[#This Row],[Region]])))</f>
        <v>East</v>
      </c>
      <c r="R95" s="2" t="str">
        <f t="shared" si="10"/>
        <v>Electronics</v>
      </c>
      <c r="S95" s="2" t="str">
        <f t="shared" si="11"/>
        <v>Online</v>
      </c>
      <c r="T95" s="2" t="str">
        <f t="shared" si="12"/>
        <v>Debit Card</v>
      </c>
      <c r="U95" s="2" t="str">
        <f t="shared" si="13"/>
        <v>Cancelled</v>
      </c>
      <c r="V95" s="2">
        <f t="shared" si="14"/>
        <v>4</v>
      </c>
      <c r="W95" s="2">
        <f t="shared" si="15"/>
        <v>490.8</v>
      </c>
      <c r="X9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45459</v>
      </c>
      <c r="Y95" s="2">
        <f t="shared" si="16"/>
        <v>0</v>
      </c>
      <c r="Z95" s="2" t="str">
        <f>TRIM(CLEAN(tblOrders[[#This Row],[Notes]]))</f>
        <v>Bulk order - business account</v>
      </c>
      <c r="AA95" s="2" t="str">
        <f t="shared" si="17"/>
        <v>High Value</v>
      </c>
      <c r="AB95" s="2">
        <f>IF(OR(tblOrders[[#This Row],[Quantity_Clean]]="",tblOrders[[#This Row],[UnitPrice_Clean]]=""),0,tblOrders[[#This Row],[Quantity_Clean]]*tblOrders[[#This Row],[UnitPrice_Clean]])</f>
        <v>1963.2</v>
      </c>
      <c r="AC95" s="2" t="str">
        <f>UPPER(TRIM(tblOrders[[#This Row],[OrderID]]))</f>
        <v>ORD-1146</v>
      </c>
      <c r="AD95" s="2">
        <f>VALUE(RIGHT(tblOrders[[#This Row],[OrderID]],4))</f>
        <v>1146</v>
      </c>
      <c r="AE95" s="2" t="str">
        <f>TEXT(tblOrders[[#This Row],[OrderDate_Clean]],"mmm-yyyy")</f>
        <v>Jun-2024</v>
      </c>
      <c r="AF95" s="3">
        <f>EOMONTH(tblOrders[[#This Row],[OrderDate_Clean]],0)</f>
        <v>45473</v>
      </c>
      <c r="AG95" s="2" t="s">
        <v>901</v>
      </c>
      <c r="AH95" s="2">
        <f>IF(tblOrders[[#This Row],[Discount]]="",0,IF(ISNUMBER(tblOrders[[#This Row],[Discount]]),tblOrders[[#This Row],[Discount]],VALUE(SUBSTITUTE(TRIM(tblOrders[[#This Row],[Discount]]),"%",""))/100))</f>
        <v>0</v>
      </c>
    </row>
    <row r="96" spans="1:34" x14ac:dyDescent="0.25">
      <c r="A96" s="2" t="s">
        <v>375</v>
      </c>
      <c r="B96" s="2" t="s">
        <v>376</v>
      </c>
      <c r="C96" s="2" t="s">
        <v>377</v>
      </c>
      <c r="D96" s="2" t="s">
        <v>31</v>
      </c>
      <c r="E96" s="2" t="s">
        <v>199</v>
      </c>
      <c r="F96" s="2" t="s">
        <v>91</v>
      </c>
      <c r="G96" s="2" t="s">
        <v>220</v>
      </c>
      <c r="H96" s="2" t="s">
        <v>48</v>
      </c>
      <c r="I96" s="2">
        <v>10</v>
      </c>
      <c r="J96" s="2">
        <v>481.83</v>
      </c>
      <c r="K96" s="2" t="s">
        <v>138</v>
      </c>
      <c r="L96" s="2" t="s">
        <v>59</v>
      </c>
      <c r="M96" s="2" t="s">
        <v>165</v>
      </c>
      <c r="N96" s="2" t="s">
        <v>26</v>
      </c>
      <c r="O96" s="2" t="s">
        <v>112</v>
      </c>
      <c r="P96" s="2" t="str">
        <f t="shared" si="9"/>
        <v>Noah Garcia</v>
      </c>
      <c r="Q96" s="2" t="str">
        <f>IF(OR(PROPER(TRIM(tblOrders[[#This Row],[Region]]))="Nort",PROPER(TRIM(tblOrders[[#This Row],[Region]]))="Northh"),"North",PROPER(TRIM(tblOrders[[#This Row],[Region]])))</f>
        <v>North</v>
      </c>
      <c r="R96" s="2" t="str">
        <f t="shared" si="10"/>
        <v>Electronics</v>
      </c>
      <c r="S96" s="2" t="str">
        <f t="shared" si="11"/>
        <v>In-Store</v>
      </c>
      <c r="T96" s="2" t="str">
        <f t="shared" si="12"/>
        <v>Debit Card</v>
      </c>
      <c r="U96" s="2" t="str">
        <f t="shared" si="13"/>
        <v>Cancelled</v>
      </c>
      <c r="V96" s="2">
        <f t="shared" si="14"/>
        <v>10</v>
      </c>
      <c r="W96" s="2">
        <f t="shared" si="15"/>
        <v>481.83</v>
      </c>
      <c r="X9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45294</v>
      </c>
      <c r="Y96" s="2" t="str">
        <f t="shared" si="16"/>
        <v>5%</v>
      </c>
      <c r="Z96" s="2" t="str">
        <f>TRIM(CLEAN(tblOrders[[#This Row],[Notes]]))</f>
        <v>Follow up needed</v>
      </c>
      <c r="AA96" s="2" t="str">
        <f t="shared" si="17"/>
        <v>High Value</v>
      </c>
      <c r="AB96" s="2">
        <f>IF(OR(tblOrders[[#This Row],[Quantity_Clean]]="",tblOrders[[#This Row],[UnitPrice_Clean]]=""),0,tblOrders[[#This Row],[Quantity_Clean]]*tblOrders[[#This Row],[UnitPrice_Clean]])</f>
        <v>4818.3</v>
      </c>
      <c r="AC96" s="2" t="str">
        <f>UPPER(TRIM(tblOrders[[#This Row],[OrderID]]))</f>
        <v>ORD-1220</v>
      </c>
      <c r="AD96" s="2">
        <f>VALUE(RIGHT(tblOrders[[#This Row],[OrderID]],4))</f>
        <v>1220</v>
      </c>
      <c r="AE96" s="2" t="str">
        <f>TEXT(tblOrders[[#This Row],[OrderDate_Clean]],"mmm-yyyy")</f>
        <v>Jan-2024</v>
      </c>
      <c r="AF96" s="3">
        <f>EOMONTH(tblOrders[[#This Row],[OrderDate_Clean]],0)</f>
        <v>45322</v>
      </c>
      <c r="AG96" s="2" t="s">
        <v>913</v>
      </c>
      <c r="AH96" s="2">
        <f>IF(tblOrders[[#This Row],[Discount]]="",0,IF(ISNUMBER(tblOrders[[#This Row],[Discount]]),tblOrders[[#This Row],[Discount]],VALUE(SUBSTITUTE(TRIM(tblOrders[[#This Row],[Discount]]),"%",""))/100))</f>
        <v>0.05</v>
      </c>
    </row>
    <row r="97" spans="1:34" x14ac:dyDescent="0.25">
      <c r="A97" s="2" t="s">
        <v>286</v>
      </c>
      <c r="B97" s="2" t="s">
        <v>287</v>
      </c>
      <c r="C97" s="2" t="s">
        <v>288</v>
      </c>
      <c r="D97" s="2" t="s">
        <v>152</v>
      </c>
      <c r="E97" s="2" t="s">
        <v>19</v>
      </c>
      <c r="F97" s="2" t="s">
        <v>91</v>
      </c>
      <c r="G97" s="2" t="s">
        <v>164</v>
      </c>
      <c r="H97" s="2" t="s">
        <v>200</v>
      </c>
      <c r="I97" s="2">
        <v>6</v>
      </c>
      <c r="J97" s="2">
        <v>479.32</v>
      </c>
      <c r="K97" s="2"/>
      <c r="L97" s="2" t="s">
        <v>180</v>
      </c>
      <c r="M97" s="2" t="s">
        <v>208</v>
      </c>
      <c r="N97" s="2" t="s">
        <v>71</v>
      </c>
      <c r="O97" s="2" t="s">
        <v>112</v>
      </c>
      <c r="P97" s="2" t="str">
        <f t="shared" si="9"/>
        <v>Sana Taylor</v>
      </c>
      <c r="Q97" s="2" t="str">
        <f>IF(OR(PROPER(TRIM(tblOrders[[#This Row],[Region]]))="Nort",PROPER(TRIM(tblOrders[[#This Row],[Region]]))="Northh"),"North",PROPER(TRIM(tblOrders[[#This Row],[Region]])))</f>
        <v>East</v>
      </c>
      <c r="R97" s="2" t="str">
        <f t="shared" si="10"/>
        <v>Electronics</v>
      </c>
      <c r="S97" s="2" t="str">
        <f t="shared" si="11"/>
        <v>Online</v>
      </c>
      <c r="T97" s="2" t="str">
        <f t="shared" si="12"/>
        <v>Credit Card</v>
      </c>
      <c r="U97" s="2" t="str">
        <f t="shared" si="13"/>
        <v>Completed</v>
      </c>
      <c r="V97" s="2">
        <f t="shared" si="14"/>
        <v>6</v>
      </c>
      <c r="W97" s="2">
        <f t="shared" si="15"/>
        <v>479.32</v>
      </c>
      <c r="X9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45393</v>
      </c>
      <c r="Y97" s="2">
        <f t="shared" si="16"/>
        <v>0</v>
      </c>
      <c r="Z97" s="2" t="str">
        <f>TRIM(CLEAN(tblOrders[[#This Row],[Notes]]))</f>
        <v>Follow up needed</v>
      </c>
      <c r="AA97" s="2" t="str">
        <f t="shared" si="17"/>
        <v>High Value</v>
      </c>
      <c r="AB97" s="2">
        <f>IF(OR(tblOrders[[#This Row],[Quantity_Clean]]="",tblOrders[[#This Row],[UnitPrice_Clean]]=""),0,tblOrders[[#This Row],[Quantity_Clean]]*tblOrders[[#This Row],[UnitPrice_Clean]])</f>
        <v>2875.92</v>
      </c>
      <c r="AC97" s="2" t="str">
        <f>UPPER(TRIM(tblOrders[[#This Row],[OrderID]]))</f>
        <v>ORD-1066</v>
      </c>
      <c r="AD97" s="2">
        <f>VALUE(RIGHT(tblOrders[[#This Row],[OrderID]],4))</f>
        <v>1066</v>
      </c>
      <c r="AE97" s="2" t="str">
        <f>TEXT(tblOrders[[#This Row],[OrderDate_Clean]],"mmm-yyyy")</f>
        <v>Apr-2024</v>
      </c>
      <c r="AF97" s="3">
        <f>EOMONTH(tblOrders[[#This Row],[OrderDate_Clean]],0)</f>
        <v>45412</v>
      </c>
      <c r="AG97" s="2" t="s">
        <v>925</v>
      </c>
      <c r="AH97" s="2">
        <f>IF(tblOrders[[#This Row],[Discount]]="",0,IF(ISNUMBER(tblOrders[[#This Row],[Discount]]),tblOrders[[#This Row],[Discount]],VALUE(SUBSTITUTE(TRIM(tblOrders[[#This Row],[Discount]]),"%",""))/100))</f>
        <v>0</v>
      </c>
    </row>
    <row r="98" spans="1:34" x14ac:dyDescent="0.25">
      <c r="A98" s="2" t="s">
        <v>851</v>
      </c>
      <c r="B98" s="2" t="s">
        <v>852</v>
      </c>
      <c r="C98" s="2" t="s">
        <v>853</v>
      </c>
      <c r="D98" s="2" t="s">
        <v>18</v>
      </c>
      <c r="E98" s="2" t="s">
        <v>19</v>
      </c>
      <c r="F98" s="2" t="s">
        <v>91</v>
      </c>
      <c r="G98" s="2" t="s">
        <v>164</v>
      </c>
      <c r="H98" s="2" t="s">
        <v>48</v>
      </c>
      <c r="I98" s="2">
        <v>7</v>
      </c>
      <c r="J98" s="2">
        <v>279.39</v>
      </c>
      <c r="K98" s="2">
        <v>0.15</v>
      </c>
      <c r="L98" s="2" t="s">
        <v>237</v>
      </c>
      <c r="M98" s="2" t="s">
        <v>110</v>
      </c>
      <c r="N98" s="2"/>
      <c r="O98" s="2" t="s">
        <v>87</v>
      </c>
      <c r="P98" s="2" t="str">
        <f t="shared" si="9"/>
        <v>Daniel Khan</v>
      </c>
      <c r="Q98" s="2" t="str">
        <f>IF(OR(PROPER(TRIM(tblOrders[[#This Row],[Region]]))="Nort",PROPER(TRIM(tblOrders[[#This Row],[Region]]))="Northh"),"North",PROPER(TRIM(tblOrders[[#This Row],[Region]])))</f>
        <v>East</v>
      </c>
      <c r="R98" s="2" t="str">
        <f t="shared" si="10"/>
        <v>Electronics</v>
      </c>
      <c r="S98" s="2" t="str">
        <f t="shared" si="11"/>
        <v>In-Store</v>
      </c>
      <c r="T98" s="2" t="str">
        <f t="shared" si="12"/>
        <v>Bank Transfer</v>
      </c>
      <c r="U98" s="2" t="str">
        <f t="shared" si="13"/>
        <v>Pending</v>
      </c>
      <c r="V98" s="2">
        <f t="shared" si="14"/>
        <v>7</v>
      </c>
      <c r="W98" s="2">
        <f t="shared" si="15"/>
        <v>279.39</v>
      </c>
      <c r="X9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45388</v>
      </c>
      <c r="Y98" s="2">
        <f t="shared" si="16"/>
        <v>0.15</v>
      </c>
      <c r="Z98" s="2" t="str">
        <f>TRIM(CLEAN(tblOrders[[#This Row],[Notes]]))</f>
        <v>Damaged on arrival - replaced</v>
      </c>
      <c r="AA98" s="2" t="str">
        <f t="shared" si="17"/>
        <v>High Value</v>
      </c>
      <c r="AB98" s="2">
        <f>IF(OR(tblOrders[[#This Row],[Quantity_Clean]]="",tblOrders[[#This Row],[UnitPrice_Clean]]=""),0,tblOrders[[#This Row],[Quantity_Clean]]*tblOrders[[#This Row],[UnitPrice_Clean]])</f>
        <v>1955.73</v>
      </c>
      <c r="AC98" s="2" t="str">
        <f>UPPER(TRIM(tblOrders[[#This Row],[OrderID]]))</f>
        <v>ORD-1068</v>
      </c>
      <c r="AD98" s="2">
        <f>VALUE(RIGHT(tblOrders[[#This Row],[OrderID]],4))</f>
        <v>1068</v>
      </c>
      <c r="AE98" s="2" t="str">
        <f>TEXT(tblOrders[[#This Row],[OrderDate_Clean]],"mmm-yyyy")</f>
        <v>Apr-2024</v>
      </c>
      <c r="AF98" s="3">
        <f>EOMONTH(tblOrders[[#This Row],[OrderDate_Clean]],0)</f>
        <v>45412</v>
      </c>
      <c r="AG98" s="2" t="s">
        <v>893</v>
      </c>
      <c r="AH98" s="2">
        <f>IF(tblOrders[[#This Row],[Discount]]="",0,IF(ISNUMBER(tblOrders[[#This Row],[Discount]]),tblOrders[[#This Row],[Discount]],VALUE(SUBSTITUTE(TRIM(tblOrders[[#This Row],[Discount]]),"%",""))/100))</f>
        <v>0.15</v>
      </c>
    </row>
    <row r="99" spans="1:34" x14ac:dyDescent="0.25">
      <c r="A99" s="2" t="s">
        <v>481</v>
      </c>
      <c r="B99" s="2" t="s">
        <v>482</v>
      </c>
      <c r="C99" s="2" t="s">
        <v>483</v>
      </c>
      <c r="D99" s="2" t="s">
        <v>188</v>
      </c>
      <c r="E99" s="2" t="s">
        <v>32</v>
      </c>
      <c r="F99" s="2" t="s">
        <v>91</v>
      </c>
      <c r="G99" s="2" t="s">
        <v>164</v>
      </c>
      <c r="H99" s="2" t="s">
        <v>200</v>
      </c>
      <c r="I99" s="2">
        <v>11</v>
      </c>
      <c r="J99" s="2">
        <v>261.95</v>
      </c>
      <c r="K99" s="2" t="s">
        <v>347</v>
      </c>
      <c r="L99" s="2" t="s">
        <v>132</v>
      </c>
      <c r="M99" s="2" t="s">
        <v>70</v>
      </c>
      <c r="N99" s="2" t="s">
        <v>111</v>
      </c>
      <c r="O99" s="2" t="s">
        <v>51</v>
      </c>
      <c r="P99" s="2" t="str">
        <f t="shared" si="9"/>
        <v>Emily Hussain</v>
      </c>
      <c r="Q99" s="2" t="str">
        <f>IF(OR(PROPER(TRIM(tblOrders[[#This Row],[Region]]))="Nort",PROPER(TRIM(tblOrders[[#This Row],[Region]]))="Northh"),"North",PROPER(TRIM(tblOrders[[#This Row],[Region]])))</f>
        <v>North</v>
      </c>
      <c r="R99" s="2" t="str">
        <f t="shared" si="10"/>
        <v>Electronics</v>
      </c>
      <c r="S99" s="2" t="str">
        <f t="shared" si="11"/>
        <v>Online</v>
      </c>
      <c r="T99" s="2" t="str">
        <f t="shared" si="12"/>
        <v>Cash</v>
      </c>
      <c r="U99" s="2" t="str">
        <f t="shared" si="13"/>
        <v>Refunded</v>
      </c>
      <c r="V99" s="2">
        <f t="shared" si="14"/>
        <v>11</v>
      </c>
      <c r="W99" s="2">
        <f t="shared" si="15"/>
        <v>261.95</v>
      </c>
      <c r="X9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45538</v>
      </c>
      <c r="Y99" s="2" t="str">
        <f t="shared" si="16"/>
        <v>15%</v>
      </c>
      <c r="Z99" s="2" t="str">
        <f>TRIM(CLEAN(tblOrders[[#This Row],[Notes]]))</f>
        <v/>
      </c>
      <c r="AA99" s="2" t="str">
        <f t="shared" si="17"/>
        <v>High Value</v>
      </c>
      <c r="AB99" s="2">
        <f>IF(OR(tblOrders[[#This Row],[Quantity_Clean]]="",tblOrders[[#This Row],[UnitPrice_Clean]]=""),0,tblOrders[[#This Row],[Quantity_Clean]]*tblOrders[[#This Row],[UnitPrice_Clean]])</f>
        <v>2881.45</v>
      </c>
      <c r="AC99" s="2" t="str">
        <f>UPPER(TRIM(tblOrders[[#This Row],[OrderID]]))</f>
        <v>ORD-1186</v>
      </c>
      <c r="AD99" s="2">
        <f>VALUE(RIGHT(tblOrders[[#This Row],[OrderID]],4))</f>
        <v>1186</v>
      </c>
      <c r="AE99" s="2" t="str">
        <f>TEXT(tblOrders[[#This Row],[OrderDate_Clean]],"mmm-yyyy")</f>
        <v>Sep-2024</v>
      </c>
      <c r="AF99" s="3">
        <f>EOMONTH(tblOrders[[#This Row],[OrderDate_Clean]],0)</f>
        <v>45565</v>
      </c>
      <c r="AG99" s="2" t="s">
        <v>889</v>
      </c>
      <c r="AH99" s="2">
        <f>IF(tblOrders[[#This Row],[Discount]]="",0,IF(ISNUMBER(tblOrders[[#This Row],[Discount]]),tblOrders[[#This Row],[Discount]],VALUE(SUBSTITUTE(TRIM(tblOrders[[#This Row],[Discount]]),"%",""))/100))</f>
        <v>0.15</v>
      </c>
    </row>
    <row r="100" spans="1:34" x14ac:dyDescent="0.25">
      <c r="A100" s="2" t="s">
        <v>472</v>
      </c>
      <c r="B100" s="2" t="s">
        <v>473</v>
      </c>
      <c r="C100" s="2" t="s">
        <v>474</v>
      </c>
      <c r="D100" s="2" t="s">
        <v>212</v>
      </c>
      <c r="E100" s="2" t="s">
        <v>65</v>
      </c>
      <c r="F100" s="2" t="s">
        <v>91</v>
      </c>
      <c r="G100" s="2" t="s">
        <v>84</v>
      </c>
      <c r="H100" s="2" t="s">
        <v>48</v>
      </c>
      <c r="I100" s="2">
        <v>7</v>
      </c>
      <c r="J100" s="2">
        <v>244.05</v>
      </c>
      <c r="K100" s="2">
        <v>0.05</v>
      </c>
      <c r="L100" s="2" t="s">
        <v>37</v>
      </c>
      <c r="M100" s="2" t="s">
        <v>110</v>
      </c>
      <c r="N100" s="2" t="s">
        <v>111</v>
      </c>
      <c r="O100" s="2" t="s">
        <v>51</v>
      </c>
      <c r="P100" s="2" t="str">
        <f t="shared" si="9"/>
        <v>Sarah Lewis</v>
      </c>
      <c r="Q100" s="2" t="str">
        <f>IF(OR(PROPER(TRIM(tblOrders[[#This Row],[Region]]))="Nort",PROPER(TRIM(tblOrders[[#This Row],[Region]]))="Northh"),"North",PROPER(TRIM(tblOrders[[#This Row],[Region]])))</f>
        <v>West</v>
      </c>
      <c r="R100" s="2" t="str">
        <f t="shared" si="10"/>
        <v>Electronics</v>
      </c>
      <c r="S100" s="2" t="str">
        <f t="shared" si="11"/>
        <v>In-Store</v>
      </c>
      <c r="T100" s="2" t="str">
        <f t="shared" si="12"/>
        <v>Bank Transfer</v>
      </c>
      <c r="U100" s="2" t="str">
        <f t="shared" si="13"/>
        <v>Pending</v>
      </c>
      <c r="V100" s="2">
        <f t="shared" si="14"/>
        <v>7</v>
      </c>
      <c r="W100" s="2">
        <f t="shared" si="15"/>
        <v>244.05</v>
      </c>
      <c r="X10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45357</v>
      </c>
      <c r="Y100" s="2">
        <f t="shared" si="16"/>
        <v>0.05</v>
      </c>
      <c r="Z100" s="2" t="str">
        <f>TRIM(CLEAN(tblOrders[[#This Row],[Notes]]))</f>
        <v/>
      </c>
      <c r="AA100" s="2" t="str">
        <f t="shared" si="17"/>
        <v>High Value</v>
      </c>
      <c r="AB100" s="2">
        <f>IF(OR(tblOrders[[#This Row],[Quantity_Clean]]="",tblOrders[[#This Row],[UnitPrice_Clean]]=""),0,tblOrders[[#This Row],[Quantity_Clean]]*tblOrders[[#This Row],[UnitPrice_Clean]])</f>
        <v>1708.3500000000001</v>
      </c>
      <c r="AC100" s="2" t="str">
        <f>UPPER(TRIM(tblOrders[[#This Row],[OrderID]]))</f>
        <v>ORD-1191</v>
      </c>
      <c r="AD100" s="2">
        <f>VALUE(RIGHT(tblOrders[[#This Row],[OrderID]],4))</f>
        <v>1191</v>
      </c>
      <c r="AE100" s="2" t="str">
        <f>TEXT(tblOrders[[#This Row],[OrderDate_Clean]],"mmm-yyyy")</f>
        <v>Mar-2024</v>
      </c>
      <c r="AF100" s="3">
        <f>EOMONTH(tblOrders[[#This Row],[OrderDate_Clean]],0)</f>
        <v>45382</v>
      </c>
      <c r="AG100" s="2" t="s">
        <v>929</v>
      </c>
      <c r="AH100" s="2">
        <f>IF(tblOrders[[#This Row],[Discount]]="",0,IF(ISNUMBER(tblOrders[[#This Row],[Discount]]),tblOrders[[#This Row],[Discount]],VALUE(SUBSTITUTE(TRIM(tblOrders[[#This Row],[Discount]]),"%",""))/100))</f>
        <v>0.05</v>
      </c>
    </row>
    <row r="101" spans="1:34" x14ac:dyDescent="0.25">
      <c r="A101" s="2" t="s">
        <v>514</v>
      </c>
      <c r="B101" s="2" t="s">
        <v>515</v>
      </c>
      <c r="C101" s="2" t="s">
        <v>516</v>
      </c>
      <c r="D101" s="2" t="s">
        <v>285</v>
      </c>
      <c r="E101" s="2" t="s">
        <v>32</v>
      </c>
      <c r="F101" s="2" t="s">
        <v>91</v>
      </c>
      <c r="G101" s="2" t="s">
        <v>220</v>
      </c>
      <c r="H101" s="2" t="s">
        <v>48</v>
      </c>
      <c r="I101" s="2">
        <v>10</v>
      </c>
      <c r="J101" s="2">
        <v>224.17</v>
      </c>
      <c r="K101" s="2">
        <v>0.05</v>
      </c>
      <c r="L101" s="2" t="s">
        <v>237</v>
      </c>
      <c r="M101" s="2" t="s">
        <v>170</v>
      </c>
      <c r="N101" s="2" t="s">
        <v>50</v>
      </c>
      <c r="O101" s="2" t="s">
        <v>126</v>
      </c>
      <c r="P101" s="2" t="str">
        <f t="shared" si="9"/>
        <v>Olivia Clark</v>
      </c>
      <c r="Q101" s="2" t="str">
        <f>IF(OR(PROPER(TRIM(tblOrders[[#This Row],[Region]]))="Nort",PROPER(TRIM(tblOrders[[#This Row],[Region]]))="Northh"),"North",PROPER(TRIM(tblOrders[[#This Row],[Region]])))</f>
        <v>North</v>
      </c>
      <c r="R101" s="2" t="str">
        <f t="shared" si="10"/>
        <v>Electronics</v>
      </c>
      <c r="S101" s="2" t="str">
        <f t="shared" si="11"/>
        <v>In-Store</v>
      </c>
      <c r="T101" s="2" t="str">
        <f t="shared" si="12"/>
        <v>Bank Transfer</v>
      </c>
      <c r="U101" s="2" t="str">
        <f t="shared" si="13"/>
        <v>Cancelled</v>
      </c>
      <c r="V101" s="2">
        <f t="shared" si="14"/>
        <v>10</v>
      </c>
      <c r="W101" s="2">
        <f t="shared" si="15"/>
        <v>224.17</v>
      </c>
      <c r="X10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45640</v>
      </c>
      <c r="Y101" s="2">
        <f t="shared" si="16"/>
        <v>0.05</v>
      </c>
      <c r="Z101" s="2" t="str">
        <f>TRIM(CLEAN(tblOrders[[#This Row],[Notes]]))</f>
        <v>Gift wrap requested</v>
      </c>
      <c r="AA101" s="2" t="str">
        <f t="shared" si="17"/>
        <v>High Value</v>
      </c>
      <c r="AB101" s="2">
        <f>IF(OR(tblOrders[[#This Row],[Quantity_Clean]]="",tblOrders[[#This Row],[UnitPrice_Clean]]=""),0,tblOrders[[#This Row],[Quantity_Clean]]*tblOrders[[#This Row],[UnitPrice_Clean]])</f>
        <v>2241.6999999999998</v>
      </c>
      <c r="AC101" s="2" t="str">
        <f>UPPER(TRIM(tblOrders[[#This Row],[OrderID]]))</f>
        <v>ORD-1221</v>
      </c>
      <c r="AD101" s="2">
        <f>VALUE(RIGHT(tblOrders[[#This Row],[OrderID]],4))</f>
        <v>1221</v>
      </c>
      <c r="AE101" s="2" t="str">
        <f>TEXT(tblOrders[[#This Row],[OrderDate_Clean]],"mmm-yyyy")</f>
        <v>Dec-2024</v>
      </c>
      <c r="AF101" s="3">
        <f>EOMONTH(tblOrders[[#This Row],[OrderDate_Clean]],0)</f>
        <v>45657</v>
      </c>
      <c r="AG101" s="2" t="s">
        <v>930</v>
      </c>
      <c r="AH101" s="2">
        <f>IF(tblOrders[[#This Row],[Discount]]="",0,IF(ISNUMBER(tblOrders[[#This Row],[Discount]]),tblOrders[[#This Row],[Discount]],VALUE(SUBSTITUTE(TRIM(tblOrders[[#This Row],[Discount]]),"%",""))/100))</f>
        <v>0.05</v>
      </c>
    </row>
    <row r="102" spans="1:34" x14ac:dyDescent="0.25">
      <c r="A102" s="2" t="s">
        <v>404</v>
      </c>
      <c r="B102" s="2" t="s">
        <v>405</v>
      </c>
      <c r="C102" s="2" t="s">
        <v>406</v>
      </c>
      <c r="D102" s="2" t="s">
        <v>285</v>
      </c>
      <c r="E102" s="2" t="s">
        <v>199</v>
      </c>
      <c r="F102" s="2" t="s">
        <v>91</v>
      </c>
      <c r="G102" s="2" t="s">
        <v>177</v>
      </c>
      <c r="H102" s="2" t="s">
        <v>195</v>
      </c>
      <c r="I102" s="2">
        <v>4</v>
      </c>
      <c r="J102" s="2">
        <v>179.4</v>
      </c>
      <c r="K102" s="2" t="s">
        <v>138</v>
      </c>
      <c r="L102" s="2" t="s">
        <v>132</v>
      </c>
      <c r="M102" s="2" t="s">
        <v>60</v>
      </c>
      <c r="N102" s="2"/>
      <c r="O102" s="2" t="s">
        <v>171</v>
      </c>
      <c r="P102" s="2" t="str">
        <f t="shared" si="9"/>
        <v>John Anderson</v>
      </c>
      <c r="Q102" s="2" t="str">
        <f>IF(OR(PROPER(TRIM(tblOrders[[#This Row],[Region]]))="Nort",PROPER(TRIM(tblOrders[[#This Row],[Region]]))="Northh"),"North",PROPER(TRIM(tblOrders[[#This Row],[Region]])))</f>
        <v>North</v>
      </c>
      <c r="R102" s="2" t="str">
        <f t="shared" si="10"/>
        <v>Electronics</v>
      </c>
      <c r="S102" s="2" t="str">
        <f t="shared" si="11"/>
        <v>In-Store</v>
      </c>
      <c r="T102" s="2" t="str">
        <f t="shared" si="12"/>
        <v>Cash</v>
      </c>
      <c r="U102" s="2" t="str">
        <f t="shared" si="13"/>
        <v>Completed</v>
      </c>
      <c r="V102" s="2">
        <f t="shared" si="14"/>
        <v>4</v>
      </c>
      <c r="W102" s="2">
        <f t="shared" si="15"/>
        <v>179.4</v>
      </c>
      <c r="X10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45622</v>
      </c>
      <c r="Y102" s="2" t="str">
        <f t="shared" si="16"/>
        <v>5%</v>
      </c>
      <c r="Z102" s="2" t="str">
        <f>TRIM(CLEAN(tblOrders[[#This Row],[Notes]]))</f>
        <v>Leave at front desk</v>
      </c>
      <c r="AA102" s="2" t="str">
        <f t="shared" si="17"/>
        <v>Standard</v>
      </c>
      <c r="AB102" s="2">
        <f>IF(OR(tblOrders[[#This Row],[Quantity_Clean]]="",tblOrders[[#This Row],[UnitPrice_Clean]]=""),0,tblOrders[[#This Row],[Quantity_Clean]]*tblOrders[[#This Row],[UnitPrice_Clean]])</f>
        <v>717.6</v>
      </c>
      <c r="AC102" s="2" t="str">
        <f>UPPER(TRIM(tblOrders[[#This Row],[OrderID]]))</f>
        <v>ORD-1050</v>
      </c>
      <c r="AD102" s="2">
        <f>VALUE(RIGHT(tblOrders[[#This Row],[OrderID]],4))</f>
        <v>1050</v>
      </c>
      <c r="AE102" s="2" t="str">
        <f>TEXT(tblOrders[[#This Row],[OrderDate_Clean]],"mmm-yyyy")</f>
        <v>Nov-2024</v>
      </c>
      <c r="AF102" s="3">
        <f>EOMONTH(tblOrders[[#This Row],[OrderDate_Clean]],0)</f>
        <v>45626</v>
      </c>
      <c r="AG102" s="2" t="s">
        <v>931</v>
      </c>
      <c r="AH102" s="2">
        <f>IF(tblOrders[[#This Row],[Discount]]="",0,IF(ISNUMBER(tblOrders[[#This Row],[Discount]]),tblOrders[[#This Row],[Discount]],VALUE(SUBSTITUTE(TRIM(tblOrders[[#This Row],[Discount]]),"%",""))/100))</f>
        <v>0.05</v>
      </c>
    </row>
    <row r="103" spans="1:34" x14ac:dyDescent="0.25">
      <c r="A103" s="2" t="s">
        <v>701</v>
      </c>
      <c r="B103" s="2" t="s">
        <v>702</v>
      </c>
      <c r="C103" s="2" t="s">
        <v>703</v>
      </c>
      <c r="D103" s="2" t="s">
        <v>175</v>
      </c>
      <c r="E103" s="2" t="s">
        <v>76</v>
      </c>
      <c r="F103" s="2" t="s">
        <v>91</v>
      </c>
      <c r="G103" s="2" t="s">
        <v>220</v>
      </c>
      <c r="H103" s="2" t="s">
        <v>58</v>
      </c>
      <c r="I103" s="2">
        <v>1</v>
      </c>
      <c r="J103" s="2">
        <v>172.58</v>
      </c>
      <c r="K103" s="2">
        <v>0.15</v>
      </c>
      <c r="L103" s="2" t="s">
        <v>37</v>
      </c>
      <c r="M103" s="2" t="s">
        <v>38</v>
      </c>
      <c r="N103" s="2"/>
      <c r="O103" s="2" t="s">
        <v>27</v>
      </c>
      <c r="P103" s="2" t="str">
        <f t="shared" si="9"/>
        <v>James Smith</v>
      </c>
      <c r="Q103" s="2" t="str">
        <f>IF(OR(PROPER(TRIM(tblOrders[[#This Row],[Region]]))="Nort",PROPER(TRIM(tblOrders[[#This Row],[Region]]))="Northh"),"North",PROPER(TRIM(tblOrders[[#This Row],[Region]])))</f>
        <v>North</v>
      </c>
      <c r="R103" s="2" t="str">
        <f t="shared" si="10"/>
        <v>Electronics</v>
      </c>
      <c r="S103" s="2" t="str">
        <f t="shared" si="11"/>
        <v>Online</v>
      </c>
      <c r="T103" s="2" t="str">
        <f t="shared" si="12"/>
        <v>Bank Transfer</v>
      </c>
      <c r="U103" s="2" t="str">
        <f t="shared" si="13"/>
        <v>Cancelled</v>
      </c>
      <c r="V103" s="2">
        <f t="shared" si="14"/>
        <v>1</v>
      </c>
      <c r="W103" s="2">
        <f t="shared" si="15"/>
        <v>172.58</v>
      </c>
      <c r="X10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45385</v>
      </c>
      <c r="Y103" s="2">
        <f t="shared" si="16"/>
        <v>0.15</v>
      </c>
      <c r="Z103" s="2" t="str">
        <f>TRIM(CLEAN(tblOrders[[#This Row],[Notes]]))</f>
        <v>Customer called twice</v>
      </c>
      <c r="AA103" s="2" t="str">
        <f t="shared" si="17"/>
        <v>Standard</v>
      </c>
      <c r="AB103" s="2">
        <f>IF(OR(tblOrders[[#This Row],[Quantity_Clean]]="",tblOrders[[#This Row],[UnitPrice_Clean]]=""),0,tblOrders[[#This Row],[Quantity_Clean]]*tblOrders[[#This Row],[UnitPrice_Clean]])</f>
        <v>172.58</v>
      </c>
      <c r="AC103" s="2" t="str">
        <f>UPPER(TRIM(tblOrders[[#This Row],[OrderID]]))</f>
        <v>ORD-1078</v>
      </c>
      <c r="AD103" s="2">
        <f>VALUE(RIGHT(tblOrders[[#This Row],[OrderID]],4))</f>
        <v>1078</v>
      </c>
      <c r="AE103" s="2" t="str">
        <f>TEXT(tblOrders[[#This Row],[OrderDate_Clean]],"mmm-yyyy")</f>
        <v>Apr-2024</v>
      </c>
      <c r="AF103" s="3">
        <f>EOMONTH(tblOrders[[#This Row],[OrderDate_Clean]],0)</f>
        <v>45412</v>
      </c>
      <c r="AG103" s="2" t="s">
        <v>890</v>
      </c>
      <c r="AH103" s="2">
        <f>IF(tblOrders[[#This Row],[Discount]]="",0,IF(ISNUMBER(tblOrders[[#This Row],[Discount]]),tblOrders[[#This Row],[Discount]],VALUE(SUBSTITUTE(TRIM(tblOrders[[#This Row],[Discount]]),"%",""))/100))</f>
        <v>0.15</v>
      </c>
    </row>
    <row r="104" spans="1:34" x14ac:dyDescent="0.25">
      <c r="A104" s="2" t="s">
        <v>695</v>
      </c>
      <c r="B104" s="2" t="s">
        <v>696</v>
      </c>
      <c r="C104" s="2" t="s">
        <v>697</v>
      </c>
      <c r="D104" s="2" t="s">
        <v>152</v>
      </c>
      <c r="E104" s="2" t="s">
        <v>19</v>
      </c>
      <c r="F104" s="2" t="s">
        <v>91</v>
      </c>
      <c r="G104" s="2" t="s">
        <v>84</v>
      </c>
      <c r="H104" s="2" t="s">
        <v>35</v>
      </c>
      <c r="I104" s="2"/>
      <c r="J104" s="2">
        <v>113.23</v>
      </c>
      <c r="K104" s="2"/>
      <c r="L104" s="2" t="s">
        <v>24</v>
      </c>
      <c r="M104" s="2" t="s">
        <v>70</v>
      </c>
      <c r="N104" s="2"/>
      <c r="O104" s="2" t="s">
        <v>51</v>
      </c>
      <c r="P104" s="2" t="str">
        <f t="shared" si="9"/>
        <v>Tom Ali</v>
      </c>
      <c r="Q104" s="2" t="str">
        <f>IF(OR(PROPER(TRIM(tblOrders[[#This Row],[Region]]))="Nort",PROPER(TRIM(tblOrders[[#This Row],[Region]]))="Northh"),"North",PROPER(TRIM(tblOrders[[#This Row],[Region]])))</f>
        <v>East</v>
      </c>
      <c r="R104" s="2" t="str">
        <f t="shared" si="10"/>
        <v>Electronics</v>
      </c>
      <c r="S104" s="2" t="str">
        <f t="shared" si="11"/>
        <v>In-Store</v>
      </c>
      <c r="T104" s="2" t="str">
        <f t="shared" si="12"/>
        <v>Credit Card</v>
      </c>
      <c r="U104" s="2" t="str">
        <f t="shared" si="13"/>
        <v>Refunded</v>
      </c>
      <c r="V104" s="2" t="str">
        <f t="shared" si="14"/>
        <v/>
      </c>
      <c r="W104" s="2">
        <f t="shared" si="15"/>
        <v>113.23</v>
      </c>
      <c r="X10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45651</v>
      </c>
      <c r="Y104" s="2">
        <f t="shared" si="16"/>
        <v>0</v>
      </c>
      <c r="Z104" s="2" t="str">
        <f>TRIM(CLEAN(tblOrders[[#This Row],[Notes]]))</f>
        <v/>
      </c>
      <c r="AA104" s="2" t="str">
        <f t="shared" si="17"/>
        <v>Review</v>
      </c>
      <c r="AB104" s="2">
        <f>IF(OR(tblOrders[[#This Row],[Quantity_Clean]]="",tblOrders[[#This Row],[UnitPrice_Clean]]=""),0,tblOrders[[#This Row],[Quantity_Clean]]*tblOrders[[#This Row],[UnitPrice_Clean]])</f>
        <v>0</v>
      </c>
      <c r="AC104" s="2" t="str">
        <f>UPPER(TRIM(tblOrders[[#This Row],[OrderID]]))</f>
        <v>ORD-1001</v>
      </c>
      <c r="AD104" s="2">
        <f>VALUE(RIGHT(tblOrders[[#This Row],[OrderID]],4))</f>
        <v>1001</v>
      </c>
      <c r="AE104" s="2" t="str">
        <f>TEXT(tblOrders[[#This Row],[OrderDate_Clean]],"mmm-yyyy")</f>
        <v>Dec-2024</v>
      </c>
      <c r="AF104" s="3">
        <f>EOMONTH(tblOrders[[#This Row],[OrderDate_Clean]],0)</f>
        <v>45657</v>
      </c>
      <c r="AG104" s="2" t="s">
        <v>919</v>
      </c>
      <c r="AH104" s="2">
        <f>IF(tblOrders[[#This Row],[Discount]]="",0,IF(ISNUMBER(tblOrders[[#This Row],[Discount]]),tblOrders[[#This Row],[Discount]],VALUE(SUBSTITUTE(TRIM(tblOrders[[#This Row],[Discount]]),"%",""))/100))</f>
        <v>0</v>
      </c>
    </row>
    <row r="105" spans="1:34" x14ac:dyDescent="0.25">
      <c r="A105" s="2" t="s">
        <v>566</v>
      </c>
      <c r="B105" s="2" t="s">
        <v>567</v>
      </c>
      <c r="C105" s="2" t="s">
        <v>568</v>
      </c>
      <c r="D105" s="2" t="s">
        <v>188</v>
      </c>
      <c r="E105" s="2" t="s">
        <v>76</v>
      </c>
      <c r="F105" s="2" t="s">
        <v>91</v>
      </c>
      <c r="G105" s="2" t="s">
        <v>100</v>
      </c>
      <c r="H105" s="2" t="s">
        <v>200</v>
      </c>
      <c r="I105" s="2">
        <v>3</v>
      </c>
      <c r="J105" s="2">
        <v>61.62</v>
      </c>
      <c r="K105" s="2">
        <v>0.1</v>
      </c>
      <c r="L105" s="2" t="s">
        <v>237</v>
      </c>
      <c r="M105" s="2" t="s">
        <v>170</v>
      </c>
      <c r="N105" s="2" t="s">
        <v>111</v>
      </c>
      <c r="O105" s="2" t="s">
        <v>27</v>
      </c>
      <c r="P105" s="2" t="str">
        <f t="shared" si="9"/>
        <v>Laura Johnson</v>
      </c>
      <c r="Q105" s="2" t="str">
        <f>IF(OR(PROPER(TRIM(tblOrders[[#This Row],[Region]]))="Nort",PROPER(TRIM(tblOrders[[#This Row],[Region]]))="Northh"),"North",PROPER(TRIM(tblOrders[[#This Row],[Region]])))</f>
        <v>North</v>
      </c>
      <c r="R105" s="2" t="str">
        <f t="shared" si="10"/>
        <v>Electronics</v>
      </c>
      <c r="S105" s="2" t="str">
        <f t="shared" si="11"/>
        <v>Online</v>
      </c>
      <c r="T105" s="2" t="str">
        <f t="shared" si="12"/>
        <v>Bank Transfer</v>
      </c>
      <c r="U105" s="2" t="str">
        <f t="shared" si="13"/>
        <v>Cancelled</v>
      </c>
      <c r="V105" s="2">
        <f t="shared" si="14"/>
        <v>3</v>
      </c>
      <c r="W105" s="2">
        <f t="shared" si="15"/>
        <v>61.62</v>
      </c>
      <c r="X10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45602</v>
      </c>
      <c r="Y105" s="2">
        <f t="shared" si="16"/>
        <v>0.1</v>
      </c>
      <c r="Z105" s="2" t="str">
        <f>TRIM(CLEAN(tblOrders[[#This Row],[Notes]]))</f>
        <v>Customer called twice</v>
      </c>
      <c r="AA105" s="2" t="str">
        <f t="shared" si="17"/>
        <v>Standard</v>
      </c>
      <c r="AB105" s="2">
        <f>IF(OR(tblOrders[[#This Row],[Quantity_Clean]]="",tblOrders[[#This Row],[UnitPrice_Clean]]=""),0,tblOrders[[#This Row],[Quantity_Clean]]*tblOrders[[#This Row],[UnitPrice_Clean]])</f>
        <v>184.85999999999999</v>
      </c>
      <c r="AC105" s="2" t="str">
        <f>UPPER(TRIM(tblOrders[[#This Row],[OrderID]]))</f>
        <v>ORD-1029</v>
      </c>
      <c r="AD105" s="2">
        <f>VALUE(RIGHT(tblOrders[[#This Row],[OrderID]],4))</f>
        <v>1029</v>
      </c>
      <c r="AE105" s="2" t="str">
        <f>TEXT(tblOrders[[#This Row],[OrderDate_Clean]],"mmm-yyyy")</f>
        <v>Nov-2024</v>
      </c>
      <c r="AF105" s="3">
        <f>EOMONTH(tblOrders[[#This Row],[OrderDate_Clean]],0)</f>
        <v>45626</v>
      </c>
      <c r="AG105" s="2" t="s">
        <v>897</v>
      </c>
      <c r="AH105" s="2">
        <f>IF(tblOrders[[#This Row],[Discount]]="",0,IF(ISNUMBER(tblOrders[[#This Row],[Discount]]),tblOrders[[#This Row],[Discount]],VALUE(SUBSTITUTE(TRIM(tblOrders[[#This Row],[Discount]]),"%",""))/100))</f>
        <v>0.1</v>
      </c>
    </row>
    <row r="106" spans="1:34" x14ac:dyDescent="0.25">
      <c r="A106" s="2" t="s">
        <v>166</v>
      </c>
      <c r="B106" s="2" t="s">
        <v>167</v>
      </c>
      <c r="C106" s="2" t="s">
        <v>168</v>
      </c>
      <c r="D106" s="2" t="s">
        <v>116</v>
      </c>
      <c r="E106" s="2" t="s">
        <v>117</v>
      </c>
      <c r="F106" s="2" t="s">
        <v>91</v>
      </c>
      <c r="G106" s="2" t="s">
        <v>164</v>
      </c>
      <c r="H106" s="2" t="s">
        <v>58</v>
      </c>
      <c r="I106" s="2" t="s">
        <v>169</v>
      </c>
      <c r="J106" s="2">
        <v>44.12</v>
      </c>
      <c r="K106" s="2">
        <v>0.05</v>
      </c>
      <c r="L106" s="2" t="s">
        <v>102</v>
      </c>
      <c r="M106" s="2" t="s">
        <v>170</v>
      </c>
      <c r="N106" s="2" t="s">
        <v>50</v>
      </c>
      <c r="O106" s="2" t="s">
        <v>171</v>
      </c>
      <c r="P106" s="2" t="str">
        <f t="shared" si="9"/>
        <v>Yusuf Khan</v>
      </c>
      <c r="Q106" s="2" t="str">
        <f>IF(OR(PROPER(TRIM(tblOrders[[#This Row],[Region]]))="Nort",PROPER(TRIM(tblOrders[[#This Row],[Region]]))="Northh"),"North",PROPER(TRIM(tblOrders[[#This Row],[Region]])))</f>
        <v>East</v>
      </c>
      <c r="R106" s="2" t="str">
        <f t="shared" si="10"/>
        <v>Electronics</v>
      </c>
      <c r="S106" s="2" t="str">
        <f t="shared" si="11"/>
        <v>Online</v>
      </c>
      <c r="T106" s="2" t="str">
        <f t="shared" si="12"/>
        <v>Cash</v>
      </c>
      <c r="U106" s="2" t="str">
        <f t="shared" si="13"/>
        <v>Cancelled</v>
      </c>
      <c r="V106" s="2">
        <f t="shared" si="14"/>
        <v>5</v>
      </c>
      <c r="W106" s="2">
        <f t="shared" si="15"/>
        <v>44.12</v>
      </c>
      <c r="X10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45592</v>
      </c>
      <c r="Y106" s="2">
        <f t="shared" si="16"/>
        <v>0.05</v>
      </c>
      <c r="Z106" s="2" t="str">
        <f>TRIM(CLEAN(tblOrders[[#This Row],[Notes]]))</f>
        <v>Leave at front desk</v>
      </c>
      <c r="AA106" s="2" t="str">
        <f t="shared" si="17"/>
        <v>Standard</v>
      </c>
      <c r="AB106" s="2">
        <f>IF(OR(tblOrders[[#This Row],[Quantity_Clean]]="",tblOrders[[#This Row],[UnitPrice_Clean]]=""),0,tblOrders[[#This Row],[Quantity_Clean]]*tblOrders[[#This Row],[UnitPrice_Clean]])</f>
        <v>220.6</v>
      </c>
      <c r="AC106" s="2" t="str">
        <f>UPPER(TRIM(tblOrders[[#This Row],[OrderID]]))</f>
        <v>ORD-1142</v>
      </c>
      <c r="AD106" s="2">
        <f>VALUE(RIGHT(tblOrders[[#This Row],[OrderID]],4))</f>
        <v>1142</v>
      </c>
      <c r="AE106" s="2" t="str">
        <f>TEXT(tblOrders[[#This Row],[OrderDate_Clean]],"mmm-yyyy")</f>
        <v>Oct-2024</v>
      </c>
      <c r="AF106" s="3">
        <f>EOMONTH(tblOrders[[#This Row],[OrderDate_Clean]],0)</f>
        <v>45596</v>
      </c>
      <c r="AG106" s="2" t="s">
        <v>907</v>
      </c>
      <c r="AH106" s="2">
        <f>IF(tblOrders[[#This Row],[Discount]]="",0,IF(ISNUMBER(tblOrders[[#This Row],[Discount]]),tblOrders[[#This Row],[Discount]],VALUE(SUBSTITUTE(TRIM(tblOrders[[#This Row],[Discount]]),"%",""))/100))</f>
        <v>0.05</v>
      </c>
    </row>
    <row r="107" spans="1:34" x14ac:dyDescent="0.25">
      <c r="A107" s="2" t="s">
        <v>338</v>
      </c>
      <c r="B107" s="2" t="s">
        <v>279</v>
      </c>
      <c r="C107" s="2" t="s">
        <v>339</v>
      </c>
      <c r="D107" s="2" t="s">
        <v>116</v>
      </c>
      <c r="E107" s="2" t="s">
        <v>117</v>
      </c>
      <c r="F107" s="2" t="s">
        <v>91</v>
      </c>
      <c r="G107" s="2" t="s">
        <v>164</v>
      </c>
      <c r="H107" s="2" t="s">
        <v>200</v>
      </c>
      <c r="I107" s="2">
        <v>6</v>
      </c>
      <c r="J107" s="2">
        <v>41.4</v>
      </c>
      <c r="K107" s="2">
        <v>0.1</v>
      </c>
      <c r="L107" s="2" t="s">
        <v>79</v>
      </c>
      <c r="M107" s="2" t="s">
        <v>158</v>
      </c>
      <c r="N107" s="2" t="s">
        <v>26</v>
      </c>
      <c r="O107" s="2" t="s">
        <v>27</v>
      </c>
      <c r="P107" s="2" t="str">
        <f t="shared" si="9"/>
        <v>Sofia Wilson</v>
      </c>
      <c r="Q107" s="2" t="str">
        <f>IF(OR(PROPER(TRIM(tblOrders[[#This Row],[Region]]))="Nort",PROPER(TRIM(tblOrders[[#This Row],[Region]]))="Northh"),"North",PROPER(TRIM(tblOrders[[#This Row],[Region]])))</f>
        <v>East</v>
      </c>
      <c r="R107" s="2" t="str">
        <f t="shared" si="10"/>
        <v>Electronics</v>
      </c>
      <c r="S107" s="2" t="str">
        <f t="shared" si="11"/>
        <v>Online</v>
      </c>
      <c r="T107" s="2" t="str">
        <f t="shared" si="12"/>
        <v>Cash</v>
      </c>
      <c r="U107" s="2" t="str">
        <f t="shared" si="13"/>
        <v>Pending</v>
      </c>
      <c r="V107" s="2">
        <f t="shared" si="14"/>
        <v>6</v>
      </c>
      <c r="W107" s="2">
        <f t="shared" si="15"/>
        <v>41.4</v>
      </c>
      <c r="X10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45352</v>
      </c>
      <c r="Y107" s="2">
        <f t="shared" si="16"/>
        <v>0.1</v>
      </c>
      <c r="Z107" s="2" t="str">
        <f>TRIM(CLEAN(tblOrders[[#This Row],[Notes]]))</f>
        <v>Customer called twice</v>
      </c>
      <c r="AA107" s="2" t="str">
        <f t="shared" si="17"/>
        <v>Standard</v>
      </c>
      <c r="AB107" s="2">
        <f>IF(OR(tblOrders[[#This Row],[Quantity_Clean]]="",tblOrders[[#This Row],[UnitPrice_Clean]]=""),0,tblOrders[[#This Row],[Quantity_Clean]]*tblOrders[[#This Row],[UnitPrice_Clean]])</f>
        <v>248.39999999999998</v>
      </c>
      <c r="AC107" s="2" t="str">
        <f>UPPER(TRIM(tblOrders[[#This Row],[OrderID]]))</f>
        <v>ORD-1091</v>
      </c>
      <c r="AD107" s="2">
        <f>VALUE(RIGHT(tblOrders[[#This Row],[OrderID]],4))</f>
        <v>1091</v>
      </c>
      <c r="AE107" s="2" t="str">
        <f>TEXT(tblOrders[[#This Row],[OrderDate_Clean]],"mmm-yyyy")</f>
        <v>Mar-2024</v>
      </c>
      <c r="AF107" s="3">
        <f>EOMONTH(tblOrders[[#This Row],[OrderDate_Clean]],0)</f>
        <v>45382</v>
      </c>
      <c r="AG107" s="2" t="s">
        <v>891</v>
      </c>
      <c r="AH107" s="2">
        <f>IF(tblOrders[[#This Row],[Discount]]="",0,IF(ISNUMBER(tblOrders[[#This Row],[Discount]]),tblOrders[[#This Row],[Discount]],VALUE(SUBSTITUTE(TRIM(tblOrders[[#This Row],[Discount]]),"%",""))/100))</f>
        <v>0.1</v>
      </c>
    </row>
    <row r="108" spans="1:34" x14ac:dyDescent="0.25">
      <c r="A108" s="2" t="s">
        <v>762</v>
      </c>
      <c r="B108" s="2" t="s">
        <v>763</v>
      </c>
      <c r="C108" s="2" t="s">
        <v>764</v>
      </c>
      <c r="D108" s="2" t="s">
        <v>258</v>
      </c>
      <c r="E108" s="2" t="s">
        <v>125</v>
      </c>
      <c r="F108" s="2" t="s">
        <v>91</v>
      </c>
      <c r="G108" s="2" t="s">
        <v>164</v>
      </c>
      <c r="H108" s="2" t="s">
        <v>195</v>
      </c>
      <c r="I108" s="2"/>
      <c r="J108" s="2">
        <v>36.909999999999997</v>
      </c>
      <c r="K108" s="2">
        <v>0.05</v>
      </c>
      <c r="L108" s="2" t="s">
        <v>180</v>
      </c>
      <c r="M108" s="2" t="s">
        <v>144</v>
      </c>
      <c r="N108" s="2" t="s">
        <v>71</v>
      </c>
      <c r="O108" s="2" t="s">
        <v>87</v>
      </c>
      <c r="P108" s="2" t="str">
        <f t="shared" si="9"/>
        <v>Sarah Ahmed</v>
      </c>
      <c r="Q108" s="2" t="str">
        <f>IF(OR(PROPER(TRIM(tblOrders[[#This Row],[Region]]))="Nort",PROPER(TRIM(tblOrders[[#This Row],[Region]]))="Northh"),"North",PROPER(TRIM(tblOrders[[#This Row],[Region]])))</f>
        <v>South</v>
      </c>
      <c r="R108" s="2" t="str">
        <f t="shared" si="10"/>
        <v>Electronics</v>
      </c>
      <c r="S108" s="2" t="str">
        <f t="shared" si="11"/>
        <v>In-Store</v>
      </c>
      <c r="T108" s="2" t="str">
        <f t="shared" si="12"/>
        <v>Credit Card</v>
      </c>
      <c r="U108" s="2" t="str">
        <f t="shared" si="13"/>
        <v>Refunded</v>
      </c>
      <c r="V108" s="2" t="str">
        <f t="shared" si="14"/>
        <v/>
      </c>
      <c r="W108" s="2">
        <f t="shared" si="15"/>
        <v>36.909999999999997</v>
      </c>
      <c r="X10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45354</v>
      </c>
      <c r="Y108" s="2">
        <f t="shared" si="16"/>
        <v>0.05</v>
      </c>
      <c r="Z108" s="2" t="str">
        <f>TRIM(CLEAN(tblOrders[[#This Row],[Notes]]))</f>
        <v>Damaged on arrival - replaced</v>
      </c>
      <c r="AA108" s="2" t="str">
        <f t="shared" si="17"/>
        <v>Review</v>
      </c>
      <c r="AB108" s="2">
        <f>IF(OR(tblOrders[[#This Row],[Quantity_Clean]]="",tblOrders[[#This Row],[UnitPrice_Clean]]=""),0,tblOrders[[#This Row],[Quantity_Clean]]*tblOrders[[#This Row],[UnitPrice_Clean]])</f>
        <v>0</v>
      </c>
      <c r="AC108" s="2" t="str">
        <f>UPPER(TRIM(tblOrders[[#This Row],[OrderID]]))</f>
        <v>ORD-1152</v>
      </c>
      <c r="AD108" s="2">
        <f>VALUE(RIGHT(tblOrders[[#This Row],[OrderID]],4))</f>
        <v>1152</v>
      </c>
      <c r="AE108" s="2" t="str">
        <f>TEXT(tblOrders[[#This Row],[OrderDate_Clean]],"mmm-yyyy")</f>
        <v>Mar-2024</v>
      </c>
      <c r="AF108" s="3">
        <f>EOMONTH(tblOrders[[#This Row],[OrderDate_Clean]],0)</f>
        <v>45382</v>
      </c>
      <c r="AG108" s="2" t="s">
        <v>929</v>
      </c>
      <c r="AH108" s="2">
        <f>IF(tblOrders[[#This Row],[Discount]]="",0,IF(ISNUMBER(tblOrders[[#This Row],[Discount]]),tblOrders[[#This Row],[Discount]],VALUE(SUBSTITUTE(TRIM(tblOrders[[#This Row],[Discount]]),"%",""))/100))</f>
        <v>0.05</v>
      </c>
    </row>
    <row r="109" spans="1:34" x14ac:dyDescent="0.25">
      <c r="A109" s="2" t="s">
        <v>603</v>
      </c>
      <c r="B109" s="2" t="s">
        <v>604</v>
      </c>
      <c r="C109" s="2" t="s">
        <v>605</v>
      </c>
      <c r="D109" s="2" t="s">
        <v>258</v>
      </c>
      <c r="E109" s="2" t="s">
        <v>125</v>
      </c>
      <c r="F109" s="2" t="s">
        <v>56</v>
      </c>
      <c r="G109" s="2" t="s">
        <v>57</v>
      </c>
      <c r="H109" s="2" t="s">
        <v>108</v>
      </c>
      <c r="I109" s="2">
        <v>10</v>
      </c>
      <c r="J109" s="2" t="s">
        <v>606</v>
      </c>
      <c r="K109" s="2">
        <v>0</v>
      </c>
      <c r="L109" s="2" t="s">
        <v>132</v>
      </c>
      <c r="M109" s="2" t="s">
        <v>60</v>
      </c>
      <c r="N109" s="2" t="s">
        <v>71</v>
      </c>
      <c r="O109" s="2" t="s">
        <v>87</v>
      </c>
      <c r="P109" s="2" t="str">
        <f t="shared" si="9"/>
        <v>Sana Smith</v>
      </c>
      <c r="Q109" s="2" t="str">
        <f>IF(OR(PROPER(TRIM(tblOrders[[#This Row],[Region]]))="Nort",PROPER(TRIM(tblOrders[[#This Row],[Region]]))="Northh"),"North",PROPER(TRIM(tblOrders[[#This Row],[Region]])))</f>
        <v>South</v>
      </c>
      <c r="R109" s="2" t="str">
        <f t="shared" si="10"/>
        <v>Furniture</v>
      </c>
      <c r="S109" s="2" t="str">
        <f t="shared" si="11"/>
        <v>In-Store</v>
      </c>
      <c r="T109" s="2" t="str">
        <f t="shared" si="12"/>
        <v>Cash</v>
      </c>
      <c r="U109" s="2" t="str">
        <f t="shared" si="13"/>
        <v>Completed</v>
      </c>
      <c r="V109" s="2">
        <f t="shared" si="14"/>
        <v>10</v>
      </c>
      <c r="W109" s="2">
        <f t="shared" si="15"/>
        <v>442.25</v>
      </c>
      <c r="X10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45518</v>
      </c>
      <c r="Y109" s="2">
        <f t="shared" si="16"/>
        <v>0</v>
      </c>
      <c r="Z109" s="2" t="str">
        <f>TRIM(CLEAN(tblOrders[[#This Row],[Notes]]))</f>
        <v>Damaged on arrival - replaced</v>
      </c>
      <c r="AA109" s="2" t="str">
        <f t="shared" si="17"/>
        <v>High Value</v>
      </c>
      <c r="AB109" s="2">
        <f>IF(OR(tblOrders[[#This Row],[Quantity_Clean]]="",tblOrders[[#This Row],[UnitPrice_Clean]]=""),0,tblOrders[[#This Row],[Quantity_Clean]]*tblOrders[[#This Row],[UnitPrice_Clean]])</f>
        <v>4422.5</v>
      </c>
      <c r="AC109" s="2" t="str">
        <f>UPPER(TRIM(tblOrders[[#This Row],[OrderID]]))</f>
        <v>ORD-1062</v>
      </c>
      <c r="AD109" s="2">
        <f>VALUE(RIGHT(tblOrders[[#This Row],[OrderID]],4))</f>
        <v>1062</v>
      </c>
      <c r="AE109" s="2" t="str">
        <f>TEXT(tblOrders[[#This Row],[OrderDate_Clean]],"mmm-yyyy")</f>
        <v>Aug-2024</v>
      </c>
      <c r="AF109" s="3">
        <f>EOMONTH(tblOrders[[#This Row],[OrderDate_Clean]],0)</f>
        <v>45535</v>
      </c>
      <c r="AG109" s="2" t="s">
        <v>925</v>
      </c>
      <c r="AH109" s="2">
        <f>IF(tblOrders[[#This Row],[Discount]]="",0,IF(ISNUMBER(tblOrders[[#This Row],[Discount]]),tblOrders[[#This Row],[Discount]],VALUE(SUBSTITUTE(TRIM(tblOrders[[#This Row],[Discount]]),"%",""))/100))</f>
        <v>0</v>
      </c>
    </row>
    <row r="110" spans="1:34" x14ac:dyDescent="0.25">
      <c r="A110" s="2" t="s">
        <v>589</v>
      </c>
      <c r="B110" s="2" t="s">
        <v>590</v>
      </c>
      <c r="C110" s="2" t="s">
        <v>591</v>
      </c>
      <c r="D110" s="2" t="s">
        <v>44</v>
      </c>
      <c r="E110" s="2" t="s">
        <v>125</v>
      </c>
      <c r="F110" s="2" t="s">
        <v>56</v>
      </c>
      <c r="G110" s="2" t="s">
        <v>330</v>
      </c>
      <c r="H110" s="2" t="s">
        <v>68</v>
      </c>
      <c r="I110" s="2">
        <v>8</v>
      </c>
      <c r="J110" s="2" t="s">
        <v>592</v>
      </c>
      <c r="K110" s="2">
        <v>0.15</v>
      </c>
      <c r="L110" s="2" t="s">
        <v>237</v>
      </c>
      <c r="M110" s="2" t="s">
        <v>144</v>
      </c>
      <c r="N110" s="2" t="s">
        <v>39</v>
      </c>
      <c r="O110" s="2" t="s">
        <v>51</v>
      </c>
      <c r="P110" s="2" t="str">
        <f t="shared" si="9"/>
        <v>David Taylor</v>
      </c>
      <c r="Q110" s="2" t="str">
        <f>IF(OR(PROPER(TRIM(tblOrders[[#This Row],[Region]]))="Nort",PROPER(TRIM(tblOrders[[#This Row],[Region]]))="Northh"),"North",PROPER(TRIM(tblOrders[[#This Row],[Region]])))</f>
        <v>South</v>
      </c>
      <c r="R110" s="2" t="str">
        <f t="shared" si="10"/>
        <v>Furniture</v>
      </c>
      <c r="S110" s="2" t="str">
        <f t="shared" si="11"/>
        <v>Online</v>
      </c>
      <c r="T110" s="2" t="str">
        <f t="shared" si="12"/>
        <v>Bank Transfer</v>
      </c>
      <c r="U110" s="2" t="str">
        <f t="shared" si="13"/>
        <v>Refunded</v>
      </c>
      <c r="V110" s="2">
        <f t="shared" si="14"/>
        <v>8</v>
      </c>
      <c r="W110" s="2">
        <f t="shared" si="15"/>
        <v>381.79</v>
      </c>
      <c r="X11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45358</v>
      </c>
      <c r="Y110" s="2">
        <f t="shared" si="16"/>
        <v>0.15</v>
      </c>
      <c r="Z110" s="2" t="str">
        <f>TRIM(CLEAN(tblOrders[[#This Row],[Notes]]))</f>
        <v/>
      </c>
      <c r="AA110" s="2" t="str">
        <f t="shared" si="17"/>
        <v>High Value</v>
      </c>
      <c r="AB110" s="2">
        <f>IF(OR(tblOrders[[#This Row],[Quantity_Clean]]="",tblOrders[[#This Row],[UnitPrice_Clean]]=""),0,tblOrders[[#This Row],[Quantity_Clean]]*tblOrders[[#This Row],[UnitPrice_Clean]])</f>
        <v>3054.32</v>
      </c>
      <c r="AC110" s="2" t="str">
        <f>UPPER(TRIM(tblOrders[[#This Row],[OrderID]]))</f>
        <v>ORD-1177</v>
      </c>
      <c r="AD110" s="2">
        <f>VALUE(RIGHT(tblOrders[[#This Row],[OrderID]],4))</f>
        <v>1177</v>
      </c>
      <c r="AE110" s="2" t="str">
        <f>TEXT(tblOrders[[#This Row],[OrderDate_Clean]],"mmm-yyyy")</f>
        <v>Mar-2024</v>
      </c>
      <c r="AF110" s="3">
        <f>EOMONTH(tblOrders[[#This Row],[OrderDate_Clean]],0)</f>
        <v>45382</v>
      </c>
      <c r="AG110" s="2" t="s">
        <v>882</v>
      </c>
      <c r="AH110" s="2">
        <f>IF(tblOrders[[#This Row],[Discount]]="",0,IF(ISNUMBER(tblOrders[[#This Row],[Discount]]),tblOrders[[#This Row],[Discount]],VALUE(SUBSTITUTE(TRIM(tblOrders[[#This Row],[Discount]]),"%",""))/100))</f>
        <v>0.15</v>
      </c>
    </row>
    <row r="111" spans="1:34" x14ac:dyDescent="0.25">
      <c r="A111" s="2" t="s">
        <v>626</v>
      </c>
      <c r="B111" s="2" t="s">
        <v>627</v>
      </c>
      <c r="C111" s="2" t="s">
        <v>628</v>
      </c>
      <c r="D111" s="2" t="s">
        <v>116</v>
      </c>
      <c r="E111" s="2" t="s">
        <v>117</v>
      </c>
      <c r="F111" s="2" t="s">
        <v>56</v>
      </c>
      <c r="G111" s="2" t="s">
        <v>154</v>
      </c>
      <c r="H111" s="2" t="s">
        <v>58</v>
      </c>
      <c r="I111" s="2">
        <v>5</v>
      </c>
      <c r="J111" s="2" t="s">
        <v>629</v>
      </c>
      <c r="K111" s="2">
        <v>0.2</v>
      </c>
      <c r="L111" s="2" t="s">
        <v>237</v>
      </c>
      <c r="M111" s="2" t="s">
        <v>25</v>
      </c>
      <c r="N111" s="2"/>
      <c r="O111" s="2" t="s">
        <v>93</v>
      </c>
      <c r="P111" s="2" t="str">
        <f t="shared" si="9"/>
        <v>Sarah Garcia</v>
      </c>
      <c r="Q111" s="2" t="str">
        <f>IF(OR(PROPER(TRIM(tblOrders[[#This Row],[Region]]))="Nort",PROPER(TRIM(tblOrders[[#This Row],[Region]]))="Northh"),"North",PROPER(TRIM(tblOrders[[#This Row],[Region]])))</f>
        <v>East</v>
      </c>
      <c r="R111" s="2" t="str">
        <f t="shared" si="10"/>
        <v>Furniture</v>
      </c>
      <c r="S111" s="2" t="str">
        <f t="shared" si="11"/>
        <v>Online</v>
      </c>
      <c r="T111" s="2" t="str">
        <f t="shared" si="12"/>
        <v>Bank Transfer</v>
      </c>
      <c r="U111" s="2" t="str">
        <f t="shared" si="13"/>
        <v>Completed</v>
      </c>
      <c r="V111" s="2">
        <f t="shared" si="14"/>
        <v>5</v>
      </c>
      <c r="W111" s="2">
        <f t="shared" si="15"/>
        <v>350.63</v>
      </c>
      <c r="X11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45373</v>
      </c>
      <c r="Y111" s="2">
        <f t="shared" si="16"/>
        <v>0.2</v>
      </c>
      <c r="Z111" s="2" t="str">
        <f>TRIM(CLEAN(tblOrders[[#This Row],[Notes]]))</f>
        <v>Bulk order - business account</v>
      </c>
      <c r="AA111" s="2" t="str">
        <f t="shared" si="17"/>
        <v>High Value</v>
      </c>
      <c r="AB111" s="2">
        <f>IF(OR(tblOrders[[#This Row],[Quantity_Clean]]="",tblOrders[[#This Row],[UnitPrice_Clean]]=""),0,tblOrders[[#This Row],[Quantity_Clean]]*tblOrders[[#This Row],[UnitPrice_Clean]])</f>
        <v>1753.15</v>
      </c>
      <c r="AC111" s="2" t="str">
        <f>UPPER(TRIM(tblOrders[[#This Row],[OrderID]]))</f>
        <v>ORD-1042</v>
      </c>
      <c r="AD111" s="2">
        <f>VALUE(RIGHT(tblOrders[[#This Row],[OrderID]],4))</f>
        <v>1042</v>
      </c>
      <c r="AE111" s="2" t="str">
        <f>TEXT(tblOrders[[#This Row],[OrderDate_Clean]],"mmm-yyyy")</f>
        <v>Mar-2024</v>
      </c>
      <c r="AF111" s="3">
        <f>EOMONTH(tblOrders[[#This Row],[OrderDate_Clean]],0)</f>
        <v>45382</v>
      </c>
      <c r="AG111" s="2" t="s">
        <v>929</v>
      </c>
      <c r="AH111" s="2">
        <f>IF(tblOrders[[#This Row],[Discount]]="",0,IF(ISNUMBER(tblOrders[[#This Row],[Discount]]),tblOrders[[#This Row],[Discount]],VALUE(SUBSTITUTE(TRIM(tblOrders[[#This Row],[Discount]]),"%",""))/100))</f>
        <v>0.2</v>
      </c>
    </row>
    <row r="112" spans="1:34" x14ac:dyDescent="0.25">
      <c r="A112" s="2" t="s">
        <v>710</v>
      </c>
      <c r="B112" s="2" t="s">
        <v>276</v>
      </c>
      <c r="C112" s="2" t="s">
        <v>711</v>
      </c>
      <c r="D112" s="2" t="s">
        <v>194</v>
      </c>
      <c r="E112" s="2" t="s">
        <v>98</v>
      </c>
      <c r="F112" s="2" t="s">
        <v>153</v>
      </c>
      <c r="G112" s="2" t="s">
        <v>154</v>
      </c>
      <c r="H112" s="2" t="s">
        <v>178</v>
      </c>
      <c r="I112" s="2"/>
      <c r="J112" s="2" t="s">
        <v>712</v>
      </c>
      <c r="K112" s="2" t="s">
        <v>347</v>
      </c>
      <c r="L112" s="2" t="s">
        <v>102</v>
      </c>
      <c r="M112" s="2" t="s">
        <v>144</v>
      </c>
      <c r="N112" s="2" t="s">
        <v>26</v>
      </c>
      <c r="O112" s="2" t="s">
        <v>112</v>
      </c>
      <c r="P112" s="2" t="str">
        <f t="shared" si="9"/>
        <v>Sana Khan</v>
      </c>
      <c r="Q112" s="2" t="str">
        <f>IF(OR(PROPER(TRIM(tblOrders[[#This Row],[Region]]))="Nort",PROPER(TRIM(tblOrders[[#This Row],[Region]]))="Northh"),"North",PROPER(TRIM(tblOrders[[#This Row],[Region]])))</f>
        <v>West</v>
      </c>
      <c r="R112" s="2" t="str">
        <f t="shared" si="10"/>
        <v>Furniture</v>
      </c>
      <c r="S112" s="2" t="str">
        <f t="shared" si="11"/>
        <v>Online</v>
      </c>
      <c r="T112" s="2" t="str">
        <f t="shared" si="12"/>
        <v>Cash</v>
      </c>
      <c r="U112" s="2" t="str">
        <f t="shared" si="13"/>
        <v>Refunded</v>
      </c>
      <c r="V112" s="2" t="str">
        <f t="shared" si="14"/>
        <v/>
      </c>
      <c r="W112" s="2">
        <f t="shared" si="15"/>
        <v>160.28</v>
      </c>
      <c r="X11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45533</v>
      </c>
      <c r="Y112" s="2" t="str">
        <f t="shared" si="16"/>
        <v>15%</v>
      </c>
      <c r="Z112" s="2" t="str">
        <f>TRIM(CLEAN(tblOrders[[#This Row],[Notes]]))</f>
        <v>Follow up needed</v>
      </c>
      <c r="AA112" s="2" t="str">
        <f t="shared" si="17"/>
        <v>Review</v>
      </c>
      <c r="AB112" s="2">
        <f>IF(OR(tblOrders[[#This Row],[Quantity_Clean]]="",tblOrders[[#This Row],[UnitPrice_Clean]]=""),0,tblOrders[[#This Row],[Quantity_Clean]]*tblOrders[[#This Row],[UnitPrice_Clean]])</f>
        <v>0</v>
      </c>
      <c r="AC112" s="2" t="str">
        <f>UPPER(TRIM(tblOrders[[#This Row],[OrderID]]))</f>
        <v>ORD-1094</v>
      </c>
      <c r="AD112" s="2">
        <f>VALUE(RIGHT(tblOrders[[#This Row],[OrderID]],4))</f>
        <v>1094</v>
      </c>
      <c r="AE112" s="2" t="str">
        <f>TEXT(tblOrders[[#This Row],[OrderDate_Clean]],"mmm-yyyy")</f>
        <v>Aug-2024</v>
      </c>
      <c r="AF112" s="3">
        <f>EOMONTH(tblOrders[[#This Row],[OrderDate_Clean]],0)</f>
        <v>45535</v>
      </c>
      <c r="AG112" s="2" t="s">
        <v>925</v>
      </c>
      <c r="AH112" s="2">
        <f>IF(tblOrders[[#This Row],[Discount]]="",0,IF(ISNUMBER(tblOrders[[#This Row],[Discount]]),tblOrders[[#This Row],[Discount]],VALUE(SUBSTITUTE(TRIM(tblOrders[[#This Row],[Discount]]),"%",""))/100))</f>
        <v>0.15</v>
      </c>
    </row>
    <row r="113" spans="1:34" x14ac:dyDescent="0.25">
      <c r="A113" s="2" t="s">
        <v>468</v>
      </c>
      <c r="B113" s="2" t="s">
        <v>469</v>
      </c>
      <c r="C113" s="2" t="s">
        <v>470</v>
      </c>
      <c r="D113" s="2" t="s">
        <v>212</v>
      </c>
      <c r="E113" s="2"/>
      <c r="F113" s="2" t="s">
        <v>189</v>
      </c>
      <c r="G113" s="2" t="s">
        <v>57</v>
      </c>
      <c r="H113" s="2" t="s">
        <v>178</v>
      </c>
      <c r="I113" s="2" t="s">
        <v>241</v>
      </c>
      <c r="J113" s="2" t="s">
        <v>471</v>
      </c>
      <c r="K113" s="2"/>
      <c r="L113" s="2" t="s">
        <v>59</v>
      </c>
      <c r="M113" s="2" t="s">
        <v>60</v>
      </c>
      <c r="N113" s="2" t="s">
        <v>71</v>
      </c>
      <c r="O113" s="2" t="s">
        <v>93</v>
      </c>
      <c r="P113" s="2" t="str">
        <f t="shared" si="9"/>
        <v>John Qureshi</v>
      </c>
      <c r="Q113" s="2" t="str">
        <f>IF(OR(PROPER(TRIM(tblOrders[[#This Row],[Region]]))="Nort",PROPER(TRIM(tblOrders[[#This Row],[Region]]))="Northh"),"North",PROPER(TRIM(tblOrders[[#This Row],[Region]])))</f>
        <v>West</v>
      </c>
      <c r="R113" s="2" t="str">
        <f t="shared" si="10"/>
        <v>Furniture</v>
      </c>
      <c r="S113" s="2" t="str">
        <f t="shared" si="11"/>
        <v>Online</v>
      </c>
      <c r="T113" s="2" t="str">
        <f t="shared" si="12"/>
        <v>Debit Card</v>
      </c>
      <c r="U113" s="2" t="str">
        <f t="shared" si="13"/>
        <v>Completed</v>
      </c>
      <c r="V113" s="2">
        <f t="shared" si="14"/>
        <v>10</v>
      </c>
      <c r="W113" s="2">
        <f t="shared" si="15"/>
        <v>436.63</v>
      </c>
      <c r="X11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45547</v>
      </c>
      <c r="Y113" s="2">
        <f t="shared" si="16"/>
        <v>0</v>
      </c>
      <c r="Z113" s="2" t="str">
        <f>TRIM(CLEAN(tblOrders[[#This Row],[Notes]]))</f>
        <v>Bulk order - business account</v>
      </c>
      <c r="AA113" s="2" t="str">
        <f t="shared" si="17"/>
        <v>High Value</v>
      </c>
      <c r="AB113" s="2">
        <f>IF(OR(tblOrders[[#This Row],[Quantity_Clean]]="",tblOrders[[#This Row],[UnitPrice_Clean]]=""),0,tblOrders[[#This Row],[Quantity_Clean]]*tblOrders[[#This Row],[UnitPrice_Clean]])</f>
        <v>4366.3</v>
      </c>
      <c r="AC113" s="2" t="str">
        <f>UPPER(TRIM(tblOrders[[#This Row],[OrderID]]))</f>
        <v>ORD-1128</v>
      </c>
      <c r="AD113" s="2">
        <f>VALUE(RIGHT(tblOrders[[#This Row],[OrderID]],4))</f>
        <v>1128</v>
      </c>
      <c r="AE113" s="2" t="str">
        <f>TEXT(tblOrders[[#This Row],[OrderDate_Clean]],"mmm-yyyy")</f>
        <v>Sep-2024</v>
      </c>
      <c r="AF113" s="3">
        <f>EOMONTH(tblOrders[[#This Row],[OrderDate_Clean]],0)</f>
        <v>45565</v>
      </c>
      <c r="AG113" s="2" t="s">
        <v>895</v>
      </c>
      <c r="AH113" s="2">
        <f>IF(tblOrders[[#This Row],[Discount]]="",0,IF(ISNUMBER(tblOrders[[#This Row],[Discount]]),tblOrders[[#This Row],[Discount]],VALUE(SUBSTITUTE(TRIM(tblOrders[[#This Row],[Discount]]),"%",""))/100))</f>
        <v>0</v>
      </c>
    </row>
    <row r="114" spans="1:34" x14ac:dyDescent="0.25">
      <c r="A114" s="2" t="s">
        <v>793</v>
      </c>
      <c r="B114" s="2" t="s">
        <v>794</v>
      </c>
      <c r="C114" s="2" t="s">
        <v>795</v>
      </c>
      <c r="D114" s="2" t="s">
        <v>55</v>
      </c>
      <c r="E114" s="2" t="s">
        <v>76</v>
      </c>
      <c r="F114" s="2" t="s">
        <v>153</v>
      </c>
      <c r="G114" s="2" t="s">
        <v>148</v>
      </c>
      <c r="H114" s="2" t="s">
        <v>68</v>
      </c>
      <c r="I114" s="2"/>
      <c r="J114" s="2" t="s">
        <v>796</v>
      </c>
      <c r="K114" s="2">
        <v>0.15</v>
      </c>
      <c r="L114" s="2" t="s">
        <v>102</v>
      </c>
      <c r="M114" s="2" t="s">
        <v>165</v>
      </c>
      <c r="N114" s="2"/>
      <c r="O114" s="2" t="s">
        <v>40</v>
      </c>
      <c r="P114" s="2" t="str">
        <f t="shared" si="9"/>
        <v>Chen Brown</v>
      </c>
      <c r="Q114" s="2" t="str">
        <f>IF(OR(PROPER(TRIM(tblOrders[[#This Row],[Region]]))="Nort",PROPER(TRIM(tblOrders[[#This Row],[Region]]))="Northh"),"North",PROPER(TRIM(tblOrders[[#This Row],[Region]])))</f>
        <v>North</v>
      </c>
      <c r="R114" s="2" t="str">
        <f t="shared" si="10"/>
        <v>Furniture</v>
      </c>
      <c r="S114" s="2" t="str">
        <f t="shared" si="11"/>
        <v>Online</v>
      </c>
      <c r="T114" s="2" t="str">
        <f t="shared" si="12"/>
        <v>Cash</v>
      </c>
      <c r="U114" s="2" t="str">
        <f t="shared" si="13"/>
        <v>Cancelled</v>
      </c>
      <c r="V114" s="2" t="str">
        <f t="shared" si="14"/>
        <v/>
      </c>
      <c r="W114" s="2">
        <f t="shared" si="15"/>
        <v>183.39</v>
      </c>
      <c r="X11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45355</v>
      </c>
      <c r="Y114" s="2">
        <f t="shared" si="16"/>
        <v>0.15</v>
      </c>
      <c r="Z114" s="2" t="str">
        <f>TRIM(CLEAN(tblOrders[[#This Row],[Notes]]))</f>
        <v>VIP customer</v>
      </c>
      <c r="AA114" s="2" t="str">
        <f t="shared" si="17"/>
        <v>Review</v>
      </c>
      <c r="AB114" s="2">
        <f>IF(OR(tblOrders[[#This Row],[Quantity_Clean]]="",tblOrders[[#This Row],[UnitPrice_Clean]]=""),0,tblOrders[[#This Row],[Quantity_Clean]]*tblOrders[[#This Row],[UnitPrice_Clean]])</f>
        <v>0</v>
      </c>
      <c r="AC114" s="2" t="str">
        <f>UPPER(TRIM(tblOrders[[#This Row],[OrderID]]))</f>
        <v>ORD-1170</v>
      </c>
      <c r="AD114" s="2">
        <f>VALUE(RIGHT(tblOrders[[#This Row],[OrderID]],4))</f>
        <v>1170</v>
      </c>
      <c r="AE114" s="2" t="str">
        <f>TEXT(tblOrders[[#This Row],[OrderDate_Clean]],"mmm-yyyy")</f>
        <v>Mar-2024</v>
      </c>
      <c r="AF114" s="3">
        <f>EOMONTH(tblOrders[[#This Row],[OrderDate_Clean]],0)</f>
        <v>45382</v>
      </c>
      <c r="AG114" s="2" t="s">
        <v>880</v>
      </c>
      <c r="AH114" s="2">
        <f>IF(tblOrders[[#This Row],[Discount]]="",0,IF(ISNUMBER(tblOrders[[#This Row],[Discount]]),tblOrders[[#This Row],[Discount]],VALUE(SUBSTITUTE(TRIM(tblOrders[[#This Row],[Discount]]),"%",""))/100))</f>
        <v>0.15</v>
      </c>
    </row>
    <row r="115" spans="1:34" x14ac:dyDescent="0.25">
      <c r="A115" s="2" t="s">
        <v>427</v>
      </c>
      <c r="B115" s="2" t="s">
        <v>428</v>
      </c>
      <c r="C115" s="2" t="s">
        <v>429</v>
      </c>
      <c r="D115" s="2" t="s">
        <v>224</v>
      </c>
      <c r="E115" s="2" t="s">
        <v>125</v>
      </c>
      <c r="F115" s="2" t="s">
        <v>153</v>
      </c>
      <c r="G115" s="2" t="s">
        <v>67</v>
      </c>
      <c r="H115" s="2" t="s">
        <v>58</v>
      </c>
      <c r="I115" s="2">
        <v>8</v>
      </c>
      <c r="J115" s="2">
        <v>494.01</v>
      </c>
      <c r="K115" s="2">
        <v>0.15</v>
      </c>
      <c r="L115" s="2" t="s">
        <v>79</v>
      </c>
      <c r="M115" s="2" t="s">
        <v>70</v>
      </c>
      <c r="N115" s="2" t="s">
        <v>26</v>
      </c>
      <c r="O115" s="2" t="s">
        <v>87</v>
      </c>
      <c r="P115" s="2" t="str">
        <f t="shared" si="9"/>
        <v>Umar Hussain</v>
      </c>
      <c r="Q115" s="2" t="str">
        <f>IF(OR(PROPER(TRIM(tblOrders[[#This Row],[Region]]))="Nort",PROPER(TRIM(tblOrders[[#This Row],[Region]]))="Northh"),"North",PROPER(TRIM(tblOrders[[#This Row],[Region]])))</f>
        <v>South</v>
      </c>
      <c r="R115" s="2" t="str">
        <f t="shared" si="10"/>
        <v>Furniture</v>
      </c>
      <c r="S115" s="2" t="str">
        <f t="shared" si="11"/>
        <v>Online</v>
      </c>
      <c r="T115" s="2" t="str">
        <f t="shared" si="12"/>
        <v>Cash</v>
      </c>
      <c r="U115" s="2" t="str">
        <f t="shared" si="13"/>
        <v>Refunded</v>
      </c>
      <c r="V115" s="2">
        <f t="shared" si="14"/>
        <v>8</v>
      </c>
      <c r="W115" s="2">
        <f t="shared" si="15"/>
        <v>494.01</v>
      </c>
      <c r="X11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45510</v>
      </c>
      <c r="Y115" s="2">
        <f t="shared" si="16"/>
        <v>0.15</v>
      </c>
      <c r="Z115" s="2" t="str">
        <f>TRIM(CLEAN(tblOrders[[#This Row],[Notes]]))</f>
        <v>Damaged on arrival - replaced</v>
      </c>
      <c r="AA115" s="2" t="str">
        <f t="shared" si="17"/>
        <v>High Value</v>
      </c>
      <c r="AB115" s="2">
        <f>IF(OR(tblOrders[[#This Row],[Quantity_Clean]]="",tblOrders[[#This Row],[UnitPrice_Clean]]=""),0,tblOrders[[#This Row],[Quantity_Clean]]*tblOrders[[#This Row],[UnitPrice_Clean]])</f>
        <v>3952.08</v>
      </c>
      <c r="AC115" s="2" t="str">
        <f>UPPER(TRIM(tblOrders[[#This Row],[OrderID]]))</f>
        <v>ORD-1024</v>
      </c>
      <c r="AD115" s="2">
        <f>VALUE(RIGHT(tblOrders[[#This Row],[OrderID]],4))</f>
        <v>1024</v>
      </c>
      <c r="AE115" s="2" t="str">
        <f>TEXT(tblOrders[[#This Row],[OrderDate_Clean]],"mmm-yyyy")</f>
        <v>Aug-2024</v>
      </c>
      <c r="AF115" s="3">
        <f>EOMONTH(tblOrders[[#This Row],[OrderDate_Clean]],0)</f>
        <v>45535</v>
      </c>
      <c r="AG115" s="2" t="s">
        <v>911</v>
      </c>
      <c r="AH115" s="2">
        <f>IF(tblOrders[[#This Row],[Discount]]="",0,IF(ISNUMBER(tblOrders[[#This Row],[Discount]]),tblOrders[[#This Row],[Discount]],VALUE(SUBSTITUTE(TRIM(tblOrders[[#This Row],[Discount]]),"%",""))/100))</f>
        <v>0.15</v>
      </c>
    </row>
    <row r="116" spans="1:34" x14ac:dyDescent="0.25">
      <c r="A116" s="2" t="s">
        <v>149</v>
      </c>
      <c r="B116" s="2" t="s">
        <v>150</v>
      </c>
      <c r="C116" s="2" t="s">
        <v>467</v>
      </c>
      <c r="D116" s="2" t="s">
        <v>152</v>
      </c>
      <c r="E116" s="2" t="s">
        <v>19</v>
      </c>
      <c r="F116" s="2" t="s">
        <v>153</v>
      </c>
      <c r="G116" s="2" t="s">
        <v>154</v>
      </c>
      <c r="H116" s="2" t="s">
        <v>108</v>
      </c>
      <c r="I116" s="2"/>
      <c r="J116" s="2">
        <v>464.9</v>
      </c>
      <c r="K116" s="2">
        <v>0.1</v>
      </c>
      <c r="L116" s="2" t="s">
        <v>24</v>
      </c>
      <c r="M116" s="2" t="s">
        <v>86</v>
      </c>
      <c r="N116" s="2" t="s">
        <v>111</v>
      </c>
      <c r="O116" s="2" t="s">
        <v>27</v>
      </c>
      <c r="P116" s="2" t="str">
        <f t="shared" si="9"/>
        <v>Yusuf Ali</v>
      </c>
      <c r="Q116" s="2" t="str">
        <f>IF(OR(PROPER(TRIM(tblOrders[[#This Row],[Region]]))="Nort",PROPER(TRIM(tblOrders[[#This Row],[Region]]))="Northh"),"North",PROPER(TRIM(tblOrders[[#This Row],[Region]])))</f>
        <v>East</v>
      </c>
      <c r="R116" s="2" t="str">
        <f t="shared" si="10"/>
        <v>Furniture</v>
      </c>
      <c r="S116" s="2" t="str">
        <f t="shared" si="11"/>
        <v>In-Store</v>
      </c>
      <c r="T116" s="2" t="str">
        <f t="shared" si="12"/>
        <v>Credit Card</v>
      </c>
      <c r="U116" s="2" t="str">
        <f t="shared" si="13"/>
        <v>Completed</v>
      </c>
      <c r="V116" s="2" t="str">
        <f t="shared" si="14"/>
        <v/>
      </c>
      <c r="W116" s="2">
        <f t="shared" si="15"/>
        <v>464.9</v>
      </c>
      <c r="X11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45582</v>
      </c>
      <c r="Y116" s="2">
        <f t="shared" si="16"/>
        <v>0.1</v>
      </c>
      <c r="Z116" s="2" t="str">
        <f>TRIM(CLEAN(tblOrders[[#This Row],[Notes]]))</f>
        <v>Customer called twice</v>
      </c>
      <c r="AA116" s="2" t="str">
        <f t="shared" si="17"/>
        <v>Review</v>
      </c>
      <c r="AB116" s="2">
        <f>IF(OR(tblOrders[[#This Row],[Quantity_Clean]]="",tblOrders[[#This Row],[UnitPrice_Clean]]=""),0,tblOrders[[#This Row],[Quantity_Clean]]*tblOrders[[#This Row],[UnitPrice_Clean]])</f>
        <v>0</v>
      </c>
      <c r="AC116" s="2" t="str">
        <f>UPPER(TRIM(tblOrders[[#This Row],[OrderID]]))</f>
        <v>ORD-1007</v>
      </c>
      <c r="AD116" s="2">
        <f>VALUE(RIGHT(tblOrders[[#This Row],[OrderID]],4))</f>
        <v>1007</v>
      </c>
      <c r="AE116" s="2" t="str">
        <f>TEXT(tblOrders[[#This Row],[OrderDate_Clean]],"mmm-yyyy")</f>
        <v>Oct-2024</v>
      </c>
      <c r="AF116" s="3">
        <f>EOMONTH(tblOrders[[#This Row],[OrderDate_Clean]],0)</f>
        <v>45596</v>
      </c>
      <c r="AG116" s="2" t="s">
        <v>907</v>
      </c>
      <c r="AH116" s="2">
        <f>IF(tblOrders[[#This Row],[Discount]]="",0,IF(ISNUMBER(tblOrders[[#This Row],[Discount]]),tblOrders[[#This Row],[Discount]],VALUE(SUBSTITUTE(TRIM(tblOrders[[#This Row],[Discount]]),"%",""))/100))</f>
        <v>0.1</v>
      </c>
    </row>
    <row r="117" spans="1:34" x14ac:dyDescent="0.25">
      <c r="A117" s="2" t="s">
        <v>149</v>
      </c>
      <c r="B117" s="2" t="s">
        <v>150</v>
      </c>
      <c r="C117" s="2" t="s">
        <v>151</v>
      </c>
      <c r="D117" s="2" t="s">
        <v>152</v>
      </c>
      <c r="E117" s="2" t="s">
        <v>19</v>
      </c>
      <c r="F117" s="2" t="s">
        <v>153</v>
      </c>
      <c r="G117" s="2" t="s">
        <v>154</v>
      </c>
      <c r="H117" s="2" t="s">
        <v>108</v>
      </c>
      <c r="I117" s="2"/>
      <c r="J117" s="2">
        <v>464.9</v>
      </c>
      <c r="K117" s="2">
        <v>0.1</v>
      </c>
      <c r="L117" s="2" t="s">
        <v>24</v>
      </c>
      <c r="M117" s="2" t="s">
        <v>86</v>
      </c>
      <c r="N117" s="2" t="s">
        <v>111</v>
      </c>
      <c r="O117" s="2" t="s">
        <v>27</v>
      </c>
      <c r="P117" s="2" t="str">
        <f t="shared" si="9"/>
        <v>Yusuf Ali</v>
      </c>
      <c r="Q117" s="2" t="str">
        <f>IF(OR(PROPER(TRIM(tblOrders[[#This Row],[Region]]))="Nort",PROPER(TRIM(tblOrders[[#This Row],[Region]]))="Northh"),"North",PROPER(TRIM(tblOrders[[#This Row],[Region]])))</f>
        <v>East</v>
      </c>
      <c r="R117" s="2" t="str">
        <f t="shared" si="10"/>
        <v>Furniture</v>
      </c>
      <c r="S117" s="2" t="str">
        <f t="shared" si="11"/>
        <v>In-Store</v>
      </c>
      <c r="T117" s="2" t="str">
        <f t="shared" si="12"/>
        <v>Credit Card</v>
      </c>
      <c r="U117" s="2" t="str">
        <f t="shared" si="13"/>
        <v>Completed</v>
      </c>
      <c r="V117" s="2" t="str">
        <f t="shared" si="14"/>
        <v/>
      </c>
      <c r="W117" s="2">
        <f t="shared" si="15"/>
        <v>464.9</v>
      </c>
      <c r="X11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45582</v>
      </c>
      <c r="Y117" s="2">
        <f t="shared" si="16"/>
        <v>0.1</v>
      </c>
      <c r="Z117" s="2" t="str">
        <f>TRIM(CLEAN(tblOrders[[#This Row],[Notes]]))</f>
        <v>Customer called twice</v>
      </c>
      <c r="AA117" s="2" t="str">
        <f t="shared" si="17"/>
        <v>Review</v>
      </c>
      <c r="AB117" s="2">
        <f>IF(OR(tblOrders[[#This Row],[Quantity_Clean]]="",tblOrders[[#This Row],[UnitPrice_Clean]]=""),0,tblOrders[[#This Row],[Quantity_Clean]]*tblOrders[[#This Row],[UnitPrice_Clean]])</f>
        <v>0</v>
      </c>
      <c r="AC117" s="2" t="str">
        <f>UPPER(TRIM(tblOrders[[#This Row],[OrderID]]))</f>
        <v>ORD-1007</v>
      </c>
      <c r="AD117" s="2">
        <f>VALUE(RIGHT(tblOrders[[#This Row],[OrderID]],4))</f>
        <v>1007</v>
      </c>
      <c r="AE117" s="2" t="str">
        <f>TEXT(tblOrders[[#This Row],[OrderDate_Clean]],"mmm-yyyy")</f>
        <v>Oct-2024</v>
      </c>
      <c r="AF117" s="3">
        <f>EOMONTH(tblOrders[[#This Row],[OrderDate_Clean]],0)</f>
        <v>45596</v>
      </c>
      <c r="AG117" s="2" t="s">
        <v>906</v>
      </c>
      <c r="AH117" s="2">
        <f>IF(tblOrders[[#This Row],[Discount]]="",0,IF(ISNUMBER(tblOrders[[#This Row],[Discount]]),tblOrders[[#This Row],[Discount]],VALUE(SUBSTITUTE(TRIM(tblOrders[[#This Row],[Discount]]),"%",""))/100))</f>
        <v>0.1</v>
      </c>
    </row>
    <row r="118" spans="1:34" x14ac:dyDescent="0.25">
      <c r="A118" s="2" t="s">
        <v>289</v>
      </c>
      <c r="B118" s="2" t="s">
        <v>290</v>
      </c>
      <c r="C118" s="2" t="s">
        <v>291</v>
      </c>
      <c r="D118" s="2" t="s">
        <v>212</v>
      </c>
      <c r="E118" s="2" t="s">
        <v>98</v>
      </c>
      <c r="F118" s="2" t="s">
        <v>56</v>
      </c>
      <c r="G118" s="2" t="s">
        <v>57</v>
      </c>
      <c r="H118" s="2" t="s">
        <v>22</v>
      </c>
      <c r="I118" s="2">
        <v>2</v>
      </c>
      <c r="J118" s="2">
        <v>462.34</v>
      </c>
      <c r="K118" s="2" t="s">
        <v>138</v>
      </c>
      <c r="L118" s="2" t="s">
        <v>69</v>
      </c>
      <c r="M118" s="2" t="s">
        <v>60</v>
      </c>
      <c r="N118" s="2" t="s">
        <v>26</v>
      </c>
      <c r="O118" s="2" t="s">
        <v>171</v>
      </c>
      <c r="P118" s="2" t="str">
        <f t="shared" si="9"/>
        <v>Michael Malik</v>
      </c>
      <c r="Q118" s="2" t="str">
        <f>IF(OR(PROPER(TRIM(tblOrders[[#This Row],[Region]]))="Nort",PROPER(TRIM(tblOrders[[#This Row],[Region]]))="Northh"),"North",PROPER(TRIM(tblOrders[[#This Row],[Region]])))</f>
        <v>West</v>
      </c>
      <c r="R118" s="2" t="str">
        <f t="shared" si="10"/>
        <v>Furniture</v>
      </c>
      <c r="S118" s="2" t="str">
        <f t="shared" si="11"/>
        <v>In-Store</v>
      </c>
      <c r="T118" s="2" t="str">
        <f t="shared" si="12"/>
        <v>Debit Card</v>
      </c>
      <c r="U118" s="2" t="str">
        <f t="shared" si="13"/>
        <v>Completed</v>
      </c>
      <c r="V118" s="2">
        <f t="shared" si="14"/>
        <v>2</v>
      </c>
      <c r="W118" s="2">
        <f t="shared" si="15"/>
        <v>462.34</v>
      </c>
      <c r="X11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45407</v>
      </c>
      <c r="Y118" s="2" t="str">
        <f t="shared" si="16"/>
        <v>5%</v>
      </c>
      <c r="Z118" s="2" t="str">
        <f>TRIM(CLEAN(tblOrders[[#This Row],[Notes]]))</f>
        <v>Leave at front desk</v>
      </c>
      <c r="AA118" s="2" t="str">
        <f t="shared" si="17"/>
        <v>Standard</v>
      </c>
      <c r="AB118" s="2">
        <f>IF(OR(tblOrders[[#This Row],[Quantity_Clean]]="",tblOrders[[#This Row],[UnitPrice_Clean]]=""),0,tblOrders[[#This Row],[Quantity_Clean]]*tblOrders[[#This Row],[UnitPrice_Clean]])</f>
        <v>924.68</v>
      </c>
      <c r="AC118" s="2" t="str">
        <f>UPPER(TRIM(tblOrders[[#This Row],[OrderID]]))</f>
        <v>ORD-1038</v>
      </c>
      <c r="AD118" s="2">
        <f>VALUE(RIGHT(tblOrders[[#This Row],[OrderID]],4))</f>
        <v>1038</v>
      </c>
      <c r="AE118" s="2" t="str">
        <f>TEXT(tblOrders[[#This Row],[OrderDate_Clean]],"mmm-yyyy")</f>
        <v>Apr-2024</v>
      </c>
      <c r="AF118" s="3">
        <f>EOMONTH(tblOrders[[#This Row],[OrderDate_Clean]],0)</f>
        <v>45412</v>
      </c>
      <c r="AG118" s="2" t="s">
        <v>908</v>
      </c>
      <c r="AH118" s="2">
        <f>IF(tblOrders[[#This Row],[Discount]]="",0,IF(ISNUMBER(tblOrders[[#This Row],[Discount]]),tblOrders[[#This Row],[Discount]],VALUE(SUBSTITUTE(TRIM(tblOrders[[#This Row],[Discount]]),"%",""))/100))</f>
        <v>0.05</v>
      </c>
    </row>
    <row r="119" spans="1:34" x14ac:dyDescent="0.25">
      <c r="A119" s="2" t="s">
        <v>447</v>
      </c>
      <c r="B119" s="2" t="s">
        <v>448</v>
      </c>
      <c r="C119" s="2" t="s">
        <v>449</v>
      </c>
      <c r="D119" s="2" t="s">
        <v>258</v>
      </c>
      <c r="E119" s="2" t="s">
        <v>125</v>
      </c>
      <c r="F119" s="2" t="s">
        <v>189</v>
      </c>
      <c r="G119" s="2" t="s">
        <v>330</v>
      </c>
      <c r="H119" s="2" t="s">
        <v>200</v>
      </c>
      <c r="I119" s="2">
        <v>7</v>
      </c>
      <c r="J119" s="2">
        <v>432.85</v>
      </c>
      <c r="K119" s="2"/>
      <c r="L119" s="2" t="s">
        <v>132</v>
      </c>
      <c r="M119" s="2" t="s">
        <v>201</v>
      </c>
      <c r="N119" s="2" t="s">
        <v>50</v>
      </c>
      <c r="O119" s="2"/>
      <c r="P119" s="2" t="str">
        <f t="shared" si="9"/>
        <v>Liam Iqbal</v>
      </c>
      <c r="Q119" s="2" t="str">
        <f>IF(OR(PROPER(TRIM(tblOrders[[#This Row],[Region]]))="Nort",PROPER(TRIM(tblOrders[[#This Row],[Region]]))="Northh"),"North",PROPER(TRIM(tblOrders[[#This Row],[Region]])))</f>
        <v>South</v>
      </c>
      <c r="R119" s="2" t="str">
        <f t="shared" si="10"/>
        <v>Furniture</v>
      </c>
      <c r="S119" s="2" t="str">
        <f t="shared" si="11"/>
        <v>Online</v>
      </c>
      <c r="T119" s="2" t="str">
        <f t="shared" si="12"/>
        <v>Cash</v>
      </c>
      <c r="U119" s="2" t="str">
        <f t="shared" si="13"/>
        <v>Pending</v>
      </c>
      <c r="V119" s="2">
        <f t="shared" si="14"/>
        <v>7</v>
      </c>
      <c r="W119" s="2">
        <f t="shared" si="15"/>
        <v>432.85</v>
      </c>
      <c r="X11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45639</v>
      </c>
      <c r="Y119" s="2">
        <f t="shared" si="16"/>
        <v>0</v>
      </c>
      <c r="Z119" s="2" t="str">
        <f>TRIM(CLEAN(tblOrders[[#This Row],[Notes]]))</f>
        <v/>
      </c>
      <c r="AA119" s="2" t="str">
        <f t="shared" si="17"/>
        <v>High Value</v>
      </c>
      <c r="AB119" s="2">
        <f>IF(OR(tblOrders[[#This Row],[Quantity_Clean]]="",tblOrders[[#This Row],[UnitPrice_Clean]]=""),0,tblOrders[[#This Row],[Quantity_Clean]]*tblOrders[[#This Row],[UnitPrice_Clean]])</f>
        <v>3029.9500000000003</v>
      </c>
      <c r="AC119" s="2" t="str">
        <f>UPPER(TRIM(tblOrders[[#This Row],[OrderID]]))</f>
        <v>ORD-1019</v>
      </c>
      <c r="AD119" s="2">
        <f>VALUE(RIGHT(tblOrders[[#This Row],[OrderID]],4))</f>
        <v>1019</v>
      </c>
      <c r="AE119" s="2" t="str">
        <f>TEXT(tblOrders[[#This Row],[OrderDate_Clean]],"mmm-yyyy")</f>
        <v>Dec-2024</v>
      </c>
      <c r="AF119" s="3">
        <f>EOMONTH(tblOrders[[#This Row],[OrderDate_Clean]],0)</f>
        <v>45657</v>
      </c>
      <c r="AG119" s="2" t="s">
        <v>885</v>
      </c>
      <c r="AH119" s="2">
        <f>IF(tblOrders[[#This Row],[Discount]]="",0,IF(ISNUMBER(tblOrders[[#This Row],[Discount]]),tblOrders[[#This Row],[Discount]],VALUE(SUBSTITUTE(TRIM(tblOrders[[#This Row],[Discount]]),"%",""))/100))</f>
        <v>0</v>
      </c>
    </row>
    <row r="120" spans="1:34" x14ac:dyDescent="0.25">
      <c r="A120" s="2" t="s">
        <v>272</v>
      </c>
      <c r="B120" s="2" t="s">
        <v>273</v>
      </c>
      <c r="C120" s="2" t="s">
        <v>274</v>
      </c>
      <c r="D120" s="2" t="s">
        <v>31</v>
      </c>
      <c r="E120" s="2" t="s">
        <v>76</v>
      </c>
      <c r="F120" s="2" t="s">
        <v>189</v>
      </c>
      <c r="G120" s="2" t="s">
        <v>154</v>
      </c>
      <c r="H120" s="2" t="s">
        <v>68</v>
      </c>
      <c r="I120" s="2">
        <v>4</v>
      </c>
      <c r="J120" s="2">
        <v>403.52</v>
      </c>
      <c r="K120" s="2">
        <v>0.1</v>
      </c>
      <c r="L120" s="2" t="s">
        <v>69</v>
      </c>
      <c r="M120" s="2" t="s">
        <v>165</v>
      </c>
      <c r="N120" s="2" t="s">
        <v>71</v>
      </c>
      <c r="O120" s="2" t="s">
        <v>40</v>
      </c>
      <c r="P120" s="2" t="str">
        <f t="shared" si="9"/>
        <v>James Hussain</v>
      </c>
      <c r="Q120" s="2" t="str">
        <f>IF(OR(PROPER(TRIM(tblOrders[[#This Row],[Region]]))="Nort",PROPER(TRIM(tblOrders[[#This Row],[Region]]))="Northh"),"North",PROPER(TRIM(tblOrders[[#This Row],[Region]])))</f>
        <v>North</v>
      </c>
      <c r="R120" s="2" t="str">
        <f t="shared" si="10"/>
        <v>Furniture</v>
      </c>
      <c r="S120" s="2" t="str">
        <f t="shared" si="11"/>
        <v>Online</v>
      </c>
      <c r="T120" s="2" t="str">
        <f t="shared" si="12"/>
        <v>Debit Card</v>
      </c>
      <c r="U120" s="2" t="str">
        <f t="shared" si="13"/>
        <v>Cancelled</v>
      </c>
      <c r="V120" s="2">
        <f t="shared" si="14"/>
        <v>4</v>
      </c>
      <c r="W120" s="2">
        <f t="shared" si="15"/>
        <v>403.52</v>
      </c>
      <c r="X12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45527</v>
      </c>
      <c r="Y120" s="2">
        <f t="shared" si="16"/>
        <v>0.1</v>
      </c>
      <c r="Z120" s="2" t="str">
        <f>TRIM(CLEAN(tblOrders[[#This Row],[Notes]]))</f>
        <v>VIP customer</v>
      </c>
      <c r="AA120" s="2" t="str">
        <f t="shared" si="17"/>
        <v>High Value</v>
      </c>
      <c r="AB120" s="2">
        <f>IF(OR(tblOrders[[#This Row],[Quantity_Clean]]="",tblOrders[[#This Row],[UnitPrice_Clean]]=""),0,tblOrders[[#This Row],[Quantity_Clean]]*tblOrders[[#This Row],[UnitPrice_Clean]])</f>
        <v>1614.08</v>
      </c>
      <c r="AC120" s="2" t="str">
        <f>UPPER(TRIM(tblOrders[[#This Row],[OrderID]]))</f>
        <v>ORD-1172</v>
      </c>
      <c r="AD120" s="2">
        <f>VALUE(RIGHT(tblOrders[[#This Row],[OrderID]],4))</f>
        <v>1172</v>
      </c>
      <c r="AE120" s="2" t="str">
        <f>TEXT(tblOrders[[#This Row],[OrderDate_Clean]],"mmm-yyyy")</f>
        <v>Aug-2024</v>
      </c>
      <c r="AF120" s="3">
        <f>EOMONTH(tblOrders[[#This Row],[OrderDate_Clean]],0)</f>
        <v>45535</v>
      </c>
      <c r="AG120" s="2" t="s">
        <v>904</v>
      </c>
      <c r="AH120" s="2">
        <f>IF(tblOrders[[#This Row],[Discount]]="",0,IF(ISNUMBER(tblOrders[[#This Row],[Discount]]),tblOrders[[#This Row],[Discount]],VALUE(SUBSTITUTE(TRIM(tblOrders[[#This Row],[Discount]]),"%",""))/100))</f>
        <v>0.1</v>
      </c>
    </row>
    <row r="121" spans="1:34" x14ac:dyDescent="0.25">
      <c r="A121" s="2" t="s">
        <v>327</v>
      </c>
      <c r="B121" s="2" t="s">
        <v>328</v>
      </c>
      <c r="C121" s="2" t="s">
        <v>329</v>
      </c>
      <c r="D121" s="2" t="s">
        <v>152</v>
      </c>
      <c r="E121" s="2" t="s">
        <v>19</v>
      </c>
      <c r="F121" s="2" t="s">
        <v>153</v>
      </c>
      <c r="G121" s="2" t="s">
        <v>330</v>
      </c>
      <c r="H121" s="2" t="s">
        <v>58</v>
      </c>
      <c r="I121" s="2">
        <v>1</v>
      </c>
      <c r="J121" s="2">
        <v>395.27</v>
      </c>
      <c r="K121" s="2"/>
      <c r="L121" s="2" t="s">
        <v>260</v>
      </c>
      <c r="M121" s="2" t="s">
        <v>86</v>
      </c>
      <c r="N121" s="2" t="s">
        <v>111</v>
      </c>
      <c r="O121" s="2" t="s">
        <v>27</v>
      </c>
      <c r="P121" s="2" t="str">
        <f t="shared" si="9"/>
        <v>Nida Qureshi</v>
      </c>
      <c r="Q121" s="2" t="str">
        <f>IF(OR(PROPER(TRIM(tblOrders[[#This Row],[Region]]))="Nort",PROPER(TRIM(tblOrders[[#This Row],[Region]]))="Northh"),"North",PROPER(TRIM(tblOrders[[#This Row],[Region]])))</f>
        <v>East</v>
      </c>
      <c r="R121" s="2" t="str">
        <f t="shared" si="10"/>
        <v>Furniture</v>
      </c>
      <c r="S121" s="2" t="str">
        <f t="shared" si="11"/>
        <v>Online</v>
      </c>
      <c r="T121" s="2" t="str">
        <f t="shared" si="12"/>
        <v>Credit Card</v>
      </c>
      <c r="U121" s="2" t="str">
        <f t="shared" si="13"/>
        <v>Completed</v>
      </c>
      <c r="V121" s="2">
        <f t="shared" si="14"/>
        <v>1</v>
      </c>
      <c r="W121" s="2">
        <f t="shared" si="15"/>
        <v>395.27</v>
      </c>
      <c r="X12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45507</v>
      </c>
      <c r="Y121" s="2">
        <f t="shared" si="16"/>
        <v>0</v>
      </c>
      <c r="Z121" s="2" t="str">
        <f>TRIM(CLEAN(tblOrders[[#This Row],[Notes]]))</f>
        <v>Customer called twice</v>
      </c>
      <c r="AA121" s="2" t="str">
        <f t="shared" si="17"/>
        <v>Standard</v>
      </c>
      <c r="AB121" s="2">
        <f>IF(OR(tblOrders[[#This Row],[Quantity_Clean]]="",tblOrders[[#This Row],[UnitPrice_Clean]]=""),0,tblOrders[[#This Row],[Quantity_Clean]]*tblOrders[[#This Row],[UnitPrice_Clean]])</f>
        <v>395.27</v>
      </c>
      <c r="AC121" s="2" t="str">
        <f>UPPER(TRIM(tblOrders[[#This Row],[OrderID]]))</f>
        <v>ORD-1056</v>
      </c>
      <c r="AD121" s="2">
        <f>VALUE(RIGHT(tblOrders[[#This Row],[OrderID]],4))</f>
        <v>1056</v>
      </c>
      <c r="AE121" s="2" t="str">
        <f>TEXT(tblOrders[[#This Row],[OrderDate_Clean]],"mmm-yyyy")</f>
        <v>Aug-2024</v>
      </c>
      <c r="AF121" s="3">
        <f>EOMONTH(tblOrders[[#This Row],[OrderDate_Clean]],0)</f>
        <v>45535</v>
      </c>
      <c r="AG121" s="2" t="s">
        <v>905</v>
      </c>
      <c r="AH121" s="2">
        <f>IF(tblOrders[[#This Row],[Discount]]="",0,IF(ISNUMBER(tblOrders[[#This Row],[Discount]]),tblOrders[[#This Row],[Discount]],VALUE(SUBSTITUTE(TRIM(tblOrders[[#This Row],[Discount]]),"%",""))/100))</f>
        <v>0</v>
      </c>
    </row>
    <row r="122" spans="1:34" x14ac:dyDescent="0.25">
      <c r="A122" s="2" t="s">
        <v>800</v>
      </c>
      <c r="B122" s="2" t="s">
        <v>801</v>
      </c>
      <c r="C122" s="2" t="s">
        <v>802</v>
      </c>
      <c r="D122" s="2" t="s">
        <v>334</v>
      </c>
      <c r="E122" s="2" t="s">
        <v>125</v>
      </c>
      <c r="F122" s="2" t="s">
        <v>56</v>
      </c>
      <c r="G122" s="2" t="s">
        <v>154</v>
      </c>
      <c r="H122" s="2" t="s">
        <v>35</v>
      </c>
      <c r="I122" s="2">
        <v>4</v>
      </c>
      <c r="J122" s="2">
        <v>378.86</v>
      </c>
      <c r="K122" s="2">
        <v>0.15</v>
      </c>
      <c r="L122" s="2" t="s">
        <v>132</v>
      </c>
      <c r="M122" s="2" t="s">
        <v>158</v>
      </c>
      <c r="N122" s="2" t="s">
        <v>71</v>
      </c>
      <c r="O122" s="2" t="s">
        <v>87</v>
      </c>
      <c r="P122" s="2" t="str">
        <f t="shared" si="9"/>
        <v>Sana Iqbal</v>
      </c>
      <c r="Q122" s="2" t="str">
        <f>IF(OR(PROPER(TRIM(tblOrders[[#This Row],[Region]]))="Nort",PROPER(TRIM(tblOrders[[#This Row],[Region]]))="Northh"),"North",PROPER(TRIM(tblOrders[[#This Row],[Region]])))</f>
        <v>South</v>
      </c>
      <c r="R122" s="2" t="str">
        <f t="shared" si="10"/>
        <v>Furniture</v>
      </c>
      <c r="S122" s="2" t="str">
        <f t="shared" si="11"/>
        <v>In-Store</v>
      </c>
      <c r="T122" s="2" t="str">
        <f t="shared" si="12"/>
        <v>Cash</v>
      </c>
      <c r="U122" s="2" t="str">
        <f t="shared" si="13"/>
        <v>Pending</v>
      </c>
      <c r="V122" s="2">
        <f t="shared" si="14"/>
        <v>4</v>
      </c>
      <c r="W122" s="2">
        <f t="shared" si="15"/>
        <v>378.86</v>
      </c>
      <c r="X12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45516</v>
      </c>
      <c r="Y122" s="2">
        <f t="shared" si="16"/>
        <v>0.15</v>
      </c>
      <c r="Z122" s="2" t="str">
        <f>TRIM(CLEAN(tblOrders[[#This Row],[Notes]]))</f>
        <v>Damaged on arrival - replaced</v>
      </c>
      <c r="AA122" s="2" t="str">
        <f t="shared" si="17"/>
        <v>High Value</v>
      </c>
      <c r="AB122" s="2">
        <f>IF(OR(tblOrders[[#This Row],[Quantity_Clean]]="",tblOrders[[#This Row],[UnitPrice_Clean]]=""),0,tblOrders[[#This Row],[Quantity_Clean]]*tblOrders[[#This Row],[UnitPrice_Clean]])</f>
        <v>1515.44</v>
      </c>
      <c r="AC122" s="2" t="str">
        <f>UPPER(TRIM(tblOrders[[#This Row],[OrderID]]))</f>
        <v>ORD-1008</v>
      </c>
      <c r="AD122" s="2">
        <f>VALUE(RIGHT(tblOrders[[#This Row],[OrderID]],4))</f>
        <v>1008</v>
      </c>
      <c r="AE122" s="2" t="str">
        <f>TEXT(tblOrders[[#This Row],[OrderDate_Clean]],"mmm-yyyy")</f>
        <v>Aug-2024</v>
      </c>
      <c r="AF122" s="3">
        <f>EOMONTH(tblOrders[[#This Row],[OrderDate_Clean]],0)</f>
        <v>45535</v>
      </c>
      <c r="AG122" s="2" t="s">
        <v>925</v>
      </c>
      <c r="AH122" s="2">
        <f>IF(tblOrders[[#This Row],[Discount]]="",0,IF(ISNUMBER(tblOrders[[#This Row],[Discount]]),tblOrders[[#This Row],[Discount]],VALUE(SUBSTITUTE(TRIM(tblOrders[[#This Row],[Discount]]),"%",""))/100))</f>
        <v>0.15</v>
      </c>
    </row>
    <row r="123" spans="1:34" x14ac:dyDescent="0.25">
      <c r="A123" s="2" t="s">
        <v>679</v>
      </c>
      <c r="B123" s="2" t="s">
        <v>680</v>
      </c>
      <c r="C123" s="2" t="s">
        <v>681</v>
      </c>
      <c r="D123" s="2" t="s">
        <v>188</v>
      </c>
      <c r="E123" s="2" t="s">
        <v>76</v>
      </c>
      <c r="F123" s="2" t="s">
        <v>56</v>
      </c>
      <c r="G123" s="2" t="s">
        <v>57</v>
      </c>
      <c r="H123" s="2" t="s">
        <v>22</v>
      </c>
      <c r="I123" s="2">
        <v>10</v>
      </c>
      <c r="J123" s="2">
        <v>367.87</v>
      </c>
      <c r="K123" s="2"/>
      <c r="L123" s="2" t="s">
        <v>180</v>
      </c>
      <c r="M123" s="2" t="s">
        <v>165</v>
      </c>
      <c r="N123" s="2" t="s">
        <v>50</v>
      </c>
      <c r="O123" s="2" t="s">
        <v>51</v>
      </c>
      <c r="P123" s="2" t="str">
        <f t="shared" si="9"/>
        <v>Sana Ali</v>
      </c>
      <c r="Q123" s="2" t="str">
        <f>IF(OR(PROPER(TRIM(tblOrders[[#This Row],[Region]]))="Nort",PROPER(TRIM(tblOrders[[#This Row],[Region]]))="Northh"),"North",PROPER(TRIM(tblOrders[[#This Row],[Region]])))</f>
        <v>North</v>
      </c>
      <c r="R123" s="2" t="str">
        <f t="shared" si="10"/>
        <v>Furniture</v>
      </c>
      <c r="S123" s="2" t="str">
        <f t="shared" si="11"/>
        <v>In-Store</v>
      </c>
      <c r="T123" s="2" t="str">
        <f t="shared" si="12"/>
        <v>Credit Card</v>
      </c>
      <c r="U123" s="2" t="str">
        <f t="shared" si="13"/>
        <v>Cancelled</v>
      </c>
      <c r="V123" s="2">
        <f t="shared" si="14"/>
        <v>10</v>
      </c>
      <c r="W123" s="2">
        <f t="shared" si="15"/>
        <v>367.87</v>
      </c>
      <c r="X12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45525</v>
      </c>
      <c r="Y123" s="2">
        <f t="shared" si="16"/>
        <v>0</v>
      </c>
      <c r="Z123" s="2" t="str">
        <f>TRIM(CLEAN(tblOrders[[#This Row],[Notes]]))</f>
        <v/>
      </c>
      <c r="AA123" s="2" t="str">
        <f t="shared" si="17"/>
        <v>High Value</v>
      </c>
      <c r="AB123" s="2">
        <f>IF(OR(tblOrders[[#This Row],[Quantity_Clean]]="",tblOrders[[#This Row],[UnitPrice_Clean]]=""),0,tblOrders[[#This Row],[Quantity_Clean]]*tblOrders[[#This Row],[UnitPrice_Clean]])</f>
        <v>3678.7</v>
      </c>
      <c r="AC123" s="2" t="str">
        <f>UPPER(TRIM(tblOrders[[#This Row],[OrderID]]))</f>
        <v>ORD-1184</v>
      </c>
      <c r="AD123" s="2">
        <f>VALUE(RIGHT(tblOrders[[#This Row],[OrderID]],4))</f>
        <v>1184</v>
      </c>
      <c r="AE123" s="2" t="str">
        <f>TEXT(tblOrders[[#This Row],[OrderDate_Clean]],"mmm-yyyy")</f>
        <v>Aug-2024</v>
      </c>
      <c r="AF123" s="3">
        <f>EOMONTH(tblOrders[[#This Row],[OrderDate_Clean]],0)</f>
        <v>45535</v>
      </c>
      <c r="AG123" s="2" t="s">
        <v>925</v>
      </c>
      <c r="AH123" s="2">
        <f>IF(tblOrders[[#This Row],[Discount]]="",0,IF(ISNUMBER(tblOrders[[#This Row],[Discount]]),tblOrders[[#This Row],[Discount]],VALUE(SUBSTITUTE(TRIM(tblOrders[[#This Row],[Discount]]),"%",""))/100))</f>
        <v>0</v>
      </c>
    </row>
    <row r="124" spans="1:34" x14ac:dyDescent="0.25">
      <c r="A124" s="2" t="s">
        <v>673</v>
      </c>
      <c r="B124" s="2" t="s">
        <v>674</v>
      </c>
      <c r="C124" s="2" t="s">
        <v>675</v>
      </c>
      <c r="D124" s="2" t="s">
        <v>64</v>
      </c>
      <c r="E124" s="2" t="s">
        <v>65</v>
      </c>
      <c r="F124" s="2" t="s">
        <v>189</v>
      </c>
      <c r="G124" s="2" t="s">
        <v>154</v>
      </c>
      <c r="H124" s="2" t="s">
        <v>68</v>
      </c>
      <c r="I124" s="2">
        <v>12</v>
      </c>
      <c r="J124" s="2">
        <v>355.64</v>
      </c>
      <c r="K124" s="2"/>
      <c r="L124" s="2" t="s">
        <v>37</v>
      </c>
      <c r="M124" s="2" t="s">
        <v>60</v>
      </c>
      <c r="N124" s="2" t="s">
        <v>50</v>
      </c>
      <c r="O124" s="2" t="s">
        <v>112</v>
      </c>
      <c r="P124" s="2" t="str">
        <f t="shared" si="9"/>
        <v>Robert Anderson</v>
      </c>
      <c r="Q124" s="2" t="str">
        <f>IF(OR(PROPER(TRIM(tblOrders[[#This Row],[Region]]))="Nort",PROPER(TRIM(tblOrders[[#This Row],[Region]]))="Northh"),"North",PROPER(TRIM(tblOrders[[#This Row],[Region]])))</f>
        <v>West</v>
      </c>
      <c r="R124" s="2" t="str">
        <f t="shared" si="10"/>
        <v>Furniture</v>
      </c>
      <c r="S124" s="2" t="str">
        <f t="shared" si="11"/>
        <v>Online</v>
      </c>
      <c r="T124" s="2" t="str">
        <f t="shared" si="12"/>
        <v>Bank Transfer</v>
      </c>
      <c r="U124" s="2" t="str">
        <f t="shared" si="13"/>
        <v>Completed</v>
      </c>
      <c r="V124" s="2">
        <f t="shared" si="14"/>
        <v>12</v>
      </c>
      <c r="W124" s="2">
        <f t="shared" si="15"/>
        <v>355.64</v>
      </c>
      <c r="X12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45577</v>
      </c>
      <c r="Y124" s="2">
        <f t="shared" si="16"/>
        <v>0</v>
      </c>
      <c r="Z124" s="2" t="str">
        <f>TRIM(CLEAN(tblOrders[[#This Row],[Notes]]))</f>
        <v>Follow up needed</v>
      </c>
      <c r="AA124" s="2" t="str">
        <f t="shared" si="17"/>
        <v>High Value</v>
      </c>
      <c r="AB124" s="2">
        <f>IF(OR(tblOrders[[#This Row],[Quantity_Clean]]="",tblOrders[[#This Row],[UnitPrice_Clean]]=""),0,tblOrders[[#This Row],[Quantity_Clean]]*tblOrders[[#This Row],[UnitPrice_Clean]])</f>
        <v>4267.68</v>
      </c>
      <c r="AC124" s="2" t="str">
        <f>UPPER(TRIM(tblOrders[[#This Row],[OrderID]]))</f>
        <v>ORD-1123</v>
      </c>
      <c r="AD124" s="2">
        <f>VALUE(RIGHT(tblOrders[[#This Row],[OrderID]],4))</f>
        <v>1123</v>
      </c>
      <c r="AE124" s="2" t="str">
        <f>TEXT(tblOrders[[#This Row],[OrderDate_Clean]],"mmm-yyyy")</f>
        <v>Oct-2024</v>
      </c>
      <c r="AF124" s="3">
        <f>EOMONTH(tblOrders[[#This Row],[OrderDate_Clean]],0)</f>
        <v>45596</v>
      </c>
      <c r="AG124" s="2" t="s">
        <v>932</v>
      </c>
      <c r="AH124" s="2">
        <f>IF(tblOrders[[#This Row],[Discount]]="",0,IF(ISNUMBER(tblOrders[[#This Row],[Discount]]),tblOrders[[#This Row],[Discount]],VALUE(SUBSTITUTE(TRIM(tblOrders[[#This Row],[Discount]]),"%",""))/100))</f>
        <v>0</v>
      </c>
    </row>
    <row r="125" spans="1:34" x14ac:dyDescent="0.25">
      <c r="A125" s="2" t="s">
        <v>155</v>
      </c>
      <c r="B125" s="2" t="s">
        <v>156</v>
      </c>
      <c r="C125" s="2" t="s">
        <v>157</v>
      </c>
      <c r="D125" s="2" t="s">
        <v>152</v>
      </c>
      <c r="E125" s="2" t="s">
        <v>117</v>
      </c>
      <c r="F125" s="2" t="s">
        <v>56</v>
      </c>
      <c r="G125" s="2" t="s">
        <v>57</v>
      </c>
      <c r="H125" s="2" t="s">
        <v>58</v>
      </c>
      <c r="I125" s="2">
        <v>8</v>
      </c>
      <c r="J125" s="2">
        <v>353.25</v>
      </c>
      <c r="K125" s="2">
        <v>0.2</v>
      </c>
      <c r="L125" s="2" t="s">
        <v>143</v>
      </c>
      <c r="M125" s="2" t="s">
        <v>158</v>
      </c>
      <c r="N125" s="2" t="s">
        <v>26</v>
      </c>
      <c r="O125" s="2" t="s">
        <v>112</v>
      </c>
      <c r="P125" s="2" t="str">
        <f t="shared" si="9"/>
        <v>Grace Garcia</v>
      </c>
      <c r="Q125" s="2" t="str">
        <f>IF(OR(PROPER(TRIM(tblOrders[[#This Row],[Region]]))="Nort",PROPER(TRIM(tblOrders[[#This Row],[Region]]))="Northh"),"North",PROPER(TRIM(tblOrders[[#This Row],[Region]])))</f>
        <v>East</v>
      </c>
      <c r="R125" s="2" t="str">
        <f t="shared" si="10"/>
        <v>Furniture</v>
      </c>
      <c r="S125" s="2" t="str">
        <f t="shared" si="11"/>
        <v>Online</v>
      </c>
      <c r="T125" s="2" t="str">
        <f t="shared" si="12"/>
        <v>Credit Card</v>
      </c>
      <c r="U125" s="2" t="str">
        <f t="shared" si="13"/>
        <v>Pending</v>
      </c>
      <c r="V125" s="2">
        <f t="shared" si="14"/>
        <v>8</v>
      </c>
      <c r="W125" s="2">
        <f t="shared" si="15"/>
        <v>353.25</v>
      </c>
      <c r="X12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45445</v>
      </c>
      <c r="Y125" s="2">
        <f t="shared" si="16"/>
        <v>0.2</v>
      </c>
      <c r="Z125" s="2" t="str">
        <f>TRIM(CLEAN(tblOrders[[#This Row],[Notes]]))</f>
        <v>Follow up needed</v>
      </c>
      <c r="AA125" s="2" t="str">
        <f t="shared" si="17"/>
        <v>High Value</v>
      </c>
      <c r="AB125" s="2">
        <f>IF(OR(tblOrders[[#This Row],[Quantity_Clean]]="",tblOrders[[#This Row],[UnitPrice_Clean]]=""),0,tblOrders[[#This Row],[Quantity_Clean]]*tblOrders[[#This Row],[UnitPrice_Clean]])</f>
        <v>2826</v>
      </c>
      <c r="AC125" s="2" t="str">
        <f>UPPER(TRIM(tblOrders[[#This Row],[OrderID]]))</f>
        <v>ORD-1015</v>
      </c>
      <c r="AD125" s="2">
        <f>VALUE(RIGHT(tblOrders[[#This Row],[OrderID]],4))</f>
        <v>1015</v>
      </c>
      <c r="AE125" s="2" t="str">
        <f>TEXT(tblOrders[[#This Row],[OrderDate_Clean]],"mmm-yyyy")</f>
        <v>Jun-2024</v>
      </c>
      <c r="AF125" s="3">
        <f>EOMONTH(tblOrders[[#This Row],[OrderDate_Clean]],0)</f>
        <v>45473</v>
      </c>
      <c r="AG125" s="2" t="s">
        <v>881</v>
      </c>
      <c r="AH125" s="2">
        <f>IF(tblOrders[[#This Row],[Discount]]="",0,IF(ISNUMBER(tblOrders[[#This Row],[Discount]]),tblOrders[[#This Row],[Discount]],VALUE(SUBSTITUTE(TRIM(tblOrders[[#This Row],[Discount]]),"%",""))/100))</f>
        <v>0.2</v>
      </c>
    </row>
    <row r="126" spans="1:34" x14ac:dyDescent="0.25">
      <c r="A126" s="2" t="s">
        <v>532</v>
      </c>
      <c r="B126" s="2" t="s">
        <v>533</v>
      </c>
      <c r="C126" s="2" t="s">
        <v>534</v>
      </c>
      <c r="D126" s="2" t="s">
        <v>334</v>
      </c>
      <c r="E126" s="2" t="s">
        <v>125</v>
      </c>
      <c r="F126" s="2" t="s">
        <v>189</v>
      </c>
      <c r="G126" s="2" t="s">
        <v>148</v>
      </c>
      <c r="H126" s="2" t="s">
        <v>178</v>
      </c>
      <c r="I126" s="2">
        <v>10</v>
      </c>
      <c r="J126" s="2">
        <v>311.76</v>
      </c>
      <c r="K126" s="2">
        <v>0.05</v>
      </c>
      <c r="L126" s="2" t="s">
        <v>24</v>
      </c>
      <c r="M126" s="2" t="s">
        <v>38</v>
      </c>
      <c r="N126" s="2"/>
      <c r="O126" s="2" t="s">
        <v>171</v>
      </c>
      <c r="P126" s="2" t="str">
        <f t="shared" si="9"/>
        <v>Fatima Sheikh</v>
      </c>
      <c r="Q126" s="2" t="str">
        <f>IF(OR(PROPER(TRIM(tblOrders[[#This Row],[Region]]))="Nort",PROPER(TRIM(tblOrders[[#This Row],[Region]]))="Northh"),"North",PROPER(TRIM(tblOrders[[#This Row],[Region]])))</f>
        <v>South</v>
      </c>
      <c r="R126" s="2" t="str">
        <f t="shared" si="10"/>
        <v>Furniture</v>
      </c>
      <c r="S126" s="2" t="str">
        <f t="shared" si="11"/>
        <v>Online</v>
      </c>
      <c r="T126" s="2" t="str">
        <f t="shared" si="12"/>
        <v>Credit Card</v>
      </c>
      <c r="U126" s="2" t="str">
        <f t="shared" si="13"/>
        <v>Cancelled</v>
      </c>
      <c r="V126" s="2">
        <f t="shared" si="14"/>
        <v>10</v>
      </c>
      <c r="W126" s="2">
        <f t="shared" si="15"/>
        <v>311.76</v>
      </c>
      <c r="X12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45570</v>
      </c>
      <c r="Y126" s="2">
        <f t="shared" si="16"/>
        <v>0.05</v>
      </c>
      <c r="Z126" s="2" t="str">
        <f>TRIM(CLEAN(tblOrders[[#This Row],[Notes]]))</f>
        <v>Leave at front desk</v>
      </c>
      <c r="AA126" s="2" t="str">
        <f t="shared" si="17"/>
        <v>High Value</v>
      </c>
      <c r="AB126" s="2">
        <f>IF(OR(tblOrders[[#This Row],[Quantity_Clean]]="",tblOrders[[#This Row],[UnitPrice_Clean]]=""),0,tblOrders[[#This Row],[Quantity_Clean]]*tblOrders[[#This Row],[UnitPrice_Clean]])</f>
        <v>3117.6</v>
      </c>
      <c r="AC126" s="2" t="str">
        <f>UPPER(TRIM(tblOrders[[#This Row],[OrderID]]))</f>
        <v>ORD-1048</v>
      </c>
      <c r="AD126" s="2">
        <f>VALUE(RIGHT(tblOrders[[#This Row],[OrderID]],4))</f>
        <v>1048</v>
      </c>
      <c r="AE126" s="2" t="str">
        <f>TEXT(tblOrders[[#This Row],[OrderDate_Clean]],"mmm-yyyy")</f>
        <v>Oct-2024</v>
      </c>
      <c r="AF126" s="3">
        <f>EOMONTH(tblOrders[[#This Row],[OrderDate_Clean]],0)</f>
        <v>45596</v>
      </c>
      <c r="AG126" s="2" t="s">
        <v>933</v>
      </c>
      <c r="AH126" s="2">
        <f>IF(tblOrders[[#This Row],[Discount]]="",0,IF(ISNUMBER(tblOrders[[#This Row],[Discount]]),tblOrders[[#This Row],[Discount]],VALUE(SUBSTITUTE(TRIM(tblOrders[[#This Row],[Discount]]),"%",""))/100))</f>
        <v>0.05</v>
      </c>
    </row>
    <row r="127" spans="1:34" x14ac:dyDescent="0.25">
      <c r="A127" s="2" t="s">
        <v>389</v>
      </c>
      <c r="B127" s="2" t="s">
        <v>390</v>
      </c>
      <c r="C127" s="2" t="s">
        <v>391</v>
      </c>
      <c r="D127" s="2" t="s">
        <v>18</v>
      </c>
      <c r="E127" s="2" t="s">
        <v>19</v>
      </c>
      <c r="F127" s="2" t="s">
        <v>56</v>
      </c>
      <c r="G127" s="2" t="s">
        <v>330</v>
      </c>
      <c r="H127" s="2" t="s">
        <v>108</v>
      </c>
      <c r="I127" s="2">
        <v>9</v>
      </c>
      <c r="J127" s="2">
        <v>287.47000000000003</v>
      </c>
      <c r="K127" s="2">
        <v>0.2</v>
      </c>
      <c r="L127" s="2" t="s">
        <v>260</v>
      </c>
      <c r="M127" s="2" t="s">
        <v>165</v>
      </c>
      <c r="N127" s="2" t="s">
        <v>39</v>
      </c>
      <c r="O127" s="2" t="s">
        <v>126</v>
      </c>
      <c r="P127" s="2" t="str">
        <f t="shared" si="9"/>
        <v>Ahmed Garcia</v>
      </c>
      <c r="Q127" s="2" t="str">
        <f>IF(OR(PROPER(TRIM(tblOrders[[#This Row],[Region]]))="Nort",PROPER(TRIM(tblOrders[[#This Row],[Region]]))="Northh"),"North",PROPER(TRIM(tblOrders[[#This Row],[Region]])))</f>
        <v>East</v>
      </c>
      <c r="R127" s="2" t="str">
        <f t="shared" si="10"/>
        <v>Furniture</v>
      </c>
      <c r="S127" s="2" t="str">
        <f t="shared" si="11"/>
        <v>In-Store</v>
      </c>
      <c r="T127" s="2" t="str">
        <f t="shared" si="12"/>
        <v>Credit Card</v>
      </c>
      <c r="U127" s="2" t="str">
        <f t="shared" si="13"/>
        <v>Cancelled</v>
      </c>
      <c r="V127" s="2">
        <f t="shared" si="14"/>
        <v>9</v>
      </c>
      <c r="W127" s="2">
        <f t="shared" si="15"/>
        <v>287.47000000000003</v>
      </c>
      <c r="X12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45559</v>
      </c>
      <c r="Y127" s="2">
        <f t="shared" si="16"/>
        <v>0.2</v>
      </c>
      <c r="Z127" s="2" t="str">
        <f>TRIM(CLEAN(tblOrders[[#This Row],[Notes]]))</f>
        <v>Gift wrap requested</v>
      </c>
      <c r="AA127" s="2" t="str">
        <f t="shared" si="17"/>
        <v>High Value</v>
      </c>
      <c r="AB127" s="2">
        <f>IF(OR(tblOrders[[#This Row],[Quantity_Clean]]="",tblOrders[[#This Row],[UnitPrice_Clean]]=""),0,tblOrders[[#This Row],[Quantity_Clean]]*tblOrders[[#This Row],[UnitPrice_Clean]])</f>
        <v>2587.2300000000005</v>
      </c>
      <c r="AC127" s="2" t="str">
        <f>UPPER(TRIM(tblOrders[[#This Row],[OrderID]]))</f>
        <v>ORD-1193</v>
      </c>
      <c r="AD127" s="2">
        <f>VALUE(RIGHT(tblOrders[[#This Row],[OrderID]],4))</f>
        <v>1193</v>
      </c>
      <c r="AE127" s="2" t="str">
        <f>TEXT(tblOrders[[#This Row],[OrderDate_Clean]],"mmm-yyyy")</f>
        <v>Sep-2024</v>
      </c>
      <c r="AF127" s="3">
        <f>EOMONTH(tblOrders[[#This Row],[OrderDate_Clean]],0)</f>
        <v>45565</v>
      </c>
      <c r="AG127" s="2" t="s">
        <v>921</v>
      </c>
      <c r="AH127" s="2">
        <f>IF(tblOrders[[#This Row],[Discount]]="",0,IF(ISNUMBER(tblOrders[[#This Row],[Discount]]),tblOrders[[#This Row],[Discount]],VALUE(SUBSTITUTE(TRIM(tblOrders[[#This Row],[Discount]]),"%",""))/100))</f>
        <v>0.2</v>
      </c>
    </row>
    <row r="128" spans="1:34" x14ac:dyDescent="0.25">
      <c r="A128" s="2" t="s">
        <v>185</v>
      </c>
      <c r="B128" s="2" t="s">
        <v>186</v>
      </c>
      <c r="C128" s="2" t="s">
        <v>187</v>
      </c>
      <c r="D128" s="2" t="s">
        <v>188</v>
      </c>
      <c r="E128" s="2" t="s">
        <v>32</v>
      </c>
      <c r="F128" s="2" t="s">
        <v>189</v>
      </c>
      <c r="G128" s="2" t="s">
        <v>154</v>
      </c>
      <c r="H128" s="2" t="s">
        <v>58</v>
      </c>
      <c r="I128" s="2" t="s">
        <v>190</v>
      </c>
      <c r="J128" s="2">
        <v>282.13</v>
      </c>
      <c r="K128" s="2"/>
      <c r="L128" s="2" t="s">
        <v>69</v>
      </c>
      <c r="M128" s="2" t="s">
        <v>158</v>
      </c>
      <c r="N128" s="2" t="s">
        <v>111</v>
      </c>
      <c r="O128" s="2" t="s">
        <v>51</v>
      </c>
      <c r="P128" s="2" t="str">
        <f t="shared" si="9"/>
        <v>Michael Raza</v>
      </c>
      <c r="Q128" s="2" t="str">
        <f>IF(OR(PROPER(TRIM(tblOrders[[#This Row],[Region]]))="Nort",PROPER(TRIM(tblOrders[[#This Row],[Region]]))="Northh"),"North",PROPER(TRIM(tblOrders[[#This Row],[Region]])))</f>
        <v>North</v>
      </c>
      <c r="R128" s="2" t="str">
        <f t="shared" si="10"/>
        <v>Furniture</v>
      </c>
      <c r="S128" s="2" t="str">
        <f t="shared" si="11"/>
        <v>Online</v>
      </c>
      <c r="T128" s="2" t="str">
        <f t="shared" si="12"/>
        <v>Debit Card</v>
      </c>
      <c r="U128" s="2" t="str">
        <f t="shared" si="13"/>
        <v>Pending</v>
      </c>
      <c r="V128" s="2">
        <f t="shared" si="14"/>
        <v>9</v>
      </c>
      <c r="W128" s="2">
        <f t="shared" si="15"/>
        <v>282.13</v>
      </c>
      <c r="X12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45416</v>
      </c>
      <c r="Y128" s="2">
        <f t="shared" si="16"/>
        <v>0</v>
      </c>
      <c r="Z128" s="2" t="str">
        <f>TRIM(CLEAN(tblOrders[[#This Row],[Notes]]))</f>
        <v/>
      </c>
      <c r="AA128" s="2" t="str">
        <f t="shared" si="17"/>
        <v>High Value</v>
      </c>
      <c r="AB128" s="2">
        <f>IF(OR(tblOrders[[#This Row],[Quantity_Clean]]="",tblOrders[[#This Row],[UnitPrice_Clean]]=""),0,tblOrders[[#This Row],[Quantity_Clean]]*tblOrders[[#This Row],[UnitPrice_Clean]])</f>
        <v>2539.17</v>
      </c>
      <c r="AC128" s="2" t="str">
        <f>UPPER(TRIM(tblOrders[[#This Row],[OrderID]]))</f>
        <v>ORD-1127</v>
      </c>
      <c r="AD128" s="2">
        <f>VALUE(RIGHT(tblOrders[[#This Row],[OrderID]],4))</f>
        <v>1127</v>
      </c>
      <c r="AE128" s="2" t="str">
        <f>TEXT(tblOrders[[#This Row],[OrderDate_Clean]],"mmm-yyyy")</f>
        <v>May-2024</v>
      </c>
      <c r="AF128" s="3">
        <f>EOMONTH(tblOrders[[#This Row],[OrderDate_Clean]],0)</f>
        <v>45443</v>
      </c>
      <c r="AG128" s="2" t="s">
        <v>908</v>
      </c>
      <c r="AH128" s="2">
        <f>IF(tblOrders[[#This Row],[Discount]]="",0,IF(ISNUMBER(tblOrders[[#This Row],[Discount]]),tblOrders[[#This Row],[Discount]],VALUE(SUBSTITUTE(TRIM(tblOrders[[#This Row],[Discount]]),"%",""))/100))</f>
        <v>0</v>
      </c>
    </row>
    <row r="129" spans="1:34" x14ac:dyDescent="0.25">
      <c r="A129" s="2" t="s">
        <v>753</v>
      </c>
      <c r="B129" s="2" t="s">
        <v>754</v>
      </c>
      <c r="C129" s="2" t="s">
        <v>755</v>
      </c>
      <c r="D129" s="2" t="s">
        <v>194</v>
      </c>
      <c r="E129" s="2" t="s">
        <v>65</v>
      </c>
      <c r="F129" s="2" t="s">
        <v>189</v>
      </c>
      <c r="G129" s="2" t="s">
        <v>67</v>
      </c>
      <c r="H129" s="2" t="s">
        <v>48</v>
      </c>
      <c r="I129" s="2">
        <v>12</v>
      </c>
      <c r="J129" s="2">
        <v>272.36</v>
      </c>
      <c r="K129" s="2"/>
      <c r="L129" s="2" t="s">
        <v>180</v>
      </c>
      <c r="M129" s="2" t="s">
        <v>86</v>
      </c>
      <c r="N129" s="2" t="s">
        <v>50</v>
      </c>
      <c r="O129" s="2" t="s">
        <v>87</v>
      </c>
      <c r="P129" s="2" t="str">
        <f t="shared" si="9"/>
        <v>Tom Malik</v>
      </c>
      <c r="Q129" s="2" t="str">
        <f>IF(OR(PROPER(TRIM(tblOrders[[#This Row],[Region]]))="Nort",PROPER(TRIM(tblOrders[[#This Row],[Region]]))="Northh"),"North",PROPER(TRIM(tblOrders[[#This Row],[Region]])))</f>
        <v>West</v>
      </c>
      <c r="R129" s="2" t="str">
        <f t="shared" si="10"/>
        <v>Furniture</v>
      </c>
      <c r="S129" s="2" t="str">
        <f t="shared" si="11"/>
        <v>In-Store</v>
      </c>
      <c r="T129" s="2" t="str">
        <f t="shared" si="12"/>
        <v>Credit Card</v>
      </c>
      <c r="U129" s="2" t="str">
        <f t="shared" si="13"/>
        <v>Completed</v>
      </c>
      <c r="V129" s="2">
        <f t="shared" si="14"/>
        <v>12</v>
      </c>
      <c r="W129" s="2">
        <f t="shared" si="15"/>
        <v>272.36</v>
      </c>
      <c r="X12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45584</v>
      </c>
      <c r="Y129" s="2">
        <f t="shared" si="16"/>
        <v>0</v>
      </c>
      <c r="Z129" s="2" t="str">
        <f>TRIM(CLEAN(tblOrders[[#This Row],[Notes]]))</f>
        <v>Damaged on arrival - replaced</v>
      </c>
      <c r="AA129" s="2" t="str">
        <f t="shared" si="17"/>
        <v>High Value</v>
      </c>
      <c r="AB129" s="2">
        <f>IF(OR(tblOrders[[#This Row],[Quantity_Clean]]="",tblOrders[[#This Row],[UnitPrice_Clean]]=""),0,tblOrders[[#This Row],[Quantity_Clean]]*tblOrders[[#This Row],[UnitPrice_Clean]])</f>
        <v>3268.32</v>
      </c>
      <c r="AC129" s="2" t="str">
        <f>UPPER(TRIM(tblOrders[[#This Row],[OrderID]]))</f>
        <v>ORD-1162</v>
      </c>
      <c r="AD129" s="2">
        <f>VALUE(RIGHT(tblOrders[[#This Row],[OrderID]],4))</f>
        <v>1162</v>
      </c>
      <c r="AE129" s="2" t="str">
        <f>TEXT(tblOrders[[#This Row],[OrderDate_Clean]],"mmm-yyyy")</f>
        <v>Oct-2024</v>
      </c>
      <c r="AF129" s="3">
        <f>EOMONTH(tblOrders[[#This Row],[OrderDate_Clean]],0)</f>
        <v>45596</v>
      </c>
      <c r="AG129" s="2" t="s">
        <v>919</v>
      </c>
      <c r="AH129" s="2">
        <f>IF(tblOrders[[#This Row],[Discount]]="",0,IF(ISNUMBER(tblOrders[[#This Row],[Discount]]),tblOrders[[#This Row],[Discount]],VALUE(SUBSTITUTE(TRIM(tblOrders[[#This Row],[Discount]]),"%",""))/100))</f>
        <v>0</v>
      </c>
    </row>
    <row r="130" spans="1:34" x14ac:dyDescent="0.25">
      <c r="A130" s="2" t="s">
        <v>600</v>
      </c>
      <c r="B130" s="2" t="s">
        <v>601</v>
      </c>
      <c r="C130" s="2" t="s">
        <v>602</v>
      </c>
      <c r="D130" s="2" t="s">
        <v>194</v>
      </c>
      <c r="E130" s="2" t="s">
        <v>65</v>
      </c>
      <c r="F130" s="2" t="s">
        <v>153</v>
      </c>
      <c r="G130" s="2" t="s">
        <v>154</v>
      </c>
      <c r="H130" s="2" t="s">
        <v>108</v>
      </c>
      <c r="I130" s="2">
        <v>9</v>
      </c>
      <c r="J130" s="2">
        <v>271.69</v>
      </c>
      <c r="K130" s="2">
        <v>0.1</v>
      </c>
      <c r="L130" s="2" t="s">
        <v>79</v>
      </c>
      <c r="M130" s="2" t="s">
        <v>92</v>
      </c>
      <c r="N130" s="2" t="s">
        <v>26</v>
      </c>
      <c r="O130" s="2" t="s">
        <v>112</v>
      </c>
      <c r="P130" s="2" t="str">
        <f t="shared" ref="P130:P193" si="18">PROPER(TRIM(C130))</f>
        <v>Liam Qureshi</v>
      </c>
      <c r="Q130" s="2" t="str">
        <f>IF(OR(PROPER(TRIM(tblOrders[[#This Row],[Region]]))="Nort",PROPER(TRIM(tblOrders[[#This Row],[Region]]))="Northh"),"North",PROPER(TRIM(tblOrders[[#This Row],[Region]])))</f>
        <v>West</v>
      </c>
      <c r="R130" s="2" t="str">
        <f t="shared" ref="R130:R193" si="19">IF(PROPER(TRIM(F130))="Cloth Ing","Clothing",IF(PROPER(TRIM(F130))="Electronic","Electronics",IF(PROPER(TRIM(F130))="Grocery","Groceries",SUBSTITUTE(PROPER(TRIM(F130)),"Stationary","Stationery"))))</f>
        <v>Furniture</v>
      </c>
      <c r="S130" s="2" t="str">
        <f t="shared" ref="S130:S193" si="20">IF(LOWER(TRIM(H130))="online","Online",IF(OR(LOWER(TRIM(H130))="in-store",LOWER(TRIM(H130))="in store",LOWER(TRIM(H130))="instore"),"In-Store",PROPER(TRIM(H130))))</f>
        <v>In-Store</v>
      </c>
      <c r="T130" s="2" t="str">
        <f t="shared" ref="T130:T193" si="21">IF(UPPER(TRIM(L130))="CC","Credit Card",PROPER(TRIM(L130)))</f>
        <v>Cash</v>
      </c>
      <c r="U130" s="2" t="str">
        <f t="shared" ref="U130:U193" si="22">IF(PROPER(TRIM(M130))="Complete","Completed",IF(PROPER(TRIM(M130))="Canceled","Cancelled",PROPER(TRIM(M130))))</f>
        <v>Cancelled</v>
      </c>
      <c r="V130" s="2">
        <f t="shared" ref="V130:V193" si="23">IFERROR(VALUE(TRIM(I130)),"")</f>
        <v>9</v>
      </c>
      <c r="W130" s="2">
        <f t="shared" ref="W130:W193" si="24">IFERROR(VALUE(SUBSTITUTE(TRIM(J130),"$","")),"")</f>
        <v>271.69</v>
      </c>
      <c r="X13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45639</v>
      </c>
      <c r="Y130" s="2">
        <f t="shared" ref="Y130:Y193" si="25">IF(K130="",0,K130)</f>
        <v>0.1</v>
      </c>
      <c r="Z130" s="2" t="str">
        <f>TRIM(CLEAN(tblOrders[[#This Row],[Notes]]))</f>
        <v>Follow up needed</v>
      </c>
      <c r="AA130" s="2" t="str">
        <f t="shared" ref="AA130:AA193" si="26">IF(OR(V130="",W130=""),"Review",IF(V130*W130&gt;=1000,"High Value","Standard"))</f>
        <v>High Value</v>
      </c>
      <c r="AB130" s="2">
        <f>IF(OR(tblOrders[[#This Row],[Quantity_Clean]]="",tblOrders[[#This Row],[UnitPrice_Clean]]=""),0,tblOrders[[#This Row],[Quantity_Clean]]*tblOrders[[#This Row],[UnitPrice_Clean]])</f>
        <v>2445.21</v>
      </c>
      <c r="AC130" s="2" t="str">
        <f>UPPER(TRIM(tblOrders[[#This Row],[OrderID]]))</f>
        <v>ORD-1133</v>
      </c>
      <c r="AD130" s="2">
        <f>VALUE(RIGHT(tblOrders[[#This Row],[OrderID]],4))</f>
        <v>1133</v>
      </c>
      <c r="AE130" s="2" t="str">
        <f>TEXT(tblOrders[[#This Row],[OrderDate_Clean]],"mmm-yyyy")</f>
        <v>Dec-2024</v>
      </c>
      <c r="AF130" s="3">
        <f>EOMONTH(tblOrders[[#This Row],[OrderDate_Clean]],0)</f>
        <v>45657</v>
      </c>
      <c r="AG130" s="2" t="s">
        <v>885</v>
      </c>
      <c r="AH130" s="2">
        <f>IF(tblOrders[[#This Row],[Discount]]="",0,IF(ISNUMBER(tblOrders[[#This Row],[Discount]]),tblOrders[[#This Row],[Discount]],VALUE(SUBSTITUTE(TRIM(tblOrders[[#This Row],[Discount]]),"%",""))/100))</f>
        <v>0.1</v>
      </c>
    </row>
    <row r="131" spans="1:34" x14ac:dyDescent="0.25">
      <c r="A131" s="2" t="s">
        <v>354</v>
      </c>
      <c r="B131" s="2" t="s">
        <v>355</v>
      </c>
      <c r="C131" s="2" t="s">
        <v>356</v>
      </c>
      <c r="D131" s="2" t="s">
        <v>188</v>
      </c>
      <c r="E131" s="2" t="s">
        <v>199</v>
      </c>
      <c r="F131" s="2" t="s">
        <v>189</v>
      </c>
      <c r="G131" s="2" t="s">
        <v>57</v>
      </c>
      <c r="H131" s="2" t="s">
        <v>200</v>
      </c>
      <c r="I131" s="2">
        <v>6</v>
      </c>
      <c r="J131" s="2">
        <v>261.85000000000002</v>
      </c>
      <c r="K131" s="2"/>
      <c r="L131" s="2" t="s">
        <v>24</v>
      </c>
      <c r="M131" s="2" t="s">
        <v>158</v>
      </c>
      <c r="N131" s="2" t="s">
        <v>26</v>
      </c>
      <c r="O131" s="2" t="s">
        <v>171</v>
      </c>
      <c r="P131" s="2" t="str">
        <f t="shared" si="18"/>
        <v>Umar Brown</v>
      </c>
      <c r="Q131" s="2" t="str">
        <f>IF(OR(PROPER(TRIM(tblOrders[[#This Row],[Region]]))="Nort",PROPER(TRIM(tblOrders[[#This Row],[Region]]))="Northh"),"North",PROPER(TRIM(tblOrders[[#This Row],[Region]])))</f>
        <v>North</v>
      </c>
      <c r="R131" s="2" t="str">
        <f t="shared" si="19"/>
        <v>Furniture</v>
      </c>
      <c r="S131" s="2" t="str">
        <f t="shared" si="20"/>
        <v>Online</v>
      </c>
      <c r="T131" s="2" t="str">
        <f t="shared" si="21"/>
        <v>Credit Card</v>
      </c>
      <c r="U131" s="2" t="str">
        <f t="shared" si="22"/>
        <v>Pending</v>
      </c>
      <c r="V131" s="2">
        <f t="shared" si="23"/>
        <v>6</v>
      </c>
      <c r="W131" s="2">
        <f t="shared" si="24"/>
        <v>261.85000000000002</v>
      </c>
      <c r="X13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45432</v>
      </c>
      <c r="Y131" s="2">
        <f t="shared" si="25"/>
        <v>0</v>
      </c>
      <c r="Z131" s="2" t="str">
        <f>TRIM(CLEAN(tblOrders[[#This Row],[Notes]]))</f>
        <v>Leave at front desk</v>
      </c>
      <c r="AA131" s="2" t="str">
        <f t="shared" si="26"/>
        <v>High Value</v>
      </c>
      <c r="AB131" s="2">
        <f>IF(OR(tblOrders[[#This Row],[Quantity_Clean]]="",tblOrders[[#This Row],[UnitPrice_Clean]]=""),0,tblOrders[[#This Row],[Quantity_Clean]]*tblOrders[[#This Row],[UnitPrice_Clean]])</f>
        <v>1571.1000000000001</v>
      </c>
      <c r="AC131" s="2" t="str">
        <f>UPPER(TRIM(tblOrders[[#This Row],[OrderID]]))</f>
        <v>ORD-1086</v>
      </c>
      <c r="AD131" s="2">
        <f>VALUE(RIGHT(tblOrders[[#This Row],[OrderID]],4))</f>
        <v>1086</v>
      </c>
      <c r="AE131" s="2" t="str">
        <f>TEXT(tblOrders[[#This Row],[OrderDate_Clean]],"mmm-yyyy")</f>
        <v>May-2024</v>
      </c>
      <c r="AF131" s="3">
        <f>EOMONTH(tblOrders[[#This Row],[OrderDate_Clean]],0)</f>
        <v>45443</v>
      </c>
      <c r="AG131" s="2" t="s">
        <v>883</v>
      </c>
      <c r="AH131" s="2">
        <f>IF(tblOrders[[#This Row],[Discount]]="",0,IF(ISNUMBER(tblOrders[[#This Row],[Discount]]),tblOrders[[#This Row],[Discount]],VALUE(SUBSTITUTE(TRIM(tblOrders[[#This Row],[Discount]]),"%",""))/100))</f>
        <v>0</v>
      </c>
    </row>
    <row r="132" spans="1:34" x14ac:dyDescent="0.25">
      <c r="A132" s="2" t="s">
        <v>436</v>
      </c>
      <c r="B132" s="2" t="s">
        <v>233</v>
      </c>
      <c r="C132" s="2" t="s">
        <v>437</v>
      </c>
      <c r="D132" s="2" t="s">
        <v>194</v>
      </c>
      <c r="E132" s="2" t="s">
        <v>98</v>
      </c>
      <c r="F132" s="2" t="s">
        <v>153</v>
      </c>
      <c r="G132" s="2" t="s">
        <v>330</v>
      </c>
      <c r="H132" s="2" t="s">
        <v>35</v>
      </c>
      <c r="I132" s="2">
        <v>6</v>
      </c>
      <c r="J132" s="2">
        <v>236.18</v>
      </c>
      <c r="K132" s="2" t="s">
        <v>254</v>
      </c>
      <c r="L132" s="2" t="s">
        <v>143</v>
      </c>
      <c r="M132" s="2" t="s">
        <v>165</v>
      </c>
      <c r="N132" s="2"/>
      <c r="O132" s="2" t="s">
        <v>40</v>
      </c>
      <c r="P132" s="2" t="str">
        <f t="shared" si="18"/>
        <v>Grace Brown</v>
      </c>
      <c r="Q132" s="2" t="str">
        <f>IF(OR(PROPER(TRIM(tblOrders[[#This Row],[Region]]))="Nort",PROPER(TRIM(tblOrders[[#This Row],[Region]]))="Northh"),"North",PROPER(TRIM(tblOrders[[#This Row],[Region]])))</f>
        <v>West</v>
      </c>
      <c r="R132" s="2" t="str">
        <f t="shared" si="19"/>
        <v>Furniture</v>
      </c>
      <c r="S132" s="2" t="str">
        <f t="shared" si="20"/>
        <v>In-Store</v>
      </c>
      <c r="T132" s="2" t="str">
        <f t="shared" si="21"/>
        <v>Credit Card</v>
      </c>
      <c r="U132" s="2" t="str">
        <f t="shared" si="22"/>
        <v>Cancelled</v>
      </c>
      <c r="V132" s="2">
        <f t="shared" si="23"/>
        <v>6</v>
      </c>
      <c r="W132" s="2">
        <f t="shared" si="24"/>
        <v>236.18</v>
      </c>
      <c r="X13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45465</v>
      </c>
      <c r="Y132" s="2" t="str">
        <f t="shared" si="25"/>
        <v>0%</v>
      </c>
      <c r="Z132" s="2" t="str">
        <f>TRIM(CLEAN(tblOrders[[#This Row],[Notes]]))</f>
        <v>VIP customer</v>
      </c>
      <c r="AA132" s="2" t="str">
        <f t="shared" si="26"/>
        <v>High Value</v>
      </c>
      <c r="AB132" s="2">
        <f>IF(OR(tblOrders[[#This Row],[Quantity_Clean]]="",tblOrders[[#This Row],[UnitPrice_Clean]]=""),0,tblOrders[[#This Row],[Quantity_Clean]]*tblOrders[[#This Row],[UnitPrice_Clean]])</f>
        <v>1417.08</v>
      </c>
      <c r="AC132" s="2" t="str">
        <f>UPPER(TRIM(tblOrders[[#This Row],[OrderID]]))</f>
        <v>ORD-1010</v>
      </c>
      <c r="AD132" s="2">
        <f>VALUE(RIGHT(tblOrders[[#This Row],[OrderID]],4))</f>
        <v>1010</v>
      </c>
      <c r="AE132" s="2" t="str">
        <f>TEXT(tblOrders[[#This Row],[OrderDate_Clean]],"mmm-yyyy")</f>
        <v>Jun-2024</v>
      </c>
      <c r="AF132" s="3">
        <f>EOMONTH(tblOrders[[#This Row],[OrderDate_Clean]],0)</f>
        <v>45473</v>
      </c>
      <c r="AG132" s="2" t="s">
        <v>881</v>
      </c>
      <c r="AH132" s="2">
        <f>IF(tblOrders[[#This Row],[Discount]]="",0,IF(ISNUMBER(tblOrders[[#This Row],[Discount]]),tblOrders[[#This Row],[Discount]],VALUE(SUBSTITUTE(TRIM(tblOrders[[#This Row],[Discount]]),"%",""))/100))</f>
        <v>0</v>
      </c>
    </row>
    <row r="133" spans="1:34" x14ac:dyDescent="0.25">
      <c r="A133" s="2" t="s">
        <v>558</v>
      </c>
      <c r="B133" s="2" t="s">
        <v>559</v>
      </c>
      <c r="C133" s="2" t="s">
        <v>560</v>
      </c>
      <c r="D133" s="2" t="s">
        <v>97</v>
      </c>
      <c r="E133" s="2" t="s">
        <v>65</v>
      </c>
      <c r="F133" s="2" t="s">
        <v>189</v>
      </c>
      <c r="G133" s="2" t="s">
        <v>57</v>
      </c>
      <c r="H133" s="2" t="s">
        <v>195</v>
      </c>
      <c r="I133" s="2">
        <v>6</v>
      </c>
      <c r="J133" s="2">
        <v>199.51</v>
      </c>
      <c r="K133" s="2"/>
      <c r="L133" s="2" t="s">
        <v>59</v>
      </c>
      <c r="M133" s="2" t="s">
        <v>92</v>
      </c>
      <c r="N133" s="2" t="s">
        <v>111</v>
      </c>
      <c r="O133" s="2" t="s">
        <v>112</v>
      </c>
      <c r="P133" s="2" t="str">
        <f t="shared" si="18"/>
        <v>Kevin Brown</v>
      </c>
      <c r="Q133" s="2" t="str">
        <f>IF(OR(PROPER(TRIM(tblOrders[[#This Row],[Region]]))="Nort",PROPER(TRIM(tblOrders[[#This Row],[Region]]))="Northh"),"North",PROPER(TRIM(tblOrders[[#This Row],[Region]])))</f>
        <v>West</v>
      </c>
      <c r="R133" s="2" t="str">
        <f t="shared" si="19"/>
        <v>Furniture</v>
      </c>
      <c r="S133" s="2" t="str">
        <f t="shared" si="20"/>
        <v>In-Store</v>
      </c>
      <c r="T133" s="2" t="str">
        <f t="shared" si="21"/>
        <v>Debit Card</v>
      </c>
      <c r="U133" s="2" t="str">
        <f t="shared" si="22"/>
        <v>Cancelled</v>
      </c>
      <c r="V133" s="2">
        <f t="shared" si="23"/>
        <v>6</v>
      </c>
      <c r="W133" s="2">
        <f t="shared" si="24"/>
        <v>199.51</v>
      </c>
      <c r="X13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45330</v>
      </c>
      <c r="Y133" s="2">
        <f t="shared" si="25"/>
        <v>0</v>
      </c>
      <c r="Z133" s="2" t="str">
        <f>TRIM(CLEAN(tblOrders[[#This Row],[Notes]]))</f>
        <v>Follow up needed</v>
      </c>
      <c r="AA133" s="2" t="str">
        <f t="shared" si="26"/>
        <v>High Value</v>
      </c>
      <c r="AB133" s="2">
        <f>IF(OR(tblOrders[[#This Row],[Quantity_Clean]]="",tblOrders[[#This Row],[UnitPrice_Clean]]=""),0,tblOrders[[#This Row],[Quantity_Clean]]*tblOrders[[#This Row],[UnitPrice_Clean]])</f>
        <v>1197.06</v>
      </c>
      <c r="AC133" s="2" t="str">
        <f>UPPER(TRIM(tblOrders[[#This Row],[OrderID]]))</f>
        <v>ORD-1149</v>
      </c>
      <c r="AD133" s="2">
        <f>VALUE(RIGHT(tblOrders[[#This Row],[OrderID]],4))</f>
        <v>1149</v>
      </c>
      <c r="AE133" s="2" t="str">
        <f>TEXT(tblOrders[[#This Row],[OrderDate_Clean]],"mmm-yyyy")</f>
        <v>Feb-2024</v>
      </c>
      <c r="AF133" s="3">
        <f>EOMONTH(tblOrders[[#This Row],[OrderDate_Clean]],0)</f>
        <v>45351</v>
      </c>
      <c r="AG133" s="2" t="s">
        <v>884</v>
      </c>
      <c r="AH133" s="2">
        <f>IF(tblOrders[[#This Row],[Discount]]="",0,IF(ISNUMBER(tblOrders[[#This Row],[Discount]]),tblOrders[[#This Row],[Discount]],VALUE(SUBSTITUTE(TRIM(tblOrders[[#This Row],[Discount]]),"%",""))/100))</f>
        <v>0</v>
      </c>
    </row>
    <row r="134" spans="1:34" x14ac:dyDescent="0.25">
      <c r="A134" s="2" t="s">
        <v>52</v>
      </c>
      <c r="B134" s="2" t="s">
        <v>53</v>
      </c>
      <c r="C134" s="2" t="s">
        <v>54</v>
      </c>
      <c r="D134" s="2" t="s">
        <v>55</v>
      </c>
      <c r="E134" s="2" t="s">
        <v>32</v>
      </c>
      <c r="F134" s="2" t="s">
        <v>56</v>
      </c>
      <c r="G134" s="2" t="s">
        <v>57</v>
      </c>
      <c r="H134" s="2" t="s">
        <v>58</v>
      </c>
      <c r="I134" s="2">
        <v>1</v>
      </c>
      <c r="J134" s="2">
        <v>151.09</v>
      </c>
      <c r="K134" s="2"/>
      <c r="L134" s="2" t="s">
        <v>59</v>
      </c>
      <c r="M134" s="2" t="s">
        <v>60</v>
      </c>
      <c r="N134" s="2" t="s">
        <v>26</v>
      </c>
      <c r="O134" s="2" t="s">
        <v>40</v>
      </c>
      <c r="P134" s="2" t="str">
        <f t="shared" si="18"/>
        <v>Chen Brown</v>
      </c>
      <c r="Q134" s="2" t="str">
        <f>IF(OR(PROPER(TRIM(tblOrders[[#This Row],[Region]]))="Nort",PROPER(TRIM(tblOrders[[#This Row],[Region]]))="Northh"),"North",PROPER(TRIM(tblOrders[[#This Row],[Region]])))</f>
        <v>North</v>
      </c>
      <c r="R134" s="2" t="str">
        <f t="shared" si="19"/>
        <v>Furniture</v>
      </c>
      <c r="S134" s="2" t="str">
        <f t="shared" si="20"/>
        <v>Online</v>
      </c>
      <c r="T134" s="2" t="str">
        <f t="shared" si="21"/>
        <v>Debit Card</v>
      </c>
      <c r="U134" s="2" t="str">
        <f t="shared" si="22"/>
        <v>Completed</v>
      </c>
      <c r="V134" s="2">
        <f t="shared" si="23"/>
        <v>1</v>
      </c>
      <c r="W134" s="2">
        <f t="shared" si="24"/>
        <v>151.09</v>
      </c>
      <c r="X13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45637</v>
      </c>
      <c r="Y134" s="2">
        <f t="shared" si="25"/>
        <v>0</v>
      </c>
      <c r="Z134" s="2" t="str">
        <f>TRIM(CLEAN(tblOrders[[#This Row],[Notes]]))</f>
        <v>VIP customer</v>
      </c>
      <c r="AA134" s="2" t="str">
        <f t="shared" si="26"/>
        <v>Standard</v>
      </c>
      <c r="AB134" s="2">
        <f>IF(OR(tblOrders[[#This Row],[Quantity_Clean]]="",tblOrders[[#This Row],[UnitPrice_Clean]]=""),0,tblOrders[[#This Row],[Quantity_Clean]]*tblOrders[[#This Row],[UnitPrice_Clean]])</f>
        <v>151.09</v>
      </c>
      <c r="AC134" s="2" t="str">
        <f>UPPER(TRIM(tblOrders[[#This Row],[OrderID]]))</f>
        <v>ORD-1194</v>
      </c>
      <c r="AD134" s="2">
        <f>VALUE(RIGHT(tblOrders[[#This Row],[OrderID]],4))</f>
        <v>1194</v>
      </c>
      <c r="AE134" s="2" t="str">
        <f>TEXT(tblOrders[[#This Row],[OrderDate_Clean]],"mmm-yyyy")</f>
        <v>Dec-2024</v>
      </c>
      <c r="AF134" s="3">
        <f>EOMONTH(tblOrders[[#This Row],[OrderDate_Clean]],0)</f>
        <v>45657</v>
      </c>
      <c r="AG134" s="2" t="s">
        <v>880</v>
      </c>
      <c r="AH134" s="2">
        <f>IF(tblOrders[[#This Row],[Discount]]="",0,IF(ISNUMBER(tblOrders[[#This Row],[Discount]]),tblOrders[[#This Row],[Discount]],VALUE(SUBSTITUTE(TRIM(tblOrders[[#This Row],[Discount]]),"%",""))/100))</f>
        <v>0</v>
      </c>
    </row>
    <row r="135" spans="1:34" x14ac:dyDescent="0.25">
      <c r="A135" s="2" t="s">
        <v>479</v>
      </c>
      <c r="B135" s="2" t="s">
        <v>81</v>
      </c>
      <c r="C135" s="2" t="s">
        <v>480</v>
      </c>
      <c r="D135" s="2" t="s">
        <v>55</v>
      </c>
      <c r="E135" s="2" t="s">
        <v>76</v>
      </c>
      <c r="F135" s="2" t="s">
        <v>153</v>
      </c>
      <c r="G135" s="2" t="s">
        <v>57</v>
      </c>
      <c r="H135" s="2" t="s">
        <v>35</v>
      </c>
      <c r="I135" s="2">
        <v>4</v>
      </c>
      <c r="J135" s="2">
        <v>137.16</v>
      </c>
      <c r="K135" s="2" t="s">
        <v>259</v>
      </c>
      <c r="L135" s="2" t="s">
        <v>143</v>
      </c>
      <c r="M135" s="2" t="s">
        <v>92</v>
      </c>
      <c r="N135" s="2"/>
      <c r="O135" s="2" t="s">
        <v>126</v>
      </c>
      <c r="P135" s="2" t="str">
        <f t="shared" si="18"/>
        <v>Michael Anderson</v>
      </c>
      <c r="Q135" s="2" t="str">
        <f>IF(OR(PROPER(TRIM(tblOrders[[#This Row],[Region]]))="Nort",PROPER(TRIM(tblOrders[[#This Row],[Region]]))="Northh"),"North",PROPER(TRIM(tblOrders[[#This Row],[Region]])))</f>
        <v>North</v>
      </c>
      <c r="R135" s="2" t="str">
        <f t="shared" si="19"/>
        <v>Furniture</v>
      </c>
      <c r="S135" s="2" t="str">
        <f t="shared" si="20"/>
        <v>In-Store</v>
      </c>
      <c r="T135" s="2" t="str">
        <f t="shared" si="21"/>
        <v>Credit Card</v>
      </c>
      <c r="U135" s="2" t="str">
        <f t="shared" si="22"/>
        <v>Cancelled</v>
      </c>
      <c r="V135" s="2">
        <f t="shared" si="23"/>
        <v>4</v>
      </c>
      <c r="W135" s="2">
        <f t="shared" si="24"/>
        <v>137.16</v>
      </c>
      <c r="X13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45476</v>
      </c>
      <c r="Y135" s="2" t="str">
        <f t="shared" si="25"/>
        <v>20%</v>
      </c>
      <c r="Z135" s="2" t="str">
        <f>TRIM(CLEAN(tblOrders[[#This Row],[Notes]]))</f>
        <v>Gift wrap requested</v>
      </c>
      <c r="AA135" s="2" t="str">
        <f t="shared" si="26"/>
        <v>Standard</v>
      </c>
      <c r="AB135" s="2">
        <f>IF(OR(tblOrders[[#This Row],[Quantity_Clean]]="",tblOrders[[#This Row],[UnitPrice_Clean]]=""),0,tblOrders[[#This Row],[Quantity_Clean]]*tblOrders[[#This Row],[UnitPrice_Clean]])</f>
        <v>548.64</v>
      </c>
      <c r="AC135" s="2" t="str">
        <f>UPPER(TRIM(tblOrders[[#This Row],[OrderID]]))</f>
        <v>ORD-1101</v>
      </c>
      <c r="AD135" s="2">
        <f>VALUE(RIGHT(tblOrders[[#This Row],[OrderID]],4))</f>
        <v>1101</v>
      </c>
      <c r="AE135" s="2" t="str">
        <f>TEXT(tblOrders[[#This Row],[OrderDate_Clean]],"mmm-yyyy")</f>
        <v>Jul-2024</v>
      </c>
      <c r="AF135" s="3">
        <f>EOMONTH(tblOrders[[#This Row],[OrderDate_Clean]],0)</f>
        <v>45504</v>
      </c>
      <c r="AG135" s="2" t="s">
        <v>908</v>
      </c>
      <c r="AH135" s="2">
        <f>IF(tblOrders[[#This Row],[Discount]]="",0,IF(ISNUMBER(tblOrders[[#This Row],[Discount]]),tblOrders[[#This Row],[Discount]],VALUE(SUBSTITUTE(TRIM(tblOrders[[#This Row],[Discount]]),"%",""))/100))</f>
        <v>0.2</v>
      </c>
    </row>
    <row r="136" spans="1:34" x14ac:dyDescent="0.25">
      <c r="A136" s="2" t="s">
        <v>351</v>
      </c>
      <c r="B136" s="2" t="s">
        <v>352</v>
      </c>
      <c r="C136" s="2" t="s">
        <v>353</v>
      </c>
      <c r="D136" s="2" t="s">
        <v>334</v>
      </c>
      <c r="E136" s="2" t="s">
        <v>45</v>
      </c>
      <c r="F136" s="2" t="s">
        <v>153</v>
      </c>
      <c r="G136" s="2" t="s">
        <v>57</v>
      </c>
      <c r="H136" s="2" t="s">
        <v>68</v>
      </c>
      <c r="I136" s="2">
        <v>7</v>
      </c>
      <c r="J136" s="2">
        <v>131.62</v>
      </c>
      <c r="K136" s="2"/>
      <c r="L136" s="2" t="s">
        <v>143</v>
      </c>
      <c r="M136" s="2" t="s">
        <v>158</v>
      </c>
      <c r="N136" s="2" t="s">
        <v>39</v>
      </c>
      <c r="O136" s="2" t="s">
        <v>126</v>
      </c>
      <c r="P136" s="2" t="str">
        <f t="shared" si="18"/>
        <v>Laura Ahmed</v>
      </c>
      <c r="Q136" s="2" t="str">
        <f>IF(OR(PROPER(TRIM(tblOrders[[#This Row],[Region]]))="Nort",PROPER(TRIM(tblOrders[[#This Row],[Region]]))="Northh"),"North",PROPER(TRIM(tblOrders[[#This Row],[Region]])))</f>
        <v>South</v>
      </c>
      <c r="R136" s="2" t="str">
        <f t="shared" si="19"/>
        <v>Furniture</v>
      </c>
      <c r="S136" s="2" t="str">
        <f t="shared" si="20"/>
        <v>Online</v>
      </c>
      <c r="T136" s="2" t="str">
        <f t="shared" si="21"/>
        <v>Credit Card</v>
      </c>
      <c r="U136" s="2" t="str">
        <f t="shared" si="22"/>
        <v>Pending</v>
      </c>
      <c r="V136" s="2">
        <f t="shared" si="23"/>
        <v>7</v>
      </c>
      <c r="W136" s="2">
        <f t="shared" si="24"/>
        <v>131.62</v>
      </c>
      <c r="X13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45626</v>
      </c>
      <c r="Y136" s="2">
        <f t="shared" si="25"/>
        <v>0</v>
      </c>
      <c r="Z136" s="2" t="str">
        <f>TRIM(CLEAN(tblOrders[[#This Row],[Notes]]))</f>
        <v>Gift wrap requested</v>
      </c>
      <c r="AA136" s="2" t="str">
        <f t="shared" si="26"/>
        <v>Standard</v>
      </c>
      <c r="AB136" s="2">
        <f>IF(OR(tblOrders[[#This Row],[Quantity_Clean]]="",tblOrders[[#This Row],[UnitPrice_Clean]]=""),0,tblOrders[[#This Row],[Quantity_Clean]]*tblOrders[[#This Row],[UnitPrice_Clean]])</f>
        <v>921.34</v>
      </c>
      <c r="AC136" s="2" t="str">
        <f>UPPER(TRIM(tblOrders[[#This Row],[OrderID]]))</f>
        <v>ORD-1180</v>
      </c>
      <c r="AD136" s="2">
        <f>VALUE(RIGHT(tblOrders[[#This Row],[OrderID]],4))</f>
        <v>1180</v>
      </c>
      <c r="AE136" s="2" t="str">
        <f>TEXT(tblOrders[[#This Row],[OrderDate_Clean]],"mmm-yyyy")</f>
        <v>Nov-2024</v>
      </c>
      <c r="AF136" s="3">
        <f>EOMONTH(tblOrders[[#This Row],[OrderDate_Clean]],0)</f>
        <v>45626</v>
      </c>
      <c r="AG136" s="2" t="s">
        <v>897</v>
      </c>
      <c r="AH136" s="2">
        <f>IF(tblOrders[[#This Row],[Discount]]="",0,IF(ISNUMBER(tblOrders[[#This Row],[Discount]]),tblOrders[[#This Row],[Discount]],VALUE(SUBSTITUTE(TRIM(tblOrders[[#This Row],[Discount]]),"%",""))/100))</f>
        <v>0</v>
      </c>
    </row>
    <row r="137" spans="1:34" x14ac:dyDescent="0.25">
      <c r="A137" s="2" t="s">
        <v>797</v>
      </c>
      <c r="B137" s="2" t="s">
        <v>798</v>
      </c>
      <c r="C137" s="2" t="s">
        <v>799</v>
      </c>
      <c r="D137" s="2" t="s">
        <v>175</v>
      </c>
      <c r="E137" s="2" t="s">
        <v>76</v>
      </c>
      <c r="F137" s="2" t="s">
        <v>189</v>
      </c>
      <c r="G137" s="2" t="s">
        <v>330</v>
      </c>
      <c r="H137" s="2" t="s">
        <v>178</v>
      </c>
      <c r="I137" s="2">
        <v>12</v>
      </c>
      <c r="J137" s="2">
        <v>118.33</v>
      </c>
      <c r="K137" s="2">
        <v>0</v>
      </c>
      <c r="L137" s="2" t="s">
        <v>102</v>
      </c>
      <c r="M137" s="2" t="s">
        <v>25</v>
      </c>
      <c r="N137" s="2" t="s">
        <v>71</v>
      </c>
      <c r="O137" s="2" t="s">
        <v>40</v>
      </c>
      <c r="P137" s="2" t="str">
        <f t="shared" si="18"/>
        <v>Emily Ahmed</v>
      </c>
      <c r="Q137" s="2" t="str">
        <f>IF(OR(PROPER(TRIM(tblOrders[[#This Row],[Region]]))="Nort",PROPER(TRIM(tblOrders[[#This Row],[Region]]))="Northh"),"North",PROPER(TRIM(tblOrders[[#This Row],[Region]])))</f>
        <v>North</v>
      </c>
      <c r="R137" s="2" t="str">
        <f t="shared" si="19"/>
        <v>Furniture</v>
      </c>
      <c r="S137" s="2" t="str">
        <f t="shared" si="20"/>
        <v>Online</v>
      </c>
      <c r="T137" s="2" t="str">
        <f t="shared" si="21"/>
        <v>Cash</v>
      </c>
      <c r="U137" s="2" t="str">
        <f t="shared" si="22"/>
        <v>Completed</v>
      </c>
      <c r="V137" s="2">
        <f t="shared" si="23"/>
        <v>12</v>
      </c>
      <c r="W137" s="2">
        <f t="shared" si="24"/>
        <v>118.33</v>
      </c>
      <c r="X13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45516</v>
      </c>
      <c r="Y137" s="2">
        <f t="shared" si="25"/>
        <v>0</v>
      </c>
      <c r="Z137" s="2" t="str">
        <f>TRIM(CLEAN(tblOrders[[#This Row],[Notes]]))</f>
        <v>VIP customer</v>
      </c>
      <c r="AA137" s="2" t="str">
        <f t="shared" si="26"/>
        <v>High Value</v>
      </c>
      <c r="AB137" s="2">
        <f>IF(OR(tblOrders[[#This Row],[Quantity_Clean]]="",tblOrders[[#This Row],[UnitPrice_Clean]]=""),0,tblOrders[[#This Row],[Quantity_Clean]]*tblOrders[[#This Row],[UnitPrice_Clean]])</f>
        <v>1419.96</v>
      </c>
      <c r="AC137" s="2" t="str">
        <f>UPPER(TRIM(tblOrders[[#This Row],[OrderID]]))</f>
        <v>ORD-1009</v>
      </c>
      <c r="AD137" s="2">
        <f>VALUE(RIGHT(tblOrders[[#This Row],[OrderID]],4))</f>
        <v>1009</v>
      </c>
      <c r="AE137" s="2" t="str">
        <f>TEXT(tblOrders[[#This Row],[OrderDate_Clean]],"mmm-yyyy")</f>
        <v>Aug-2024</v>
      </c>
      <c r="AF137" s="3">
        <f>EOMONTH(tblOrders[[#This Row],[OrderDate_Clean]],0)</f>
        <v>45535</v>
      </c>
      <c r="AG137" s="2" t="s">
        <v>894</v>
      </c>
      <c r="AH137" s="2">
        <f>IF(tblOrders[[#This Row],[Discount]]="",0,IF(ISNUMBER(tblOrders[[#This Row],[Discount]]),tblOrders[[#This Row],[Discount]],VALUE(SUBSTITUTE(TRIM(tblOrders[[#This Row],[Discount]]),"%",""))/100))</f>
        <v>0</v>
      </c>
    </row>
    <row r="138" spans="1:34" x14ac:dyDescent="0.25">
      <c r="A138" s="2" t="s">
        <v>750</v>
      </c>
      <c r="B138" s="2" t="s">
        <v>751</v>
      </c>
      <c r="C138" s="2" t="s">
        <v>752</v>
      </c>
      <c r="D138" s="2" t="s">
        <v>116</v>
      </c>
      <c r="E138" s="2" t="s">
        <v>117</v>
      </c>
      <c r="F138" s="2" t="s">
        <v>56</v>
      </c>
      <c r="G138" s="2" t="s">
        <v>67</v>
      </c>
      <c r="H138" s="2" t="s">
        <v>108</v>
      </c>
      <c r="I138" s="2">
        <v>5</v>
      </c>
      <c r="J138" s="2">
        <v>71.02</v>
      </c>
      <c r="K138" s="2">
        <v>0.2</v>
      </c>
      <c r="L138" s="2" t="s">
        <v>260</v>
      </c>
      <c r="M138" s="2" t="s">
        <v>70</v>
      </c>
      <c r="N138" s="2" t="s">
        <v>26</v>
      </c>
      <c r="O138" s="2" t="s">
        <v>40</v>
      </c>
      <c r="P138" s="2" t="str">
        <f t="shared" si="18"/>
        <v>Hina Qureshi</v>
      </c>
      <c r="Q138" s="2" t="str">
        <f>IF(OR(PROPER(TRIM(tblOrders[[#This Row],[Region]]))="Nort",PROPER(TRIM(tblOrders[[#This Row],[Region]]))="Northh"),"North",PROPER(TRIM(tblOrders[[#This Row],[Region]])))</f>
        <v>East</v>
      </c>
      <c r="R138" s="2" t="str">
        <f t="shared" si="19"/>
        <v>Furniture</v>
      </c>
      <c r="S138" s="2" t="str">
        <f t="shared" si="20"/>
        <v>In-Store</v>
      </c>
      <c r="T138" s="2" t="str">
        <f t="shared" si="21"/>
        <v>Credit Card</v>
      </c>
      <c r="U138" s="2" t="str">
        <f t="shared" si="22"/>
        <v>Refunded</v>
      </c>
      <c r="V138" s="2">
        <f t="shared" si="23"/>
        <v>5</v>
      </c>
      <c r="W138" s="2">
        <f t="shared" si="24"/>
        <v>71.02</v>
      </c>
      <c r="X13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45452</v>
      </c>
      <c r="Y138" s="2">
        <f t="shared" si="25"/>
        <v>0.2</v>
      </c>
      <c r="Z138" s="2" t="str">
        <f>TRIM(CLEAN(tblOrders[[#This Row],[Notes]]))</f>
        <v>VIP customer</v>
      </c>
      <c r="AA138" s="2" t="str">
        <f t="shared" si="26"/>
        <v>Standard</v>
      </c>
      <c r="AB138" s="2">
        <f>IF(OR(tblOrders[[#This Row],[Quantity_Clean]]="",tblOrders[[#This Row],[UnitPrice_Clean]]=""),0,tblOrders[[#This Row],[Quantity_Clean]]*tblOrders[[#This Row],[UnitPrice_Clean]])</f>
        <v>355.09999999999997</v>
      </c>
      <c r="AC138" s="2" t="str">
        <f>UPPER(TRIM(tblOrders[[#This Row],[OrderID]]))</f>
        <v>ORD-1192</v>
      </c>
      <c r="AD138" s="2">
        <f>VALUE(RIGHT(tblOrders[[#This Row],[OrderID]],4))</f>
        <v>1192</v>
      </c>
      <c r="AE138" s="2" t="str">
        <f>TEXT(tblOrders[[#This Row],[OrderDate_Clean]],"mmm-yyyy")</f>
        <v>Jun-2024</v>
      </c>
      <c r="AF138" s="3">
        <f>EOMONTH(tblOrders[[#This Row],[OrderDate_Clean]],0)</f>
        <v>45473</v>
      </c>
      <c r="AG138" s="2" t="s">
        <v>934</v>
      </c>
      <c r="AH138" s="2">
        <f>IF(tblOrders[[#This Row],[Discount]]="",0,IF(ISNUMBER(tblOrders[[#This Row],[Discount]]),tblOrders[[#This Row],[Discount]],VALUE(SUBSTITUTE(TRIM(tblOrders[[#This Row],[Discount]]),"%",""))/100))</f>
        <v>0.2</v>
      </c>
    </row>
    <row r="139" spans="1:34" x14ac:dyDescent="0.25">
      <c r="A139" s="2" t="s">
        <v>509</v>
      </c>
      <c r="B139" s="2" t="s">
        <v>510</v>
      </c>
      <c r="C139" s="2" t="s">
        <v>511</v>
      </c>
      <c r="D139" s="2" t="s">
        <v>97</v>
      </c>
      <c r="E139" s="2" t="s">
        <v>98</v>
      </c>
      <c r="F139" s="2" t="s">
        <v>189</v>
      </c>
      <c r="G139" s="2" t="s">
        <v>154</v>
      </c>
      <c r="H139" s="2" t="s">
        <v>178</v>
      </c>
      <c r="I139" s="2">
        <v>2</v>
      </c>
      <c r="J139" s="2">
        <v>54.99</v>
      </c>
      <c r="K139" s="2">
        <v>0.1</v>
      </c>
      <c r="L139" s="2" t="s">
        <v>69</v>
      </c>
      <c r="M139" s="2" t="s">
        <v>92</v>
      </c>
      <c r="N139" s="2" t="s">
        <v>50</v>
      </c>
      <c r="O139" s="2" t="s">
        <v>87</v>
      </c>
      <c r="P139" s="2" t="str">
        <f t="shared" si="18"/>
        <v>Liam Wilson</v>
      </c>
      <c r="Q139" s="2" t="str">
        <f>IF(OR(PROPER(TRIM(tblOrders[[#This Row],[Region]]))="Nort",PROPER(TRIM(tblOrders[[#This Row],[Region]]))="Northh"),"North",PROPER(TRIM(tblOrders[[#This Row],[Region]])))</f>
        <v>West</v>
      </c>
      <c r="R139" s="2" t="str">
        <f t="shared" si="19"/>
        <v>Furniture</v>
      </c>
      <c r="S139" s="2" t="str">
        <f t="shared" si="20"/>
        <v>Online</v>
      </c>
      <c r="T139" s="2" t="str">
        <f t="shared" si="21"/>
        <v>Debit Card</v>
      </c>
      <c r="U139" s="2" t="str">
        <f t="shared" si="22"/>
        <v>Cancelled</v>
      </c>
      <c r="V139" s="2">
        <f t="shared" si="23"/>
        <v>2</v>
      </c>
      <c r="W139" s="2">
        <f t="shared" si="24"/>
        <v>54.99</v>
      </c>
      <c r="X13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45303</v>
      </c>
      <c r="Y139" s="2">
        <f t="shared" si="25"/>
        <v>0.1</v>
      </c>
      <c r="Z139" s="2" t="str">
        <f>TRIM(CLEAN(tblOrders[[#This Row],[Notes]]))</f>
        <v>Damaged on arrival - replaced</v>
      </c>
      <c r="AA139" s="2" t="str">
        <f t="shared" si="26"/>
        <v>Standard</v>
      </c>
      <c r="AB139" s="2">
        <f>IF(OR(tblOrders[[#This Row],[Quantity_Clean]]="",tblOrders[[#This Row],[UnitPrice_Clean]]=""),0,tblOrders[[#This Row],[Quantity_Clean]]*tblOrders[[#This Row],[UnitPrice_Clean]])</f>
        <v>109.98</v>
      </c>
      <c r="AC139" s="2" t="str">
        <f>UPPER(TRIM(tblOrders[[#This Row],[OrderID]]))</f>
        <v>ORD-1167</v>
      </c>
      <c r="AD139" s="2">
        <f>VALUE(RIGHT(tblOrders[[#This Row],[OrderID]],4))</f>
        <v>1167</v>
      </c>
      <c r="AE139" s="2" t="str">
        <f>TEXT(tblOrders[[#This Row],[OrderDate_Clean]],"mmm-yyyy")</f>
        <v>Jan-2024</v>
      </c>
      <c r="AF139" s="3">
        <f>EOMONTH(tblOrders[[#This Row],[OrderDate_Clean]],0)</f>
        <v>45322</v>
      </c>
      <c r="AG139" s="2" t="s">
        <v>885</v>
      </c>
      <c r="AH139" s="2">
        <f>IF(tblOrders[[#This Row],[Discount]]="",0,IF(ISNUMBER(tblOrders[[#This Row],[Discount]]),tblOrders[[#This Row],[Discount]],VALUE(SUBSTITUTE(TRIM(tblOrders[[#This Row],[Discount]]),"%",""))/100))</f>
        <v>0.1</v>
      </c>
    </row>
    <row r="140" spans="1:34" x14ac:dyDescent="0.25">
      <c r="A140" s="2" t="s">
        <v>517</v>
      </c>
      <c r="B140" s="2" t="s">
        <v>518</v>
      </c>
      <c r="C140" s="2" t="s">
        <v>519</v>
      </c>
      <c r="D140" s="2" t="s">
        <v>97</v>
      </c>
      <c r="E140" s="2" t="s">
        <v>65</v>
      </c>
      <c r="F140" s="2" t="s">
        <v>153</v>
      </c>
      <c r="G140" s="2" t="s">
        <v>57</v>
      </c>
      <c r="H140" s="2" t="s">
        <v>48</v>
      </c>
      <c r="I140" s="2">
        <v>3</v>
      </c>
      <c r="J140" s="2">
        <v>25.71</v>
      </c>
      <c r="K140" s="2">
        <v>0</v>
      </c>
      <c r="L140" s="2" t="s">
        <v>139</v>
      </c>
      <c r="M140" s="2" t="s">
        <v>25</v>
      </c>
      <c r="N140" s="2"/>
      <c r="O140" s="2"/>
      <c r="P140" s="2" t="str">
        <f t="shared" si="18"/>
        <v>Sana Lee</v>
      </c>
      <c r="Q140" s="2" t="str">
        <f>IF(OR(PROPER(TRIM(tblOrders[[#This Row],[Region]]))="Nort",PROPER(TRIM(tblOrders[[#This Row],[Region]]))="Northh"),"North",PROPER(TRIM(tblOrders[[#This Row],[Region]])))</f>
        <v>West</v>
      </c>
      <c r="R140" s="2" t="str">
        <f t="shared" si="19"/>
        <v>Furniture</v>
      </c>
      <c r="S140" s="2" t="str">
        <f t="shared" si="20"/>
        <v>In-Store</v>
      </c>
      <c r="T140" s="2" t="str">
        <f t="shared" si="21"/>
        <v>Debit Card</v>
      </c>
      <c r="U140" s="2" t="str">
        <f t="shared" si="22"/>
        <v>Completed</v>
      </c>
      <c r="V140" s="2">
        <f t="shared" si="23"/>
        <v>3</v>
      </c>
      <c r="W140" s="2">
        <f t="shared" si="24"/>
        <v>25.71</v>
      </c>
      <c r="X14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45419</v>
      </c>
      <c r="Y140" s="2">
        <f t="shared" si="25"/>
        <v>0</v>
      </c>
      <c r="Z140" s="2" t="str">
        <f>TRIM(CLEAN(tblOrders[[#This Row],[Notes]]))</f>
        <v/>
      </c>
      <c r="AA140" s="2" t="str">
        <f t="shared" si="26"/>
        <v>Standard</v>
      </c>
      <c r="AB140" s="2">
        <f>IF(OR(tblOrders[[#This Row],[Quantity_Clean]]="",tblOrders[[#This Row],[UnitPrice_Clean]]=""),0,tblOrders[[#This Row],[Quantity_Clean]]*tblOrders[[#This Row],[UnitPrice_Clean]])</f>
        <v>77.13</v>
      </c>
      <c r="AC140" s="2" t="str">
        <f>UPPER(TRIM(tblOrders[[#This Row],[OrderID]]))</f>
        <v>ORD-1017</v>
      </c>
      <c r="AD140" s="2">
        <f>VALUE(RIGHT(tblOrders[[#This Row],[OrderID]],4))</f>
        <v>1017</v>
      </c>
      <c r="AE140" s="2" t="str">
        <f>TEXT(tblOrders[[#This Row],[OrderDate_Clean]],"mmm-yyyy")</f>
        <v>May-2024</v>
      </c>
      <c r="AF140" s="3">
        <f>EOMONTH(tblOrders[[#This Row],[OrderDate_Clean]],0)</f>
        <v>45443</v>
      </c>
      <c r="AG140" s="2" t="s">
        <v>925</v>
      </c>
      <c r="AH140" s="2">
        <f>IF(tblOrders[[#This Row],[Discount]]="",0,IF(ISNUMBER(tblOrders[[#This Row],[Discount]]),tblOrders[[#This Row],[Discount]],VALUE(SUBSTITUTE(TRIM(tblOrders[[#This Row],[Discount]]),"%",""))/100))</f>
        <v>0</v>
      </c>
    </row>
    <row r="141" spans="1:34" x14ac:dyDescent="0.25">
      <c r="A141" s="2" t="s">
        <v>517</v>
      </c>
      <c r="B141" s="2" t="s">
        <v>518</v>
      </c>
      <c r="C141" s="2" t="s">
        <v>519</v>
      </c>
      <c r="D141" s="2" t="s">
        <v>97</v>
      </c>
      <c r="E141" s="2" t="s">
        <v>65</v>
      </c>
      <c r="F141" s="2" t="s">
        <v>153</v>
      </c>
      <c r="G141" s="2" t="s">
        <v>57</v>
      </c>
      <c r="H141" s="2" t="s">
        <v>48</v>
      </c>
      <c r="I141" s="2">
        <v>3</v>
      </c>
      <c r="J141" s="2">
        <v>25.71</v>
      </c>
      <c r="K141" s="2">
        <v>0</v>
      </c>
      <c r="L141" s="2" t="s">
        <v>139</v>
      </c>
      <c r="M141" s="2" t="s">
        <v>25</v>
      </c>
      <c r="N141" s="2"/>
      <c r="O141" s="2"/>
      <c r="P141" s="2" t="str">
        <f t="shared" si="18"/>
        <v>Sana Lee</v>
      </c>
      <c r="Q141" s="2" t="str">
        <f>IF(OR(PROPER(TRIM(tblOrders[[#This Row],[Region]]))="Nort",PROPER(TRIM(tblOrders[[#This Row],[Region]]))="Northh"),"North",PROPER(TRIM(tblOrders[[#This Row],[Region]])))</f>
        <v>West</v>
      </c>
      <c r="R141" s="2" t="str">
        <f t="shared" si="19"/>
        <v>Furniture</v>
      </c>
      <c r="S141" s="2" t="str">
        <f t="shared" si="20"/>
        <v>In-Store</v>
      </c>
      <c r="T141" s="2" t="str">
        <f t="shared" si="21"/>
        <v>Debit Card</v>
      </c>
      <c r="U141" s="2" t="str">
        <f t="shared" si="22"/>
        <v>Completed</v>
      </c>
      <c r="V141" s="2">
        <f t="shared" si="23"/>
        <v>3</v>
      </c>
      <c r="W141" s="2">
        <f t="shared" si="24"/>
        <v>25.71</v>
      </c>
      <c r="X14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45419</v>
      </c>
      <c r="Y141" s="2">
        <f t="shared" si="25"/>
        <v>0</v>
      </c>
      <c r="Z141" s="2" t="str">
        <f>TRIM(CLEAN(tblOrders[[#This Row],[Notes]]))</f>
        <v/>
      </c>
      <c r="AA141" s="2" t="str">
        <f t="shared" si="26"/>
        <v>Standard</v>
      </c>
      <c r="AB141" s="2">
        <f>IF(OR(tblOrders[[#This Row],[Quantity_Clean]]="",tblOrders[[#This Row],[UnitPrice_Clean]]=""),0,tblOrders[[#This Row],[Quantity_Clean]]*tblOrders[[#This Row],[UnitPrice_Clean]])</f>
        <v>77.13</v>
      </c>
      <c r="AC141" s="2" t="str">
        <f>UPPER(TRIM(tblOrders[[#This Row],[OrderID]]))</f>
        <v>ORD-1017</v>
      </c>
      <c r="AD141" s="2">
        <f>VALUE(RIGHT(tblOrders[[#This Row],[OrderID]],4))</f>
        <v>1017</v>
      </c>
      <c r="AE141" s="2" t="str">
        <f>TEXT(tblOrders[[#This Row],[OrderDate_Clean]],"mmm-yyyy")</f>
        <v>May-2024</v>
      </c>
      <c r="AF141" s="3">
        <f>EOMONTH(tblOrders[[#This Row],[OrderDate_Clean]],0)</f>
        <v>45443</v>
      </c>
      <c r="AG141" s="2" t="s">
        <v>925</v>
      </c>
      <c r="AH141" s="2">
        <f>IF(tblOrders[[#This Row],[Discount]]="",0,IF(ISNUMBER(tblOrders[[#This Row],[Discount]]),tblOrders[[#This Row],[Discount]],VALUE(SUBSTITUTE(TRIM(tblOrders[[#This Row],[Discount]]),"%",""))/100))</f>
        <v>0</v>
      </c>
    </row>
    <row r="142" spans="1:34" x14ac:dyDescent="0.25">
      <c r="A142" s="2" t="s">
        <v>324</v>
      </c>
      <c r="B142" s="2" t="s">
        <v>325</v>
      </c>
      <c r="C142" s="2" t="s">
        <v>326</v>
      </c>
      <c r="D142" s="2" t="s">
        <v>175</v>
      </c>
      <c r="E142" s="2" t="s">
        <v>32</v>
      </c>
      <c r="F142" s="2" t="s">
        <v>56</v>
      </c>
      <c r="G142" s="2" t="s">
        <v>67</v>
      </c>
      <c r="H142" s="2" t="s">
        <v>22</v>
      </c>
      <c r="I142" s="2">
        <v>8</v>
      </c>
      <c r="J142" s="2">
        <v>24.75</v>
      </c>
      <c r="K142" s="2"/>
      <c r="L142" s="2" t="s">
        <v>102</v>
      </c>
      <c r="M142" s="2" t="s">
        <v>158</v>
      </c>
      <c r="N142" s="2" t="s">
        <v>71</v>
      </c>
      <c r="O142" s="2" t="s">
        <v>93</v>
      </c>
      <c r="P142" s="2" t="str">
        <f t="shared" si="18"/>
        <v>Umar Iqbal</v>
      </c>
      <c r="Q142" s="2" t="str">
        <f>IF(OR(PROPER(TRIM(tblOrders[[#This Row],[Region]]))="Nort",PROPER(TRIM(tblOrders[[#This Row],[Region]]))="Northh"),"North",PROPER(TRIM(tblOrders[[#This Row],[Region]])))</f>
        <v>North</v>
      </c>
      <c r="R142" s="2" t="str">
        <f t="shared" si="19"/>
        <v>Furniture</v>
      </c>
      <c r="S142" s="2" t="str">
        <f t="shared" si="20"/>
        <v>In-Store</v>
      </c>
      <c r="T142" s="2" t="str">
        <f t="shared" si="21"/>
        <v>Cash</v>
      </c>
      <c r="U142" s="2" t="str">
        <f t="shared" si="22"/>
        <v>Pending</v>
      </c>
      <c r="V142" s="2">
        <f t="shared" si="23"/>
        <v>8</v>
      </c>
      <c r="W142" s="2">
        <f t="shared" si="24"/>
        <v>24.75</v>
      </c>
      <c r="X14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45426</v>
      </c>
      <c r="Y142" s="2">
        <f t="shared" si="25"/>
        <v>0</v>
      </c>
      <c r="Z142" s="2" t="str">
        <f>TRIM(CLEAN(tblOrders[[#This Row],[Notes]]))</f>
        <v>Bulk order - business account</v>
      </c>
      <c r="AA142" s="2" t="str">
        <f t="shared" si="26"/>
        <v>Standard</v>
      </c>
      <c r="AB142" s="2">
        <f>IF(OR(tblOrders[[#This Row],[Quantity_Clean]]="",tblOrders[[#This Row],[UnitPrice_Clean]]=""),0,tblOrders[[#This Row],[Quantity_Clean]]*tblOrders[[#This Row],[UnitPrice_Clean]])</f>
        <v>198</v>
      </c>
      <c r="AC142" s="2" t="str">
        <f>UPPER(TRIM(tblOrders[[#This Row],[OrderID]]))</f>
        <v>ORD-1209</v>
      </c>
      <c r="AD142" s="2">
        <f>VALUE(RIGHT(tblOrders[[#This Row],[OrderID]],4))</f>
        <v>1209</v>
      </c>
      <c r="AE142" s="2" t="str">
        <f>TEXT(tblOrders[[#This Row],[OrderDate_Clean]],"mmm-yyyy")</f>
        <v>May-2024</v>
      </c>
      <c r="AF142" s="3">
        <f>EOMONTH(tblOrders[[#This Row],[OrderDate_Clean]],0)</f>
        <v>45443</v>
      </c>
      <c r="AG142" s="2" t="s">
        <v>911</v>
      </c>
      <c r="AH142" s="2">
        <f>IF(tblOrders[[#This Row],[Discount]]="",0,IF(ISNUMBER(tblOrders[[#This Row],[Discount]]),tblOrders[[#This Row],[Discount]],VALUE(SUBSTITUTE(TRIM(tblOrders[[#This Row],[Discount]]),"%",""))/100))</f>
        <v>0</v>
      </c>
    </row>
    <row r="143" spans="1:34" x14ac:dyDescent="0.25">
      <c r="A143" s="2" t="s">
        <v>616</v>
      </c>
      <c r="B143" s="2" t="s">
        <v>617</v>
      </c>
      <c r="C143" s="2" t="s">
        <v>618</v>
      </c>
      <c r="D143" s="2" t="s">
        <v>64</v>
      </c>
      <c r="E143" s="2" t="s">
        <v>65</v>
      </c>
      <c r="F143" s="2" t="s">
        <v>153</v>
      </c>
      <c r="G143" s="2" t="s">
        <v>154</v>
      </c>
      <c r="H143" s="2" t="s">
        <v>195</v>
      </c>
      <c r="I143" s="2">
        <v>8</v>
      </c>
      <c r="J143" s="2">
        <v>20.420000000000002</v>
      </c>
      <c r="K143" s="2">
        <v>0.15</v>
      </c>
      <c r="L143" s="2" t="s">
        <v>132</v>
      </c>
      <c r="M143" s="2" t="s">
        <v>60</v>
      </c>
      <c r="N143" s="2" t="s">
        <v>50</v>
      </c>
      <c r="O143" s="2" t="s">
        <v>27</v>
      </c>
      <c r="P143" s="2" t="str">
        <f t="shared" si="18"/>
        <v>Sana Johnson</v>
      </c>
      <c r="Q143" s="2" t="str">
        <f>IF(OR(PROPER(TRIM(tblOrders[[#This Row],[Region]]))="Nort",PROPER(TRIM(tblOrders[[#This Row],[Region]]))="Northh"),"North",PROPER(TRIM(tblOrders[[#This Row],[Region]])))</f>
        <v>West</v>
      </c>
      <c r="R143" s="2" t="str">
        <f t="shared" si="19"/>
        <v>Furniture</v>
      </c>
      <c r="S143" s="2" t="str">
        <f t="shared" si="20"/>
        <v>In-Store</v>
      </c>
      <c r="T143" s="2" t="str">
        <f t="shared" si="21"/>
        <v>Cash</v>
      </c>
      <c r="U143" s="2" t="str">
        <f t="shared" si="22"/>
        <v>Completed</v>
      </c>
      <c r="V143" s="2">
        <f t="shared" si="23"/>
        <v>8</v>
      </c>
      <c r="W143" s="2">
        <f t="shared" si="24"/>
        <v>20.420000000000002</v>
      </c>
      <c r="X14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45656</v>
      </c>
      <c r="Y143" s="2">
        <f t="shared" si="25"/>
        <v>0.15</v>
      </c>
      <c r="Z143" s="2" t="str">
        <f>TRIM(CLEAN(tblOrders[[#This Row],[Notes]]))</f>
        <v>Customer called twice</v>
      </c>
      <c r="AA143" s="2" t="str">
        <f t="shared" si="26"/>
        <v>Standard</v>
      </c>
      <c r="AB143" s="2">
        <f>IF(OR(tblOrders[[#This Row],[Quantity_Clean]]="",tblOrders[[#This Row],[UnitPrice_Clean]]=""),0,tblOrders[[#This Row],[Quantity_Clean]]*tblOrders[[#This Row],[UnitPrice_Clean]])</f>
        <v>163.36000000000001</v>
      </c>
      <c r="AC143" s="2" t="str">
        <f>UPPER(TRIM(tblOrders[[#This Row],[OrderID]]))</f>
        <v>ORD-1057</v>
      </c>
      <c r="AD143" s="2">
        <f>VALUE(RIGHT(tblOrders[[#This Row],[OrderID]],4))</f>
        <v>1057</v>
      </c>
      <c r="AE143" s="2" t="str">
        <f>TEXT(tblOrders[[#This Row],[OrderDate_Clean]],"mmm-yyyy")</f>
        <v>Dec-2024</v>
      </c>
      <c r="AF143" s="3">
        <f>EOMONTH(tblOrders[[#This Row],[OrderDate_Clean]],0)</f>
        <v>45657</v>
      </c>
      <c r="AG143" s="2" t="s">
        <v>920</v>
      </c>
      <c r="AH143" s="2">
        <f>IF(tblOrders[[#This Row],[Discount]]="",0,IF(ISNUMBER(tblOrders[[#This Row],[Discount]]),tblOrders[[#This Row],[Discount]],VALUE(SUBSTITUTE(TRIM(tblOrders[[#This Row],[Discount]]),"%",""))/100))</f>
        <v>0.15</v>
      </c>
    </row>
    <row r="144" spans="1:34" x14ac:dyDescent="0.25">
      <c r="A144" s="2" t="s">
        <v>569</v>
      </c>
      <c r="B144" s="2" t="s">
        <v>570</v>
      </c>
      <c r="C144" s="2" t="s">
        <v>571</v>
      </c>
      <c r="D144" s="2" t="s">
        <v>75</v>
      </c>
      <c r="E144" s="2" t="s">
        <v>199</v>
      </c>
      <c r="F144" s="2" t="s">
        <v>189</v>
      </c>
      <c r="G144" s="2" t="s">
        <v>57</v>
      </c>
      <c r="H144" s="2" t="s">
        <v>35</v>
      </c>
      <c r="I144" s="2">
        <v>6</v>
      </c>
      <c r="J144" s="2">
        <v>9.81</v>
      </c>
      <c r="K144" s="2"/>
      <c r="L144" s="2" t="s">
        <v>180</v>
      </c>
      <c r="M144" s="2" t="s">
        <v>165</v>
      </c>
      <c r="N144" s="2"/>
      <c r="O144" s="2" t="s">
        <v>93</v>
      </c>
      <c r="P144" s="2" t="str">
        <f t="shared" si="18"/>
        <v>Aisha Ali</v>
      </c>
      <c r="Q144" s="2" t="str">
        <f>IF(OR(PROPER(TRIM(tblOrders[[#This Row],[Region]]))="Nort",PROPER(TRIM(tblOrders[[#This Row],[Region]]))="Northh"),"North",PROPER(TRIM(tblOrders[[#This Row],[Region]])))</f>
        <v>North</v>
      </c>
      <c r="R144" s="2" t="str">
        <f t="shared" si="19"/>
        <v>Furniture</v>
      </c>
      <c r="S144" s="2" t="str">
        <f t="shared" si="20"/>
        <v>In-Store</v>
      </c>
      <c r="T144" s="2" t="str">
        <f t="shared" si="21"/>
        <v>Credit Card</v>
      </c>
      <c r="U144" s="2" t="str">
        <f t="shared" si="22"/>
        <v>Cancelled</v>
      </c>
      <c r="V144" s="2">
        <f t="shared" si="23"/>
        <v>6</v>
      </c>
      <c r="W144" s="2">
        <f t="shared" si="24"/>
        <v>9.81</v>
      </c>
      <c r="X14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45467</v>
      </c>
      <c r="Y144" s="2">
        <f t="shared" si="25"/>
        <v>0</v>
      </c>
      <c r="Z144" s="2" t="str">
        <f>TRIM(CLEAN(tblOrders[[#This Row],[Notes]]))</f>
        <v>Bulk order - business account</v>
      </c>
      <c r="AA144" s="2" t="str">
        <f t="shared" si="26"/>
        <v>Standard</v>
      </c>
      <c r="AB144" s="2">
        <f>IF(OR(tblOrders[[#This Row],[Quantity_Clean]]="",tblOrders[[#This Row],[UnitPrice_Clean]]=""),0,tblOrders[[#This Row],[Quantity_Clean]]*tblOrders[[#This Row],[UnitPrice_Clean]])</f>
        <v>58.86</v>
      </c>
      <c r="AC144" s="2" t="str">
        <f>UPPER(TRIM(tblOrders[[#This Row],[OrderID]]))</f>
        <v>ORD-1222</v>
      </c>
      <c r="AD144" s="2">
        <f>VALUE(RIGHT(tblOrders[[#This Row],[OrderID]],4))</f>
        <v>1222</v>
      </c>
      <c r="AE144" s="2" t="str">
        <f>TEXT(tblOrders[[#This Row],[OrderDate_Clean]],"mmm-yyyy")</f>
        <v>Jun-2024</v>
      </c>
      <c r="AF144" s="3">
        <f>EOMONTH(tblOrders[[#This Row],[OrderDate_Clean]],0)</f>
        <v>45473</v>
      </c>
      <c r="AG144" s="2" t="s">
        <v>935</v>
      </c>
      <c r="AH144" s="2">
        <f>IF(tblOrders[[#This Row],[Discount]]="",0,IF(ISNUMBER(tblOrders[[#This Row],[Discount]]),tblOrders[[#This Row],[Discount]],VALUE(SUBSTITUTE(TRIM(tblOrders[[#This Row],[Discount]]),"%",""))/100))</f>
        <v>0</v>
      </c>
    </row>
    <row r="145" spans="1:34" x14ac:dyDescent="0.25">
      <c r="A145" s="2" t="s">
        <v>806</v>
      </c>
      <c r="B145" s="2" t="s">
        <v>807</v>
      </c>
      <c r="C145" s="2" t="s">
        <v>808</v>
      </c>
      <c r="D145" s="2" t="s">
        <v>75</v>
      </c>
      <c r="E145" s="2" t="s">
        <v>76</v>
      </c>
      <c r="F145" s="2" t="s">
        <v>153</v>
      </c>
      <c r="G145" s="2" t="s">
        <v>57</v>
      </c>
      <c r="H145" s="2" t="s">
        <v>48</v>
      </c>
      <c r="I145" s="2">
        <v>7</v>
      </c>
      <c r="J145" s="2">
        <v>7.71</v>
      </c>
      <c r="K145" s="2"/>
      <c r="L145" s="2" t="s">
        <v>102</v>
      </c>
      <c r="M145" s="2" t="s">
        <v>60</v>
      </c>
      <c r="N145" s="2" t="s">
        <v>26</v>
      </c>
      <c r="O145" s="2" t="s">
        <v>40</v>
      </c>
      <c r="P145" s="2" t="str">
        <f t="shared" si="18"/>
        <v>Nida Anderson</v>
      </c>
      <c r="Q145" s="2" t="str">
        <f>IF(OR(PROPER(TRIM(tblOrders[[#This Row],[Region]]))="Nort",PROPER(TRIM(tblOrders[[#This Row],[Region]]))="Northh"),"North",PROPER(TRIM(tblOrders[[#This Row],[Region]])))</f>
        <v>North</v>
      </c>
      <c r="R145" s="2" t="str">
        <f t="shared" si="19"/>
        <v>Furniture</v>
      </c>
      <c r="S145" s="2" t="str">
        <f t="shared" si="20"/>
        <v>In-Store</v>
      </c>
      <c r="T145" s="2" t="str">
        <f t="shared" si="21"/>
        <v>Cash</v>
      </c>
      <c r="U145" s="2" t="str">
        <f t="shared" si="22"/>
        <v>Completed</v>
      </c>
      <c r="V145" s="2">
        <f t="shared" si="23"/>
        <v>7</v>
      </c>
      <c r="W145" s="2">
        <f t="shared" si="24"/>
        <v>7.71</v>
      </c>
      <c r="X14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45383</v>
      </c>
      <c r="Y145" s="2">
        <f t="shared" si="25"/>
        <v>0</v>
      </c>
      <c r="Z145" s="2" t="str">
        <f>TRIM(CLEAN(tblOrders[[#This Row],[Notes]]))</f>
        <v>VIP customer</v>
      </c>
      <c r="AA145" s="2" t="str">
        <f t="shared" si="26"/>
        <v>Standard</v>
      </c>
      <c r="AB145" s="2">
        <f>IF(OR(tblOrders[[#This Row],[Quantity_Clean]]="",tblOrders[[#This Row],[UnitPrice_Clean]]=""),0,tblOrders[[#This Row],[Quantity_Clean]]*tblOrders[[#This Row],[UnitPrice_Clean]])</f>
        <v>53.97</v>
      </c>
      <c r="AC145" s="2" t="str">
        <f>UPPER(TRIM(tblOrders[[#This Row],[OrderID]]))</f>
        <v>ORD-1215</v>
      </c>
      <c r="AD145" s="2">
        <f>VALUE(RIGHT(tblOrders[[#This Row],[OrderID]],4))</f>
        <v>1215</v>
      </c>
      <c r="AE145" s="2" t="str">
        <f>TEXT(tblOrders[[#This Row],[OrderDate_Clean]],"mmm-yyyy")</f>
        <v>Apr-2024</v>
      </c>
      <c r="AF145" s="3">
        <f>EOMONTH(tblOrders[[#This Row],[OrderDate_Clean]],0)</f>
        <v>45412</v>
      </c>
      <c r="AG145" s="2" t="s">
        <v>936</v>
      </c>
      <c r="AH145" s="2">
        <f>IF(tblOrders[[#This Row],[Discount]]="",0,IF(ISNUMBER(tblOrders[[#This Row],[Discount]]),tblOrders[[#This Row],[Discount]],VALUE(SUBSTITUTE(TRIM(tblOrders[[#This Row],[Discount]]),"%",""))/100))</f>
        <v>0</v>
      </c>
    </row>
    <row r="146" spans="1:34" x14ac:dyDescent="0.25">
      <c r="A146" s="2" t="s">
        <v>768</v>
      </c>
      <c r="B146" s="2" t="s">
        <v>769</v>
      </c>
      <c r="C146" s="2" t="s">
        <v>770</v>
      </c>
      <c r="D146" s="2" t="s">
        <v>18</v>
      </c>
      <c r="E146" s="2" t="s">
        <v>117</v>
      </c>
      <c r="F146" s="2" t="s">
        <v>235</v>
      </c>
      <c r="G146" s="2" t="s">
        <v>268</v>
      </c>
      <c r="H146" s="2" t="s">
        <v>200</v>
      </c>
      <c r="I146" s="2">
        <v>8</v>
      </c>
      <c r="J146" s="2" t="s">
        <v>771</v>
      </c>
      <c r="K146" s="2">
        <v>0.1</v>
      </c>
      <c r="L146" s="2" t="s">
        <v>237</v>
      </c>
      <c r="M146" s="2" t="s">
        <v>201</v>
      </c>
      <c r="N146" s="2" t="s">
        <v>26</v>
      </c>
      <c r="O146" s="2" t="s">
        <v>112</v>
      </c>
      <c r="P146" s="2" t="str">
        <f t="shared" si="18"/>
        <v>Grace Farooq</v>
      </c>
      <c r="Q146" s="2" t="str">
        <f>IF(OR(PROPER(TRIM(tblOrders[[#This Row],[Region]]))="Nort",PROPER(TRIM(tblOrders[[#This Row],[Region]]))="Northh"),"North",PROPER(TRIM(tblOrders[[#This Row],[Region]])))</f>
        <v>East</v>
      </c>
      <c r="R146" s="2" t="str">
        <f t="shared" si="19"/>
        <v>Groceries</v>
      </c>
      <c r="S146" s="2" t="str">
        <f t="shared" si="20"/>
        <v>Online</v>
      </c>
      <c r="T146" s="2" t="str">
        <f t="shared" si="21"/>
        <v>Bank Transfer</v>
      </c>
      <c r="U146" s="2" t="str">
        <f t="shared" si="22"/>
        <v>Pending</v>
      </c>
      <c r="V146" s="2">
        <f t="shared" si="23"/>
        <v>8</v>
      </c>
      <c r="W146" s="2">
        <f t="shared" si="24"/>
        <v>474.88</v>
      </c>
      <c r="X14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45648</v>
      </c>
      <c r="Y146" s="2">
        <f t="shared" si="25"/>
        <v>0.1</v>
      </c>
      <c r="Z146" s="2" t="str">
        <f>TRIM(CLEAN(tblOrders[[#This Row],[Notes]]))</f>
        <v>Follow up needed</v>
      </c>
      <c r="AA146" s="2" t="str">
        <f t="shared" si="26"/>
        <v>High Value</v>
      </c>
      <c r="AB146" s="2">
        <f>IF(OR(tblOrders[[#This Row],[Quantity_Clean]]="",tblOrders[[#This Row],[UnitPrice_Clean]]=""),0,tblOrders[[#This Row],[Quantity_Clean]]*tblOrders[[#This Row],[UnitPrice_Clean]])</f>
        <v>3799.04</v>
      </c>
      <c r="AC146" s="2" t="str">
        <f>UPPER(TRIM(tblOrders[[#This Row],[OrderID]]))</f>
        <v>ORD-1217</v>
      </c>
      <c r="AD146" s="2">
        <f>VALUE(RIGHT(tblOrders[[#This Row],[OrderID]],4))</f>
        <v>1217</v>
      </c>
      <c r="AE146" s="2" t="str">
        <f>TEXT(tblOrders[[#This Row],[OrderDate_Clean]],"mmm-yyyy")</f>
        <v>Dec-2024</v>
      </c>
      <c r="AF146" s="3">
        <f>EOMONTH(tblOrders[[#This Row],[OrderDate_Clean]],0)</f>
        <v>45657</v>
      </c>
      <c r="AG146" s="2" t="s">
        <v>892</v>
      </c>
      <c r="AH146" s="2">
        <f>IF(tblOrders[[#This Row],[Discount]]="",0,IF(ISNUMBER(tblOrders[[#This Row],[Discount]]),tblOrders[[#This Row],[Discount]],VALUE(SUBSTITUTE(TRIM(tblOrders[[#This Row],[Discount]]),"%",""))/100))</f>
        <v>0.1</v>
      </c>
    </row>
    <row r="147" spans="1:34" x14ac:dyDescent="0.25">
      <c r="A147" s="2" t="s">
        <v>292</v>
      </c>
      <c r="B147" s="2" t="s">
        <v>293</v>
      </c>
      <c r="C147" s="2" t="s">
        <v>294</v>
      </c>
      <c r="D147" s="2" t="s">
        <v>44</v>
      </c>
      <c r="E147" s="2" t="s">
        <v>45</v>
      </c>
      <c r="F147" s="2" t="s">
        <v>77</v>
      </c>
      <c r="G147" s="2" t="s">
        <v>236</v>
      </c>
      <c r="H147" s="2" t="s">
        <v>68</v>
      </c>
      <c r="I147" s="2">
        <v>5</v>
      </c>
      <c r="J147" s="2" t="s">
        <v>295</v>
      </c>
      <c r="K147" s="2"/>
      <c r="L147" s="2" t="s">
        <v>281</v>
      </c>
      <c r="M147" s="2" t="s">
        <v>70</v>
      </c>
      <c r="N147" s="2" t="s">
        <v>39</v>
      </c>
      <c r="O147" s="2"/>
      <c r="P147" s="2" t="str">
        <f t="shared" si="18"/>
        <v>Bilal Hussain</v>
      </c>
      <c r="Q147" s="2" t="str">
        <f>IF(OR(PROPER(TRIM(tblOrders[[#This Row],[Region]]))="Nort",PROPER(TRIM(tblOrders[[#This Row],[Region]]))="Northh"),"North",PROPER(TRIM(tblOrders[[#This Row],[Region]])))</f>
        <v>South</v>
      </c>
      <c r="R147" s="2" t="str">
        <f t="shared" si="19"/>
        <v>Groceries</v>
      </c>
      <c r="S147" s="2" t="str">
        <f t="shared" si="20"/>
        <v>Online</v>
      </c>
      <c r="T147" s="2" t="str">
        <f t="shared" si="21"/>
        <v>Credit Card</v>
      </c>
      <c r="U147" s="2" t="str">
        <f t="shared" si="22"/>
        <v>Refunded</v>
      </c>
      <c r="V147" s="2">
        <f t="shared" si="23"/>
        <v>5</v>
      </c>
      <c r="W147" s="2">
        <f t="shared" si="24"/>
        <v>330.74</v>
      </c>
      <c r="X14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45375</v>
      </c>
      <c r="Y147" s="2">
        <f t="shared" si="25"/>
        <v>0</v>
      </c>
      <c r="Z147" s="2" t="str">
        <f>TRIM(CLEAN(tblOrders[[#This Row],[Notes]]))</f>
        <v/>
      </c>
      <c r="AA147" s="2" t="str">
        <f t="shared" si="26"/>
        <v>High Value</v>
      </c>
      <c r="AB147" s="2">
        <f>IF(OR(tblOrders[[#This Row],[Quantity_Clean]]="",tblOrders[[#This Row],[UnitPrice_Clean]]=""),0,tblOrders[[#This Row],[Quantity_Clean]]*tblOrders[[#This Row],[UnitPrice_Clean]])</f>
        <v>1653.7</v>
      </c>
      <c r="AC147" s="2" t="str">
        <f>UPPER(TRIM(tblOrders[[#This Row],[OrderID]]))</f>
        <v>ORD-1143</v>
      </c>
      <c r="AD147" s="2">
        <f>VALUE(RIGHT(tblOrders[[#This Row],[OrderID]],4))</f>
        <v>1143</v>
      </c>
      <c r="AE147" s="2" t="str">
        <f>TEXT(tblOrders[[#This Row],[OrderDate_Clean]],"mmm-yyyy")</f>
        <v>Mar-2024</v>
      </c>
      <c r="AF147" s="3">
        <f>EOMONTH(tblOrders[[#This Row],[OrderDate_Clean]],0)</f>
        <v>45382</v>
      </c>
      <c r="AG147" s="2" t="s">
        <v>924</v>
      </c>
      <c r="AH147" s="2">
        <f>IF(tblOrders[[#This Row],[Discount]]="",0,IF(ISNUMBER(tblOrders[[#This Row],[Discount]]),tblOrders[[#This Row],[Discount]],VALUE(SUBSTITUTE(TRIM(tblOrders[[#This Row],[Discount]]),"%",""))/100))</f>
        <v>0</v>
      </c>
    </row>
    <row r="148" spans="1:34" x14ac:dyDescent="0.25">
      <c r="A148" s="2" t="s">
        <v>315</v>
      </c>
      <c r="B148" s="2" t="s">
        <v>316</v>
      </c>
      <c r="C148" s="2" t="s">
        <v>317</v>
      </c>
      <c r="D148" s="2" t="s">
        <v>194</v>
      </c>
      <c r="E148" s="2" t="s">
        <v>65</v>
      </c>
      <c r="F148" s="2" t="s">
        <v>267</v>
      </c>
      <c r="G148" s="2" t="s">
        <v>318</v>
      </c>
      <c r="H148" s="2" t="s">
        <v>195</v>
      </c>
      <c r="I148" s="2"/>
      <c r="J148" s="2" t="s">
        <v>319</v>
      </c>
      <c r="K148" s="2">
        <v>0.1</v>
      </c>
      <c r="L148" s="2" t="s">
        <v>59</v>
      </c>
      <c r="M148" s="2" t="s">
        <v>158</v>
      </c>
      <c r="N148" s="2" t="s">
        <v>26</v>
      </c>
      <c r="O148" s="2" t="s">
        <v>112</v>
      </c>
      <c r="P148" s="2" t="str">
        <f t="shared" si="18"/>
        <v>Grace Khan</v>
      </c>
      <c r="Q148" s="2" t="str">
        <f>IF(OR(PROPER(TRIM(tblOrders[[#This Row],[Region]]))="Nort",PROPER(TRIM(tblOrders[[#This Row],[Region]]))="Northh"),"North",PROPER(TRIM(tblOrders[[#This Row],[Region]])))</f>
        <v>West</v>
      </c>
      <c r="R148" s="2" t="str">
        <f t="shared" si="19"/>
        <v>Groceries</v>
      </c>
      <c r="S148" s="2" t="str">
        <f t="shared" si="20"/>
        <v>In-Store</v>
      </c>
      <c r="T148" s="2" t="str">
        <f t="shared" si="21"/>
        <v>Debit Card</v>
      </c>
      <c r="U148" s="2" t="str">
        <f t="shared" si="22"/>
        <v>Pending</v>
      </c>
      <c r="V148" s="2" t="str">
        <f t="shared" si="23"/>
        <v/>
      </c>
      <c r="W148" s="2">
        <f t="shared" si="24"/>
        <v>286.14</v>
      </c>
      <c r="X14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45560</v>
      </c>
      <c r="Y148" s="2">
        <f t="shared" si="25"/>
        <v>0.1</v>
      </c>
      <c r="Z148" s="2" t="str">
        <f>TRIM(CLEAN(tblOrders[[#This Row],[Notes]]))</f>
        <v>Follow up needed</v>
      </c>
      <c r="AA148" s="2" t="str">
        <f t="shared" si="26"/>
        <v>Review</v>
      </c>
      <c r="AB148" s="2">
        <f>IF(OR(tblOrders[[#This Row],[Quantity_Clean]]="",tblOrders[[#This Row],[UnitPrice_Clean]]=""),0,tblOrders[[#This Row],[Quantity_Clean]]*tblOrders[[#This Row],[UnitPrice_Clean]])</f>
        <v>0</v>
      </c>
      <c r="AC148" s="2" t="str">
        <f>UPPER(TRIM(tblOrders[[#This Row],[OrderID]]))</f>
        <v>ORD-1099</v>
      </c>
      <c r="AD148" s="2">
        <f>VALUE(RIGHT(tblOrders[[#This Row],[OrderID]],4))</f>
        <v>1099</v>
      </c>
      <c r="AE148" s="2" t="str">
        <f>TEXT(tblOrders[[#This Row],[OrderDate_Clean]],"mmm-yyyy")</f>
        <v>Sep-2024</v>
      </c>
      <c r="AF148" s="3">
        <f>EOMONTH(tblOrders[[#This Row],[OrderDate_Clean]],0)</f>
        <v>45565</v>
      </c>
      <c r="AG148" s="2" t="s">
        <v>881</v>
      </c>
      <c r="AH148" s="2">
        <f>IF(tblOrders[[#This Row],[Discount]]="",0,IF(ISNUMBER(tblOrders[[#This Row],[Discount]]),tblOrders[[#This Row],[Discount]],VALUE(SUBSTITUTE(TRIM(tblOrders[[#This Row],[Discount]]),"%",""))/100))</f>
        <v>0.1</v>
      </c>
    </row>
    <row r="149" spans="1:34" x14ac:dyDescent="0.25">
      <c r="A149" s="2" t="s">
        <v>654</v>
      </c>
      <c r="B149" s="2" t="s">
        <v>655</v>
      </c>
      <c r="C149" s="2" t="s">
        <v>656</v>
      </c>
      <c r="D149" s="2" t="s">
        <v>75</v>
      </c>
      <c r="E149" s="2" t="s">
        <v>32</v>
      </c>
      <c r="F149" s="2" t="s">
        <v>77</v>
      </c>
      <c r="G149" s="2" t="s">
        <v>137</v>
      </c>
      <c r="H149" s="2" t="s">
        <v>195</v>
      </c>
      <c r="I149" s="2" t="s">
        <v>343</v>
      </c>
      <c r="J149" s="2" t="s">
        <v>657</v>
      </c>
      <c r="K149" s="2">
        <v>0</v>
      </c>
      <c r="L149" s="2" t="s">
        <v>139</v>
      </c>
      <c r="M149" s="2" t="s">
        <v>201</v>
      </c>
      <c r="N149" s="2" t="s">
        <v>71</v>
      </c>
      <c r="O149" s="2" t="s">
        <v>40</v>
      </c>
      <c r="P149" s="2" t="str">
        <f t="shared" si="18"/>
        <v>Grace Taylor</v>
      </c>
      <c r="Q149" s="2" t="str">
        <f>IF(OR(PROPER(TRIM(tblOrders[[#This Row],[Region]]))="Nort",PROPER(TRIM(tblOrders[[#This Row],[Region]]))="Northh"),"North",PROPER(TRIM(tblOrders[[#This Row],[Region]])))</f>
        <v>North</v>
      </c>
      <c r="R149" s="2" t="str">
        <f t="shared" si="19"/>
        <v>Groceries</v>
      </c>
      <c r="S149" s="2" t="str">
        <f t="shared" si="20"/>
        <v>In-Store</v>
      </c>
      <c r="T149" s="2" t="str">
        <f t="shared" si="21"/>
        <v>Debit Card</v>
      </c>
      <c r="U149" s="2" t="str">
        <f t="shared" si="22"/>
        <v>Pending</v>
      </c>
      <c r="V149" s="2">
        <f t="shared" si="23"/>
        <v>6</v>
      </c>
      <c r="W149" s="2">
        <f t="shared" si="24"/>
        <v>256.17</v>
      </c>
      <c r="X14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45350</v>
      </c>
      <c r="Y149" s="2">
        <f t="shared" si="25"/>
        <v>0</v>
      </c>
      <c r="Z149" s="2" t="str">
        <f>TRIM(CLEAN(tblOrders[[#This Row],[Notes]]))</f>
        <v>VIP customer</v>
      </c>
      <c r="AA149" s="2" t="str">
        <f t="shared" si="26"/>
        <v>High Value</v>
      </c>
      <c r="AB149" s="2">
        <f>IF(OR(tblOrders[[#This Row],[Quantity_Clean]]="",tblOrders[[#This Row],[UnitPrice_Clean]]=""),0,tblOrders[[#This Row],[Quantity_Clean]]*tblOrders[[#This Row],[UnitPrice_Clean]])</f>
        <v>1537.02</v>
      </c>
      <c r="AC149" s="2" t="str">
        <f>UPPER(TRIM(tblOrders[[#This Row],[OrderID]]))</f>
        <v>ORD-1060</v>
      </c>
      <c r="AD149" s="2">
        <f>VALUE(RIGHT(tblOrders[[#This Row],[OrderID]],4))</f>
        <v>1060</v>
      </c>
      <c r="AE149" s="2" t="str">
        <f>TEXT(tblOrders[[#This Row],[OrderDate_Clean]],"mmm-yyyy")</f>
        <v>Feb-2024</v>
      </c>
      <c r="AF149" s="3">
        <f>EOMONTH(tblOrders[[#This Row],[OrderDate_Clean]],0)</f>
        <v>45351</v>
      </c>
      <c r="AG149" s="2" t="s">
        <v>881</v>
      </c>
      <c r="AH149" s="2">
        <f>IF(tblOrders[[#This Row],[Discount]]="",0,IF(ISNUMBER(tblOrders[[#This Row],[Discount]]),tblOrders[[#This Row],[Discount]],VALUE(SUBSTITUTE(TRIM(tblOrders[[#This Row],[Discount]]),"%",""))/100))</f>
        <v>0</v>
      </c>
    </row>
    <row r="150" spans="1:34" x14ac:dyDescent="0.25">
      <c r="A150" s="2" t="s">
        <v>758</v>
      </c>
      <c r="B150" s="2" t="s">
        <v>759</v>
      </c>
      <c r="C150" s="2" t="s">
        <v>760</v>
      </c>
      <c r="D150" s="2" t="s">
        <v>212</v>
      </c>
      <c r="E150" s="2"/>
      <c r="F150" s="2" t="s">
        <v>235</v>
      </c>
      <c r="G150" s="2" t="s">
        <v>137</v>
      </c>
      <c r="H150" s="2" t="s">
        <v>200</v>
      </c>
      <c r="I150" s="2">
        <v>3</v>
      </c>
      <c r="J150" s="2" t="s">
        <v>761</v>
      </c>
      <c r="K150" s="2" t="s">
        <v>259</v>
      </c>
      <c r="L150" s="2" t="s">
        <v>24</v>
      </c>
      <c r="M150" s="2" t="s">
        <v>158</v>
      </c>
      <c r="N150" s="2" t="s">
        <v>71</v>
      </c>
      <c r="O150" s="2" t="s">
        <v>93</v>
      </c>
      <c r="P150" s="2" t="str">
        <f t="shared" si="18"/>
        <v>Sarah Malik</v>
      </c>
      <c r="Q150" s="2" t="str">
        <f>IF(OR(PROPER(TRIM(tblOrders[[#This Row],[Region]]))="Nort",PROPER(TRIM(tblOrders[[#This Row],[Region]]))="Northh"),"North",PROPER(TRIM(tblOrders[[#This Row],[Region]])))</f>
        <v>West</v>
      </c>
      <c r="R150" s="2" t="str">
        <f t="shared" si="19"/>
        <v>Groceries</v>
      </c>
      <c r="S150" s="2" t="str">
        <f t="shared" si="20"/>
        <v>Online</v>
      </c>
      <c r="T150" s="2" t="str">
        <f t="shared" si="21"/>
        <v>Credit Card</v>
      </c>
      <c r="U150" s="2" t="str">
        <f t="shared" si="22"/>
        <v>Pending</v>
      </c>
      <c r="V150" s="2">
        <f t="shared" si="23"/>
        <v>3</v>
      </c>
      <c r="W150" s="2">
        <f t="shared" si="24"/>
        <v>225.78</v>
      </c>
      <c r="X15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45635</v>
      </c>
      <c r="Y150" s="2" t="str">
        <f t="shared" si="25"/>
        <v>20%</v>
      </c>
      <c r="Z150" s="2" t="str">
        <f>TRIM(CLEAN(tblOrders[[#This Row],[Notes]]))</f>
        <v>Bulk order - business account</v>
      </c>
      <c r="AA150" s="2" t="str">
        <f t="shared" si="26"/>
        <v>Standard</v>
      </c>
      <c r="AB150" s="2">
        <f>IF(OR(tblOrders[[#This Row],[Quantity_Clean]]="",tblOrders[[#This Row],[UnitPrice_Clean]]=""),0,tblOrders[[#This Row],[Quantity_Clean]]*tblOrders[[#This Row],[UnitPrice_Clean]])</f>
        <v>677.34</v>
      </c>
      <c r="AC150" s="2" t="str">
        <f>UPPER(TRIM(tblOrders[[#This Row],[OrderID]]))</f>
        <v>ORD-1153</v>
      </c>
      <c r="AD150" s="2">
        <f>VALUE(RIGHT(tblOrders[[#This Row],[OrderID]],4))</f>
        <v>1153</v>
      </c>
      <c r="AE150" s="2" t="str">
        <f>TEXT(tblOrders[[#This Row],[OrderDate_Clean]],"mmm-yyyy")</f>
        <v>Dec-2024</v>
      </c>
      <c r="AF150" s="3">
        <f>EOMONTH(tblOrders[[#This Row],[OrderDate_Clean]],0)</f>
        <v>45657</v>
      </c>
      <c r="AG150" s="2" t="s">
        <v>929</v>
      </c>
      <c r="AH150" s="2">
        <f>IF(tblOrders[[#This Row],[Discount]]="",0,IF(ISNUMBER(tblOrders[[#This Row],[Discount]]),tblOrders[[#This Row],[Discount]],VALUE(SUBSTITUTE(TRIM(tblOrders[[#This Row],[Discount]]),"%",""))/100))</f>
        <v>0.2</v>
      </c>
    </row>
    <row r="151" spans="1:34" x14ac:dyDescent="0.25">
      <c r="A151" s="2" t="s">
        <v>593</v>
      </c>
      <c r="B151" s="2" t="s">
        <v>594</v>
      </c>
      <c r="C151" s="2" t="s">
        <v>595</v>
      </c>
      <c r="D151" s="2" t="s">
        <v>258</v>
      </c>
      <c r="E151" s="2" t="s">
        <v>45</v>
      </c>
      <c r="F151" s="2" t="s">
        <v>77</v>
      </c>
      <c r="G151" s="2" t="s">
        <v>236</v>
      </c>
      <c r="H151" s="2" t="s">
        <v>108</v>
      </c>
      <c r="I151" s="2">
        <v>11</v>
      </c>
      <c r="J151" s="2" t="s">
        <v>596</v>
      </c>
      <c r="K151" s="2">
        <v>0.05</v>
      </c>
      <c r="L151" s="2" t="s">
        <v>79</v>
      </c>
      <c r="M151" s="2" t="s">
        <v>201</v>
      </c>
      <c r="N151" s="2" t="s">
        <v>39</v>
      </c>
      <c r="O151" s="2" t="s">
        <v>126</v>
      </c>
      <c r="P151" s="2" t="str">
        <f t="shared" si="18"/>
        <v>Maria Anderson</v>
      </c>
      <c r="Q151" s="2" t="str">
        <f>IF(OR(PROPER(TRIM(tblOrders[[#This Row],[Region]]))="Nort",PROPER(TRIM(tblOrders[[#This Row],[Region]]))="Northh"),"North",PROPER(TRIM(tblOrders[[#This Row],[Region]])))</f>
        <v>South</v>
      </c>
      <c r="R151" s="2" t="str">
        <f t="shared" si="19"/>
        <v>Groceries</v>
      </c>
      <c r="S151" s="2" t="str">
        <f t="shared" si="20"/>
        <v>In-Store</v>
      </c>
      <c r="T151" s="2" t="str">
        <f t="shared" si="21"/>
        <v>Cash</v>
      </c>
      <c r="U151" s="2" t="str">
        <f t="shared" si="22"/>
        <v>Pending</v>
      </c>
      <c r="V151" s="2">
        <f t="shared" si="23"/>
        <v>11</v>
      </c>
      <c r="W151" s="2">
        <f t="shared" si="24"/>
        <v>205.14</v>
      </c>
      <c r="X15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45493</v>
      </c>
      <c r="Y151" s="2">
        <f t="shared" si="25"/>
        <v>0.05</v>
      </c>
      <c r="Z151" s="2" t="str">
        <f>TRIM(CLEAN(tblOrders[[#This Row],[Notes]]))</f>
        <v>Gift wrap requested</v>
      </c>
      <c r="AA151" s="2" t="str">
        <f t="shared" si="26"/>
        <v>High Value</v>
      </c>
      <c r="AB151" s="2">
        <f>IF(OR(tblOrders[[#This Row],[Quantity_Clean]]="",tblOrders[[#This Row],[UnitPrice_Clean]]=""),0,tblOrders[[#This Row],[Quantity_Clean]]*tblOrders[[#This Row],[UnitPrice_Clean]])</f>
        <v>2256.54</v>
      </c>
      <c r="AC151" s="2" t="str">
        <f>UPPER(TRIM(tblOrders[[#This Row],[OrderID]]))</f>
        <v>ORD-1027</v>
      </c>
      <c r="AD151" s="2">
        <f>VALUE(RIGHT(tblOrders[[#This Row],[OrderID]],4))</f>
        <v>1027</v>
      </c>
      <c r="AE151" s="2" t="str">
        <f>TEXT(tblOrders[[#This Row],[OrderDate_Clean]],"mmm-yyyy")</f>
        <v>Jul-2024</v>
      </c>
      <c r="AF151" s="3">
        <f>EOMONTH(tblOrders[[#This Row],[OrderDate_Clean]],0)</f>
        <v>45504</v>
      </c>
      <c r="AG151" s="2" t="s">
        <v>937</v>
      </c>
      <c r="AH151" s="2">
        <f>IF(tblOrders[[#This Row],[Discount]]="",0,IF(ISNUMBER(tblOrders[[#This Row],[Discount]]),tblOrders[[#This Row],[Discount]],VALUE(SUBSTITUTE(TRIM(tblOrders[[#This Row],[Discount]]),"%",""))/100))</f>
        <v>0.05</v>
      </c>
    </row>
    <row r="152" spans="1:34" x14ac:dyDescent="0.25">
      <c r="A152" s="2" t="s">
        <v>593</v>
      </c>
      <c r="B152" s="2" t="s">
        <v>594</v>
      </c>
      <c r="C152" s="2" t="s">
        <v>595</v>
      </c>
      <c r="D152" s="2" t="s">
        <v>258</v>
      </c>
      <c r="E152" s="2" t="s">
        <v>45</v>
      </c>
      <c r="F152" s="2" t="s">
        <v>77</v>
      </c>
      <c r="G152" s="2" t="s">
        <v>236</v>
      </c>
      <c r="H152" s="2" t="s">
        <v>108</v>
      </c>
      <c r="I152" s="2">
        <v>11</v>
      </c>
      <c r="J152" s="2" t="s">
        <v>596</v>
      </c>
      <c r="K152" s="2">
        <v>0.05</v>
      </c>
      <c r="L152" s="2" t="s">
        <v>79</v>
      </c>
      <c r="M152" s="2" t="s">
        <v>201</v>
      </c>
      <c r="N152" s="2" t="s">
        <v>39</v>
      </c>
      <c r="O152" s="2" t="s">
        <v>126</v>
      </c>
      <c r="P152" s="2" t="str">
        <f t="shared" si="18"/>
        <v>Maria Anderson</v>
      </c>
      <c r="Q152" s="2" t="str">
        <f>IF(OR(PROPER(TRIM(tblOrders[[#This Row],[Region]]))="Nort",PROPER(TRIM(tblOrders[[#This Row],[Region]]))="Northh"),"North",PROPER(TRIM(tblOrders[[#This Row],[Region]])))</f>
        <v>South</v>
      </c>
      <c r="R152" s="2" t="str">
        <f t="shared" si="19"/>
        <v>Groceries</v>
      </c>
      <c r="S152" s="2" t="str">
        <f t="shared" si="20"/>
        <v>In-Store</v>
      </c>
      <c r="T152" s="2" t="str">
        <f t="shared" si="21"/>
        <v>Cash</v>
      </c>
      <c r="U152" s="2" t="str">
        <f t="shared" si="22"/>
        <v>Pending</v>
      </c>
      <c r="V152" s="2">
        <f t="shared" si="23"/>
        <v>11</v>
      </c>
      <c r="W152" s="2">
        <f t="shared" si="24"/>
        <v>205.14</v>
      </c>
      <c r="X15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45493</v>
      </c>
      <c r="Y152" s="2">
        <f t="shared" si="25"/>
        <v>0.05</v>
      </c>
      <c r="Z152" s="2" t="str">
        <f>TRIM(CLEAN(tblOrders[[#This Row],[Notes]]))</f>
        <v>Gift wrap requested</v>
      </c>
      <c r="AA152" s="2" t="str">
        <f t="shared" si="26"/>
        <v>High Value</v>
      </c>
      <c r="AB152" s="2">
        <f>IF(OR(tblOrders[[#This Row],[Quantity_Clean]]="",tblOrders[[#This Row],[UnitPrice_Clean]]=""),0,tblOrders[[#This Row],[Quantity_Clean]]*tblOrders[[#This Row],[UnitPrice_Clean]])</f>
        <v>2256.54</v>
      </c>
      <c r="AC152" s="2" t="str">
        <f>UPPER(TRIM(tblOrders[[#This Row],[OrderID]]))</f>
        <v>ORD-1027</v>
      </c>
      <c r="AD152" s="2">
        <f>VALUE(RIGHT(tblOrders[[#This Row],[OrderID]],4))</f>
        <v>1027</v>
      </c>
      <c r="AE152" s="2" t="str">
        <f>TEXT(tblOrders[[#This Row],[OrderDate_Clean]],"mmm-yyyy")</f>
        <v>Jul-2024</v>
      </c>
      <c r="AF152" s="3">
        <f>EOMONTH(tblOrders[[#This Row],[OrderDate_Clean]],0)</f>
        <v>45504</v>
      </c>
      <c r="AG152" s="2" t="s">
        <v>937</v>
      </c>
      <c r="AH152" s="2">
        <f>IF(tblOrders[[#This Row],[Discount]]="",0,IF(ISNUMBER(tblOrders[[#This Row],[Discount]]),tblOrders[[#This Row],[Discount]],VALUE(SUBSTITUTE(TRIM(tblOrders[[#This Row],[Discount]]),"%",""))/100))</f>
        <v>0.05</v>
      </c>
    </row>
    <row r="153" spans="1:34" x14ac:dyDescent="0.25">
      <c r="A153" s="2" t="s">
        <v>812</v>
      </c>
      <c r="B153" s="2" t="s">
        <v>813</v>
      </c>
      <c r="C153" s="2" t="s">
        <v>814</v>
      </c>
      <c r="D153" s="2" t="s">
        <v>44</v>
      </c>
      <c r="E153" s="2" t="s">
        <v>45</v>
      </c>
      <c r="F153" s="2" t="s">
        <v>235</v>
      </c>
      <c r="G153" s="2" t="s">
        <v>236</v>
      </c>
      <c r="H153" s="2" t="s">
        <v>22</v>
      </c>
      <c r="I153" s="2">
        <v>8</v>
      </c>
      <c r="J153" s="2" t="s">
        <v>815</v>
      </c>
      <c r="K153" s="2" t="s">
        <v>85</v>
      </c>
      <c r="L153" s="2" t="s">
        <v>132</v>
      </c>
      <c r="M153" s="2" t="s">
        <v>110</v>
      </c>
      <c r="N153" s="2" t="s">
        <v>71</v>
      </c>
      <c r="O153" s="2" t="s">
        <v>93</v>
      </c>
      <c r="P153" s="2" t="str">
        <f t="shared" si="18"/>
        <v>Grace Smith</v>
      </c>
      <c r="Q153" s="2" t="str">
        <f>IF(OR(PROPER(TRIM(tblOrders[[#This Row],[Region]]))="Nort",PROPER(TRIM(tblOrders[[#This Row],[Region]]))="Northh"),"North",PROPER(TRIM(tblOrders[[#This Row],[Region]])))</f>
        <v>South</v>
      </c>
      <c r="R153" s="2" t="str">
        <f t="shared" si="19"/>
        <v>Groceries</v>
      </c>
      <c r="S153" s="2" t="str">
        <f t="shared" si="20"/>
        <v>In-Store</v>
      </c>
      <c r="T153" s="2" t="str">
        <f t="shared" si="21"/>
        <v>Cash</v>
      </c>
      <c r="U153" s="2" t="str">
        <f t="shared" si="22"/>
        <v>Pending</v>
      </c>
      <c r="V153" s="2">
        <f t="shared" si="23"/>
        <v>8</v>
      </c>
      <c r="W153" s="2">
        <f t="shared" si="24"/>
        <v>51.06</v>
      </c>
      <c r="X15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45534</v>
      </c>
      <c r="Y153" s="2" t="str">
        <f t="shared" si="25"/>
        <v>10%</v>
      </c>
      <c r="Z153" s="2" t="str">
        <f>TRIM(CLEAN(tblOrders[[#This Row],[Notes]]))</f>
        <v>Bulk order - business account</v>
      </c>
      <c r="AA153" s="2" t="str">
        <f t="shared" si="26"/>
        <v>Standard</v>
      </c>
      <c r="AB153" s="2">
        <f>IF(OR(tblOrders[[#This Row],[Quantity_Clean]]="",tblOrders[[#This Row],[UnitPrice_Clean]]=""),0,tblOrders[[#This Row],[Quantity_Clean]]*tblOrders[[#This Row],[UnitPrice_Clean]])</f>
        <v>408.48</v>
      </c>
      <c r="AC153" s="2" t="str">
        <f>UPPER(TRIM(tblOrders[[#This Row],[OrderID]]))</f>
        <v>ORD-1033</v>
      </c>
      <c r="AD153" s="2">
        <f>VALUE(RIGHT(tblOrders[[#This Row],[OrderID]],4))</f>
        <v>1033</v>
      </c>
      <c r="AE153" s="2" t="str">
        <f>TEXT(tblOrders[[#This Row],[OrderDate_Clean]],"mmm-yyyy")</f>
        <v>Aug-2024</v>
      </c>
      <c r="AF153" s="3">
        <f>EOMONTH(tblOrders[[#This Row],[OrderDate_Clean]],0)</f>
        <v>45535</v>
      </c>
      <c r="AG153" s="2" t="s">
        <v>881</v>
      </c>
      <c r="AH153" s="2">
        <f>IF(tblOrders[[#This Row],[Discount]]="",0,IF(ISNUMBER(tblOrders[[#This Row],[Discount]]),tblOrders[[#This Row],[Discount]],VALUE(SUBSTITUTE(TRIM(tblOrders[[#This Row],[Discount]]),"%",""))/100))</f>
        <v>0.1</v>
      </c>
    </row>
    <row r="154" spans="1:34" x14ac:dyDescent="0.25">
      <c r="A154" s="2" t="s">
        <v>407</v>
      </c>
      <c r="B154" s="2" t="s">
        <v>408</v>
      </c>
      <c r="C154" s="2" t="s">
        <v>409</v>
      </c>
      <c r="D154" s="2" t="s">
        <v>152</v>
      </c>
      <c r="E154" s="2" t="s">
        <v>19</v>
      </c>
      <c r="F154" s="2" t="s">
        <v>235</v>
      </c>
      <c r="G154" s="2" t="s">
        <v>236</v>
      </c>
      <c r="H154" s="2" t="s">
        <v>35</v>
      </c>
      <c r="I154" s="2"/>
      <c r="J154" s="2" t="s">
        <v>410</v>
      </c>
      <c r="K154" s="2"/>
      <c r="L154" s="2" t="s">
        <v>237</v>
      </c>
      <c r="M154" s="2" t="s">
        <v>92</v>
      </c>
      <c r="N154" s="2" t="s">
        <v>71</v>
      </c>
      <c r="O154" s="2" t="s">
        <v>171</v>
      </c>
      <c r="P154" s="2" t="str">
        <f t="shared" si="18"/>
        <v>Olivia Lewis</v>
      </c>
      <c r="Q154" s="2" t="str">
        <f>IF(OR(PROPER(TRIM(tblOrders[[#This Row],[Region]]))="Nort",PROPER(TRIM(tblOrders[[#This Row],[Region]]))="Northh"),"North",PROPER(TRIM(tblOrders[[#This Row],[Region]])))</f>
        <v>East</v>
      </c>
      <c r="R154" s="2" t="str">
        <f t="shared" si="19"/>
        <v>Groceries</v>
      </c>
      <c r="S154" s="2" t="str">
        <f t="shared" si="20"/>
        <v>In-Store</v>
      </c>
      <c r="T154" s="2" t="str">
        <f t="shared" si="21"/>
        <v>Bank Transfer</v>
      </c>
      <c r="U154" s="2" t="str">
        <f t="shared" si="22"/>
        <v>Cancelled</v>
      </c>
      <c r="V154" s="2" t="str">
        <f t="shared" si="23"/>
        <v/>
      </c>
      <c r="W154" s="2">
        <f t="shared" si="24"/>
        <v>426.22</v>
      </c>
      <c r="X15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45435</v>
      </c>
      <c r="Y154" s="2">
        <f t="shared" si="25"/>
        <v>0</v>
      </c>
      <c r="Z154" s="2" t="str">
        <f>TRIM(CLEAN(tblOrders[[#This Row],[Notes]]))</f>
        <v>Leave at front desk</v>
      </c>
      <c r="AA154" s="2" t="str">
        <f t="shared" si="26"/>
        <v>Review</v>
      </c>
      <c r="AB154" s="2">
        <f>IF(OR(tblOrders[[#This Row],[Quantity_Clean]]="",tblOrders[[#This Row],[UnitPrice_Clean]]=""),0,tblOrders[[#This Row],[Quantity_Clean]]*tblOrders[[#This Row],[UnitPrice_Clean]])</f>
        <v>0</v>
      </c>
      <c r="AC154" s="2" t="str">
        <f>UPPER(TRIM(tblOrders[[#This Row],[OrderID]]))</f>
        <v>ORD-1032</v>
      </c>
      <c r="AD154" s="2">
        <f>VALUE(RIGHT(tblOrders[[#This Row],[OrderID]],4))</f>
        <v>1032</v>
      </c>
      <c r="AE154" s="2" t="str">
        <f>TEXT(tblOrders[[#This Row],[OrderDate_Clean]],"mmm-yyyy")</f>
        <v>May-2024</v>
      </c>
      <c r="AF154" s="3">
        <f>EOMONTH(tblOrders[[#This Row],[OrderDate_Clean]],0)</f>
        <v>45443</v>
      </c>
      <c r="AG154" s="2" t="s">
        <v>938</v>
      </c>
      <c r="AH154" s="2">
        <f>IF(tblOrders[[#This Row],[Discount]]="",0,IF(ISNUMBER(tblOrders[[#This Row],[Discount]]),tblOrders[[#This Row],[Discount]],VALUE(SUBSTITUTE(TRIM(tblOrders[[#This Row],[Discount]]),"%",""))/100))</f>
        <v>0</v>
      </c>
    </row>
    <row r="155" spans="1:34" x14ac:dyDescent="0.25">
      <c r="A155" s="2" t="s">
        <v>433</v>
      </c>
      <c r="B155" s="2" t="s">
        <v>434</v>
      </c>
      <c r="C155" s="2" t="s">
        <v>435</v>
      </c>
      <c r="D155" s="2" t="s">
        <v>188</v>
      </c>
      <c r="E155" s="2" t="s">
        <v>76</v>
      </c>
      <c r="F155" s="2" t="s">
        <v>77</v>
      </c>
      <c r="G155" s="2" t="s">
        <v>268</v>
      </c>
      <c r="H155" s="2" t="s">
        <v>58</v>
      </c>
      <c r="I155" s="2">
        <v>8</v>
      </c>
      <c r="J155" s="2">
        <v>495.96</v>
      </c>
      <c r="K155" s="2">
        <v>0.05</v>
      </c>
      <c r="L155" s="2" t="s">
        <v>132</v>
      </c>
      <c r="M155" s="2" t="s">
        <v>92</v>
      </c>
      <c r="N155" s="2" t="s">
        <v>111</v>
      </c>
      <c r="O155" s="2"/>
      <c r="P155" s="2" t="str">
        <f t="shared" si="18"/>
        <v>Nida Taylor</v>
      </c>
      <c r="Q155" s="2" t="str">
        <f>IF(OR(PROPER(TRIM(tblOrders[[#This Row],[Region]]))="Nort",PROPER(TRIM(tblOrders[[#This Row],[Region]]))="Northh"),"North",PROPER(TRIM(tblOrders[[#This Row],[Region]])))</f>
        <v>North</v>
      </c>
      <c r="R155" s="2" t="str">
        <f t="shared" si="19"/>
        <v>Groceries</v>
      </c>
      <c r="S155" s="2" t="str">
        <f t="shared" si="20"/>
        <v>Online</v>
      </c>
      <c r="T155" s="2" t="str">
        <f t="shared" si="21"/>
        <v>Cash</v>
      </c>
      <c r="U155" s="2" t="str">
        <f t="shared" si="22"/>
        <v>Cancelled</v>
      </c>
      <c r="V155" s="2">
        <f t="shared" si="23"/>
        <v>8</v>
      </c>
      <c r="W155" s="2">
        <f t="shared" si="24"/>
        <v>495.96</v>
      </c>
      <c r="X15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45432</v>
      </c>
      <c r="Y155" s="2">
        <f t="shared" si="25"/>
        <v>0.05</v>
      </c>
      <c r="Z155" s="2" t="str">
        <f>TRIM(CLEAN(tblOrders[[#This Row],[Notes]]))</f>
        <v/>
      </c>
      <c r="AA155" s="2" t="str">
        <f t="shared" si="26"/>
        <v>High Value</v>
      </c>
      <c r="AB155" s="2">
        <f>IF(OR(tblOrders[[#This Row],[Quantity_Clean]]="",tblOrders[[#This Row],[UnitPrice_Clean]]=""),0,tblOrders[[#This Row],[Quantity_Clean]]*tblOrders[[#This Row],[UnitPrice_Clean]])</f>
        <v>3967.68</v>
      </c>
      <c r="AC155" s="2" t="str">
        <f>UPPER(TRIM(tblOrders[[#This Row],[OrderID]]))</f>
        <v>ORD-1136</v>
      </c>
      <c r="AD155" s="2">
        <f>VALUE(RIGHT(tblOrders[[#This Row],[OrderID]],4))</f>
        <v>1136</v>
      </c>
      <c r="AE155" s="2" t="str">
        <f>TEXT(tblOrders[[#This Row],[OrderDate_Clean]],"mmm-yyyy")</f>
        <v>May-2024</v>
      </c>
      <c r="AF155" s="3">
        <f>EOMONTH(tblOrders[[#This Row],[OrderDate_Clean]],0)</f>
        <v>45443</v>
      </c>
      <c r="AG155" s="2" t="s">
        <v>905</v>
      </c>
      <c r="AH155" s="2">
        <f>IF(tblOrders[[#This Row],[Discount]]="",0,IF(ISNUMBER(tblOrders[[#This Row],[Discount]]),tblOrders[[#This Row],[Discount]],VALUE(SUBSTITUTE(TRIM(tblOrders[[#This Row],[Discount]]),"%",""))/100))</f>
        <v>0.05</v>
      </c>
    </row>
    <row r="156" spans="1:34" x14ac:dyDescent="0.25">
      <c r="A156" s="2" t="s">
        <v>555</v>
      </c>
      <c r="B156" s="2" t="s">
        <v>556</v>
      </c>
      <c r="C156" s="2" t="s">
        <v>557</v>
      </c>
      <c r="D156" s="2" t="s">
        <v>152</v>
      </c>
      <c r="E156" s="2" t="s">
        <v>19</v>
      </c>
      <c r="F156" s="2" t="s">
        <v>235</v>
      </c>
      <c r="G156" s="2" t="s">
        <v>137</v>
      </c>
      <c r="H156" s="2" t="s">
        <v>48</v>
      </c>
      <c r="I156" s="2">
        <v>3</v>
      </c>
      <c r="J156" s="2">
        <v>450.3</v>
      </c>
      <c r="K156" s="2"/>
      <c r="L156" s="2" t="s">
        <v>24</v>
      </c>
      <c r="M156" s="2" t="s">
        <v>70</v>
      </c>
      <c r="N156" s="2" t="s">
        <v>71</v>
      </c>
      <c r="O156" s="2"/>
      <c r="P156" s="2" t="str">
        <f t="shared" si="18"/>
        <v>Yusuf Sheikh</v>
      </c>
      <c r="Q156" s="2" t="str">
        <f>IF(OR(PROPER(TRIM(tblOrders[[#This Row],[Region]]))="Nort",PROPER(TRIM(tblOrders[[#This Row],[Region]]))="Northh"),"North",PROPER(TRIM(tblOrders[[#This Row],[Region]])))</f>
        <v>East</v>
      </c>
      <c r="R156" s="2" t="str">
        <f t="shared" si="19"/>
        <v>Groceries</v>
      </c>
      <c r="S156" s="2" t="str">
        <f t="shared" si="20"/>
        <v>In-Store</v>
      </c>
      <c r="T156" s="2" t="str">
        <f t="shared" si="21"/>
        <v>Credit Card</v>
      </c>
      <c r="U156" s="2" t="str">
        <f t="shared" si="22"/>
        <v>Refunded</v>
      </c>
      <c r="V156" s="2">
        <f t="shared" si="23"/>
        <v>3</v>
      </c>
      <c r="W156" s="2">
        <f t="shared" si="24"/>
        <v>450.3</v>
      </c>
      <c r="X15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45507</v>
      </c>
      <c r="Y156" s="2">
        <f t="shared" si="25"/>
        <v>0</v>
      </c>
      <c r="Z156" s="2" t="str">
        <f>TRIM(CLEAN(tblOrders[[#This Row],[Notes]]))</f>
        <v/>
      </c>
      <c r="AA156" s="2" t="str">
        <f t="shared" si="26"/>
        <v>High Value</v>
      </c>
      <c r="AB156" s="2">
        <f>IF(OR(tblOrders[[#This Row],[Quantity_Clean]]="",tblOrders[[#This Row],[UnitPrice_Clean]]=""),0,tblOrders[[#This Row],[Quantity_Clean]]*tblOrders[[#This Row],[UnitPrice_Clean]])</f>
        <v>1350.9</v>
      </c>
      <c r="AC156" s="2" t="str">
        <f>UPPER(TRIM(tblOrders[[#This Row],[OrderID]]))</f>
        <v>ORD-1175</v>
      </c>
      <c r="AD156" s="2">
        <f>VALUE(RIGHT(tblOrders[[#This Row],[OrderID]],4))</f>
        <v>1175</v>
      </c>
      <c r="AE156" s="2" t="str">
        <f>TEXT(tblOrders[[#This Row],[OrderDate_Clean]],"mmm-yyyy")</f>
        <v>Aug-2024</v>
      </c>
      <c r="AF156" s="3">
        <f>EOMONTH(tblOrders[[#This Row],[OrderDate_Clean]],0)</f>
        <v>45535</v>
      </c>
      <c r="AG156" s="2" t="s">
        <v>906</v>
      </c>
      <c r="AH156" s="2">
        <f>IF(tblOrders[[#This Row],[Discount]]="",0,IF(ISNUMBER(tblOrders[[#This Row],[Discount]]),tblOrders[[#This Row],[Discount]],VALUE(SUBSTITUTE(TRIM(tblOrders[[#This Row],[Discount]]),"%",""))/100))</f>
        <v>0</v>
      </c>
    </row>
    <row r="157" spans="1:34" x14ac:dyDescent="0.25">
      <c r="A157" s="2" t="s">
        <v>738</v>
      </c>
      <c r="B157" s="2" t="s">
        <v>739</v>
      </c>
      <c r="C157" s="2" t="s">
        <v>740</v>
      </c>
      <c r="D157" s="2" t="s">
        <v>124</v>
      </c>
      <c r="E157" s="2" t="s">
        <v>125</v>
      </c>
      <c r="F157" s="2" t="s">
        <v>77</v>
      </c>
      <c r="G157" s="2" t="s">
        <v>137</v>
      </c>
      <c r="H157" s="2" t="s">
        <v>22</v>
      </c>
      <c r="I157" s="2">
        <v>8</v>
      </c>
      <c r="J157" s="2">
        <v>419.35</v>
      </c>
      <c r="K157" s="2"/>
      <c r="L157" s="2" t="s">
        <v>37</v>
      </c>
      <c r="M157" s="2" t="s">
        <v>158</v>
      </c>
      <c r="N157" s="2" t="s">
        <v>39</v>
      </c>
      <c r="O157" s="2" t="s">
        <v>93</v>
      </c>
      <c r="P157" s="2" t="str">
        <f t="shared" si="18"/>
        <v>Michael Farooq</v>
      </c>
      <c r="Q157" s="2" t="str">
        <f>IF(OR(PROPER(TRIM(tblOrders[[#This Row],[Region]]))="Nort",PROPER(TRIM(tblOrders[[#This Row],[Region]]))="Northh"),"North",PROPER(TRIM(tblOrders[[#This Row],[Region]])))</f>
        <v>South</v>
      </c>
      <c r="R157" s="2" t="str">
        <f t="shared" si="19"/>
        <v>Groceries</v>
      </c>
      <c r="S157" s="2" t="str">
        <f t="shared" si="20"/>
        <v>In-Store</v>
      </c>
      <c r="T157" s="2" t="str">
        <f t="shared" si="21"/>
        <v>Bank Transfer</v>
      </c>
      <c r="U157" s="2" t="str">
        <f t="shared" si="22"/>
        <v>Pending</v>
      </c>
      <c r="V157" s="2">
        <f t="shared" si="23"/>
        <v>8</v>
      </c>
      <c r="W157" s="2">
        <f t="shared" si="24"/>
        <v>419.35</v>
      </c>
      <c r="X15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45335</v>
      </c>
      <c r="Y157" s="2">
        <f t="shared" si="25"/>
        <v>0</v>
      </c>
      <c r="Z157" s="2" t="str">
        <f>TRIM(CLEAN(tblOrders[[#This Row],[Notes]]))</f>
        <v>Bulk order - business account</v>
      </c>
      <c r="AA157" s="2" t="str">
        <f t="shared" si="26"/>
        <v>High Value</v>
      </c>
      <c r="AB157" s="2">
        <f>IF(OR(tblOrders[[#This Row],[Quantity_Clean]]="",tblOrders[[#This Row],[UnitPrice_Clean]]=""),0,tblOrders[[#This Row],[Quantity_Clean]]*tblOrders[[#This Row],[UnitPrice_Clean]])</f>
        <v>3354.8</v>
      </c>
      <c r="AC157" s="2" t="str">
        <f>UPPER(TRIM(tblOrders[[#This Row],[OrderID]]))</f>
        <v>ORD-1164</v>
      </c>
      <c r="AD157" s="2">
        <f>VALUE(RIGHT(tblOrders[[#This Row],[OrderID]],4))</f>
        <v>1164</v>
      </c>
      <c r="AE157" s="2" t="str">
        <f>TEXT(tblOrders[[#This Row],[OrderDate_Clean]],"mmm-yyyy")</f>
        <v>Feb-2024</v>
      </c>
      <c r="AF157" s="3">
        <f>EOMONTH(tblOrders[[#This Row],[OrderDate_Clean]],0)</f>
        <v>45351</v>
      </c>
      <c r="AG157" s="2" t="s">
        <v>939</v>
      </c>
      <c r="AH157" s="2">
        <f>IF(tblOrders[[#This Row],[Discount]]="",0,IF(ISNUMBER(tblOrders[[#This Row],[Discount]]),tblOrders[[#This Row],[Discount]],VALUE(SUBSTITUTE(TRIM(tblOrders[[#This Row],[Discount]]),"%",""))/100))</f>
        <v>0</v>
      </c>
    </row>
    <row r="158" spans="1:34" x14ac:dyDescent="0.25">
      <c r="A158" s="2" t="s">
        <v>265</v>
      </c>
      <c r="B158" s="2" t="s">
        <v>114</v>
      </c>
      <c r="C158" s="2" t="s">
        <v>266</v>
      </c>
      <c r="D158" s="2" t="s">
        <v>162</v>
      </c>
      <c r="E158" s="2"/>
      <c r="F158" s="2" t="s">
        <v>267</v>
      </c>
      <c r="G158" s="2" t="s">
        <v>268</v>
      </c>
      <c r="H158" s="2" t="s">
        <v>35</v>
      </c>
      <c r="I158" s="2">
        <v>6</v>
      </c>
      <c r="J158" s="2">
        <v>415.21</v>
      </c>
      <c r="K158" s="2">
        <v>0.2</v>
      </c>
      <c r="L158" s="2" t="s">
        <v>132</v>
      </c>
      <c r="M158" s="2" t="s">
        <v>92</v>
      </c>
      <c r="N158" s="2" t="s">
        <v>26</v>
      </c>
      <c r="O158" s="2" t="s">
        <v>87</v>
      </c>
      <c r="P158" s="2" t="str">
        <f t="shared" si="18"/>
        <v>Grace Hussain</v>
      </c>
      <c r="Q158" s="2" t="str">
        <f>IF(OR(PROPER(TRIM(tblOrders[[#This Row],[Region]]))="Nort",PROPER(TRIM(tblOrders[[#This Row],[Region]]))="Northh"),"North",PROPER(TRIM(tblOrders[[#This Row],[Region]])))</f>
        <v>East</v>
      </c>
      <c r="R158" s="2" t="str">
        <f t="shared" si="19"/>
        <v>Groceries</v>
      </c>
      <c r="S158" s="2" t="str">
        <f t="shared" si="20"/>
        <v>In-Store</v>
      </c>
      <c r="T158" s="2" t="str">
        <f t="shared" si="21"/>
        <v>Cash</v>
      </c>
      <c r="U158" s="2" t="str">
        <f t="shared" si="22"/>
        <v>Cancelled</v>
      </c>
      <c r="V158" s="2">
        <f t="shared" si="23"/>
        <v>6</v>
      </c>
      <c r="W158" s="2">
        <f t="shared" si="24"/>
        <v>415.21</v>
      </c>
      <c r="X15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45332</v>
      </c>
      <c r="Y158" s="2">
        <f t="shared" si="25"/>
        <v>0.2</v>
      </c>
      <c r="Z158" s="2" t="str">
        <f>TRIM(CLEAN(tblOrders[[#This Row],[Notes]]))</f>
        <v>Damaged on arrival - replaced</v>
      </c>
      <c r="AA158" s="2" t="str">
        <f t="shared" si="26"/>
        <v>High Value</v>
      </c>
      <c r="AB158" s="2">
        <f>IF(OR(tblOrders[[#This Row],[Quantity_Clean]]="",tblOrders[[#This Row],[UnitPrice_Clean]]=""),0,tblOrders[[#This Row],[Quantity_Clean]]*tblOrders[[#This Row],[UnitPrice_Clean]])</f>
        <v>2491.2599999999998</v>
      </c>
      <c r="AC158" s="2" t="str">
        <f>UPPER(TRIM(tblOrders[[#This Row],[OrderID]]))</f>
        <v>ORD-1031</v>
      </c>
      <c r="AD158" s="2">
        <f>VALUE(RIGHT(tblOrders[[#This Row],[OrderID]],4))</f>
        <v>1031</v>
      </c>
      <c r="AE158" s="2" t="str">
        <f>TEXT(tblOrders[[#This Row],[OrderDate_Clean]],"mmm-yyyy")</f>
        <v>Feb-2024</v>
      </c>
      <c r="AF158" s="3">
        <f>EOMONTH(tblOrders[[#This Row],[OrderDate_Clean]],0)</f>
        <v>45351</v>
      </c>
      <c r="AG158" s="2" t="s">
        <v>881</v>
      </c>
      <c r="AH158" s="2">
        <f>IF(tblOrders[[#This Row],[Discount]]="",0,IF(ISNUMBER(tblOrders[[#This Row],[Discount]]),tblOrders[[#This Row],[Discount]],VALUE(SUBSTITUTE(TRIM(tblOrders[[#This Row],[Discount]]),"%",""))/100))</f>
        <v>0.2</v>
      </c>
    </row>
    <row r="159" spans="1:34" x14ac:dyDescent="0.25">
      <c r="A159" s="2" t="s">
        <v>790</v>
      </c>
      <c r="B159" s="2" t="s">
        <v>791</v>
      </c>
      <c r="C159" s="2" t="s">
        <v>792</v>
      </c>
      <c r="D159" s="2" t="s">
        <v>152</v>
      </c>
      <c r="E159" s="2" t="s">
        <v>19</v>
      </c>
      <c r="F159" s="2" t="s">
        <v>77</v>
      </c>
      <c r="G159" s="2" t="s">
        <v>268</v>
      </c>
      <c r="H159" s="2" t="s">
        <v>68</v>
      </c>
      <c r="I159" s="2">
        <v>3</v>
      </c>
      <c r="J159" s="2">
        <v>402.96</v>
      </c>
      <c r="K159" s="2"/>
      <c r="L159" s="2" t="s">
        <v>102</v>
      </c>
      <c r="M159" s="2" t="s">
        <v>208</v>
      </c>
      <c r="N159" s="2" t="s">
        <v>71</v>
      </c>
      <c r="O159" s="2" t="s">
        <v>112</v>
      </c>
      <c r="P159" s="2" t="str">
        <f t="shared" si="18"/>
        <v>Chen Sheikh</v>
      </c>
      <c r="Q159" s="2" t="str">
        <f>IF(OR(PROPER(TRIM(tblOrders[[#This Row],[Region]]))="Nort",PROPER(TRIM(tblOrders[[#This Row],[Region]]))="Northh"),"North",PROPER(TRIM(tblOrders[[#This Row],[Region]])))</f>
        <v>East</v>
      </c>
      <c r="R159" s="2" t="str">
        <f t="shared" si="19"/>
        <v>Groceries</v>
      </c>
      <c r="S159" s="2" t="str">
        <f t="shared" si="20"/>
        <v>Online</v>
      </c>
      <c r="T159" s="2" t="str">
        <f t="shared" si="21"/>
        <v>Cash</v>
      </c>
      <c r="U159" s="2" t="str">
        <f t="shared" si="22"/>
        <v>Completed</v>
      </c>
      <c r="V159" s="2">
        <f t="shared" si="23"/>
        <v>3</v>
      </c>
      <c r="W159" s="2">
        <f t="shared" si="24"/>
        <v>402.96</v>
      </c>
      <c r="X15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45605</v>
      </c>
      <c r="Y159" s="2">
        <f t="shared" si="25"/>
        <v>0</v>
      </c>
      <c r="Z159" s="2" t="str">
        <f>TRIM(CLEAN(tblOrders[[#This Row],[Notes]]))</f>
        <v>Follow up needed</v>
      </c>
      <c r="AA159" s="2" t="str">
        <f t="shared" si="26"/>
        <v>High Value</v>
      </c>
      <c r="AB159" s="2">
        <f>IF(OR(tblOrders[[#This Row],[Quantity_Clean]]="",tblOrders[[#This Row],[UnitPrice_Clean]]=""),0,tblOrders[[#This Row],[Quantity_Clean]]*tblOrders[[#This Row],[UnitPrice_Clean]])</f>
        <v>1208.8799999999999</v>
      </c>
      <c r="AC159" s="2" t="str">
        <f>UPPER(TRIM(tblOrders[[#This Row],[OrderID]]))</f>
        <v>ORD-1092</v>
      </c>
      <c r="AD159" s="2">
        <f>VALUE(RIGHT(tblOrders[[#This Row],[OrderID]],4))</f>
        <v>1092</v>
      </c>
      <c r="AE159" s="2" t="str">
        <f>TEXT(tblOrders[[#This Row],[OrderDate_Clean]],"mmm-yyyy")</f>
        <v>Nov-2024</v>
      </c>
      <c r="AF159" s="3">
        <f>EOMONTH(tblOrders[[#This Row],[OrderDate_Clean]],0)</f>
        <v>45626</v>
      </c>
      <c r="AG159" s="2" t="s">
        <v>940</v>
      </c>
      <c r="AH159" s="2">
        <f>IF(tblOrders[[#This Row],[Discount]]="",0,IF(ISNUMBER(tblOrders[[#This Row],[Discount]]),tblOrders[[#This Row],[Discount]],VALUE(SUBSTITUTE(TRIM(tblOrders[[#This Row],[Discount]]),"%",""))/100))</f>
        <v>0</v>
      </c>
    </row>
    <row r="160" spans="1:34" x14ac:dyDescent="0.25">
      <c r="A160" s="2" t="s">
        <v>823</v>
      </c>
      <c r="B160" s="2" t="s">
        <v>252</v>
      </c>
      <c r="C160" s="2" t="s">
        <v>824</v>
      </c>
      <c r="D160" s="2" t="s">
        <v>194</v>
      </c>
      <c r="E160" s="2" t="s">
        <v>65</v>
      </c>
      <c r="F160" s="2" t="s">
        <v>235</v>
      </c>
      <c r="G160" s="2" t="s">
        <v>137</v>
      </c>
      <c r="H160" s="2" t="s">
        <v>22</v>
      </c>
      <c r="I160" s="2">
        <v>8</v>
      </c>
      <c r="J160" s="2">
        <v>390.17</v>
      </c>
      <c r="K160" s="2">
        <v>0.05</v>
      </c>
      <c r="L160" s="2" t="s">
        <v>24</v>
      </c>
      <c r="M160" s="2" t="s">
        <v>144</v>
      </c>
      <c r="N160" s="2" t="s">
        <v>26</v>
      </c>
      <c r="O160" s="2" t="s">
        <v>126</v>
      </c>
      <c r="P160" s="2" t="str">
        <f t="shared" si="18"/>
        <v>Daniel Qureshi</v>
      </c>
      <c r="Q160" s="2" t="str">
        <f>IF(OR(PROPER(TRIM(tblOrders[[#This Row],[Region]]))="Nort",PROPER(TRIM(tblOrders[[#This Row],[Region]]))="Northh"),"North",PROPER(TRIM(tblOrders[[#This Row],[Region]])))</f>
        <v>West</v>
      </c>
      <c r="R160" s="2" t="str">
        <f t="shared" si="19"/>
        <v>Groceries</v>
      </c>
      <c r="S160" s="2" t="str">
        <f t="shared" si="20"/>
        <v>In-Store</v>
      </c>
      <c r="T160" s="2" t="str">
        <f t="shared" si="21"/>
        <v>Credit Card</v>
      </c>
      <c r="U160" s="2" t="str">
        <f t="shared" si="22"/>
        <v>Refunded</v>
      </c>
      <c r="V160" s="2">
        <f t="shared" si="23"/>
        <v>8</v>
      </c>
      <c r="W160" s="2">
        <f t="shared" si="24"/>
        <v>390.17</v>
      </c>
      <c r="X16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45362</v>
      </c>
      <c r="Y160" s="2">
        <f t="shared" si="25"/>
        <v>0.05</v>
      </c>
      <c r="Z160" s="2" t="str">
        <f>TRIM(CLEAN(tblOrders[[#This Row],[Notes]]))</f>
        <v>Gift wrap requested</v>
      </c>
      <c r="AA160" s="2" t="str">
        <f t="shared" si="26"/>
        <v>High Value</v>
      </c>
      <c r="AB160" s="2">
        <f>IF(OR(tblOrders[[#This Row],[Quantity_Clean]]="",tblOrders[[#This Row],[UnitPrice_Clean]]=""),0,tblOrders[[#This Row],[Quantity_Clean]]*tblOrders[[#This Row],[UnitPrice_Clean]])</f>
        <v>3121.36</v>
      </c>
      <c r="AC160" s="2" t="str">
        <f>UPPER(TRIM(tblOrders[[#This Row],[OrderID]]))</f>
        <v>ORD-1073</v>
      </c>
      <c r="AD160" s="2">
        <f>VALUE(RIGHT(tblOrders[[#This Row],[OrderID]],4))</f>
        <v>1073</v>
      </c>
      <c r="AE160" s="2" t="str">
        <f>TEXT(tblOrders[[#This Row],[OrderDate_Clean]],"mmm-yyyy")</f>
        <v>Mar-2024</v>
      </c>
      <c r="AF160" s="3">
        <f>EOMONTH(tblOrders[[#This Row],[OrderDate_Clean]],0)</f>
        <v>45382</v>
      </c>
      <c r="AG160" s="2" t="s">
        <v>886</v>
      </c>
      <c r="AH160" s="2">
        <f>IF(tblOrders[[#This Row],[Discount]]="",0,IF(ISNUMBER(tblOrders[[#This Row],[Discount]]),tblOrders[[#This Row],[Discount]],VALUE(SUBSTITUTE(TRIM(tblOrders[[#This Row],[Discount]]),"%",""))/100))</f>
        <v>0.05</v>
      </c>
    </row>
    <row r="161" spans="1:34" x14ac:dyDescent="0.25">
      <c r="A161" s="2" t="s">
        <v>72</v>
      </c>
      <c r="B161" s="2" t="s">
        <v>73</v>
      </c>
      <c r="C161" s="2" t="s">
        <v>74</v>
      </c>
      <c r="D161" s="2" t="s">
        <v>75</v>
      </c>
      <c r="E161" s="2" t="s">
        <v>76</v>
      </c>
      <c r="F161" s="2" t="s">
        <v>77</v>
      </c>
      <c r="G161" s="2" t="s">
        <v>78</v>
      </c>
      <c r="H161" s="2" t="s">
        <v>22</v>
      </c>
      <c r="I161" s="2">
        <v>11</v>
      </c>
      <c r="J161" s="2">
        <v>363.02</v>
      </c>
      <c r="K161" s="2">
        <v>0.05</v>
      </c>
      <c r="L161" s="2" t="s">
        <v>79</v>
      </c>
      <c r="M161" s="2" t="s">
        <v>60</v>
      </c>
      <c r="N161" s="2" t="s">
        <v>39</v>
      </c>
      <c r="O161" s="2" t="s">
        <v>27</v>
      </c>
      <c r="P161" s="2" t="str">
        <f t="shared" si="18"/>
        <v>Michael Clark</v>
      </c>
      <c r="Q161" s="2" t="str">
        <f>IF(OR(PROPER(TRIM(tblOrders[[#This Row],[Region]]))="Nort",PROPER(TRIM(tblOrders[[#This Row],[Region]]))="Northh"),"North",PROPER(TRIM(tblOrders[[#This Row],[Region]])))</f>
        <v>North</v>
      </c>
      <c r="R161" s="2" t="str">
        <f t="shared" si="19"/>
        <v>Groceries</v>
      </c>
      <c r="S161" s="2" t="str">
        <f t="shared" si="20"/>
        <v>In-Store</v>
      </c>
      <c r="T161" s="2" t="str">
        <f t="shared" si="21"/>
        <v>Cash</v>
      </c>
      <c r="U161" s="2" t="str">
        <f t="shared" si="22"/>
        <v>Completed</v>
      </c>
      <c r="V161" s="2">
        <f t="shared" si="23"/>
        <v>11</v>
      </c>
      <c r="W161" s="2">
        <f t="shared" si="24"/>
        <v>363.02</v>
      </c>
      <c r="X16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45508</v>
      </c>
      <c r="Y161" s="2">
        <f t="shared" si="25"/>
        <v>0.05</v>
      </c>
      <c r="Z161" s="2" t="str">
        <f>TRIM(CLEAN(tblOrders[[#This Row],[Notes]]))</f>
        <v>Customer called twice</v>
      </c>
      <c r="AA161" s="2" t="str">
        <f t="shared" si="26"/>
        <v>High Value</v>
      </c>
      <c r="AB161" s="2">
        <f>IF(OR(tblOrders[[#This Row],[Quantity_Clean]]="",tblOrders[[#This Row],[UnitPrice_Clean]]=""),0,tblOrders[[#This Row],[Quantity_Clean]]*tblOrders[[#This Row],[UnitPrice_Clean]])</f>
        <v>3993.22</v>
      </c>
      <c r="AC161" s="2" t="str">
        <f>UPPER(TRIM(tblOrders[[#This Row],[OrderID]]))</f>
        <v>ORD-1104</v>
      </c>
      <c r="AD161" s="2">
        <f>VALUE(RIGHT(tblOrders[[#This Row],[OrderID]],4))</f>
        <v>1104</v>
      </c>
      <c r="AE161" s="2" t="str">
        <f>TEXT(tblOrders[[#This Row],[OrderDate_Clean]],"mmm-yyyy")</f>
        <v>Aug-2024</v>
      </c>
      <c r="AF161" s="3">
        <f>EOMONTH(tblOrders[[#This Row],[OrderDate_Clean]],0)</f>
        <v>45535</v>
      </c>
      <c r="AG161" s="2" t="s">
        <v>939</v>
      </c>
      <c r="AH161" s="2">
        <f>IF(tblOrders[[#This Row],[Discount]]="",0,IF(ISNUMBER(tblOrders[[#This Row],[Discount]]),tblOrders[[#This Row],[Discount]],VALUE(SUBSTITUTE(TRIM(tblOrders[[#This Row],[Discount]]),"%",""))/100))</f>
        <v>0.05</v>
      </c>
    </row>
    <row r="162" spans="1:34" x14ac:dyDescent="0.25">
      <c r="A162" s="2" t="s">
        <v>275</v>
      </c>
      <c r="B162" s="2" t="s">
        <v>276</v>
      </c>
      <c r="C162" s="2" t="s">
        <v>277</v>
      </c>
      <c r="D162" s="2" t="s">
        <v>258</v>
      </c>
      <c r="E162" s="2" t="s">
        <v>125</v>
      </c>
      <c r="F162" s="2" t="s">
        <v>77</v>
      </c>
      <c r="G162" s="2" t="s">
        <v>137</v>
      </c>
      <c r="H162" s="2" t="s">
        <v>48</v>
      </c>
      <c r="I162" s="2">
        <v>2</v>
      </c>
      <c r="J162" s="2">
        <v>338.05</v>
      </c>
      <c r="K162" s="2" t="s">
        <v>85</v>
      </c>
      <c r="L162" s="2" t="s">
        <v>180</v>
      </c>
      <c r="M162" s="2" t="s">
        <v>158</v>
      </c>
      <c r="N162" s="2" t="s">
        <v>111</v>
      </c>
      <c r="O162" s="2" t="s">
        <v>93</v>
      </c>
      <c r="P162" s="2" t="str">
        <f t="shared" si="18"/>
        <v>Daniel Johnson</v>
      </c>
      <c r="Q162" s="2" t="str">
        <f>IF(OR(PROPER(TRIM(tblOrders[[#This Row],[Region]]))="Nort",PROPER(TRIM(tblOrders[[#This Row],[Region]]))="Northh"),"North",PROPER(TRIM(tblOrders[[#This Row],[Region]])))</f>
        <v>South</v>
      </c>
      <c r="R162" s="2" t="str">
        <f t="shared" si="19"/>
        <v>Groceries</v>
      </c>
      <c r="S162" s="2" t="str">
        <f t="shared" si="20"/>
        <v>In-Store</v>
      </c>
      <c r="T162" s="2" t="str">
        <f t="shared" si="21"/>
        <v>Credit Card</v>
      </c>
      <c r="U162" s="2" t="str">
        <f t="shared" si="22"/>
        <v>Pending</v>
      </c>
      <c r="V162" s="2">
        <f t="shared" si="23"/>
        <v>2</v>
      </c>
      <c r="W162" s="2">
        <f t="shared" si="24"/>
        <v>338.05</v>
      </c>
      <c r="X16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45533</v>
      </c>
      <c r="Y162" s="2" t="str">
        <f t="shared" si="25"/>
        <v>10%</v>
      </c>
      <c r="Z162" s="2" t="str">
        <f>TRIM(CLEAN(tblOrders[[#This Row],[Notes]]))</f>
        <v>Bulk order - business account</v>
      </c>
      <c r="AA162" s="2" t="str">
        <f t="shared" si="26"/>
        <v>Standard</v>
      </c>
      <c r="AB162" s="2">
        <f>IF(OR(tblOrders[[#This Row],[Quantity_Clean]]="",tblOrders[[#This Row],[UnitPrice_Clean]]=""),0,tblOrders[[#This Row],[Quantity_Clean]]*tblOrders[[#This Row],[UnitPrice_Clean]])</f>
        <v>676.1</v>
      </c>
      <c r="AC162" s="2" t="str">
        <f>UPPER(TRIM(tblOrders[[#This Row],[OrderID]]))</f>
        <v>ORD-1052</v>
      </c>
      <c r="AD162" s="2">
        <f>VALUE(RIGHT(tblOrders[[#This Row],[OrderID]],4))</f>
        <v>1052</v>
      </c>
      <c r="AE162" s="2" t="str">
        <f>TEXT(tblOrders[[#This Row],[OrderDate_Clean]],"mmm-yyyy")</f>
        <v>Aug-2024</v>
      </c>
      <c r="AF162" s="3">
        <f>EOMONTH(tblOrders[[#This Row],[OrderDate_Clean]],0)</f>
        <v>45535</v>
      </c>
      <c r="AG162" s="2" t="s">
        <v>893</v>
      </c>
      <c r="AH162" s="2">
        <f>IF(tblOrders[[#This Row],[Discount]]="",0,IF(ISNUMBER(tblOrders[[#This Row],[Discount]]),tblOrders[[#This Row],[Discount]],VALUE(SUBSTITUTE(TRIM(tblOrders[[#This Row],[Discount]]),"%",""))/100))</f>
        <v>0.1</v>
      </c>
    </row>
    <row r="163" spans="1:34" x14ac:dyDescent="0.25">
      <c r="A163" s="2" t="s">
        <v>453</v>
      </c>
      <c r="B163" s="2" t="s">
        <v>454</v>
      </c>
      <c r="C163" s="2" t="s">
        <v>391</v>
      </c>
      <c r="D163" s="2" t="s">
        <v>194</v>
      </c>
      <c r="E163" s="2" t="s">
        <v>98</v>
      </c>
      <c r="F163" s="2" t="s">
        <v>235</v>
      </c>
      <c r="G163" s="2" t="s">
        <v>268</v>
      </c>
      <c r="H163" s="2" t="s">
        <v>22</v>
      </c>
      <c r="I163" s="2" t="s">
        <v>190</v>
      </c>
      <c r="J163" s="2">
        <v>327.81</v>
      </c>
      <c r="K163" s="2"/>
      <c r="L163" s="2" t="s">
        <v>180</v>
      </c>
      <c r="M163" s="2" t="s">
        <v>144</v>
      </c>
      <c r="N163" s="2" t="s">
        <v>111</v>
      </c>
      <c r="O163" s="2" t="s">
        <v>87</v>
      </c>
      <c r="P163" s="2" t="str">
        <f t="shared" si="18"/>
        <v>Ahmed Garcia</v>
      </c>
      <c r="Q163" s="2" t="str">
        <f>IF(OR(PROPER(TRIM(tblOrders[[#This Row],[Region]]))="Nort",PROPER(TRIM(tblOrders[[#This Row],[Region]]))="Northh"),"North",PROPER(TRIM(tblOrders[[#This Row],[Region]])))</f>
        <v>West</v>
      </c>
      <c r="R163" s="2" t="str">
        <f t="shared" si="19"/>
        <v>Groceries</v>
      </c>
      <c r="S163" s="2" t="str">
        <f t="shared" si="20"/>
        <v>In-Store</v>
      </c>
      <c r="T163" s="2" t="str">
        <f t="shared" si="21"/>
        <v>Credit Card</v>
      </c>
      <c r="U163" s="2" t="str">
        <f t="shared" si="22"/>
        <v>Refunded</v>
      </c>
      <c r="V163" s="2">
        <f t="shared" si="23"/>
        <v>9</v>
      </c>
      <c r="W163" s="2">
        <f t="shared" si="24"/>
        <v>327.81</v>
      </c>
      <c r="X16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45377</v>
      </c>
      <c r="Y163" s="2">
        <f t="shared" si="25"/>
        <v>0</v>
      </c>
      <c r="Z163" s="2" t="str">
        <f>TRIM(CLEAN(tblOrders[[#This Row],[Notes]]))</f>
        <v>Damaged on arrival - replaced</v>
      </c>
      <c r="AA163" s="2" t="str">
        <f t="shared" si="26"/>
        <v>High Value</v>
      </c>
      <c r="AB163" s="2">
        <f>IF(OR(tblOrders[[#This Row],[Quantity_Clean]]="",tblOrders[[#This Row],[UnitPrice_Clean]]=""),0,tblOrders[[#This Row],[Quantity_Clean]]*tblOrders[[#This Row],[UnitPrice_Clean]])</f>
        <v>2950.29</v>
      </c>
      <c r="AC163" s="2" t="str">
        <f>UPPER(TRIM(tblOrders[[#This Row],[OrderID]]))</f>
        <v>ORD-1011</v>
      </c>
      <c r="AD163" s="2">
        <f>VALUE(RIGHT(tblOrders[[#This Row],[OrderID]],4))</f>
        <v>1011</v>
      </c>
      <c r="AE163" s="2" t="str">
        <f>TEXT(tblOrders[[#This Row],[OrderDate_Clean]],"mmm-yyyy")</f>
        <v>Mar-2024</v>
      </c>
      <c r="AF163" s="3">
        <f>EOMONTH(tblOrders[[#This Row],[OrderDate_Clean]],0)</f>
        <v>45382</v>
      </c>
      <c r="AG163" s="2" t="s">
        <v>921</v>
      </c>
      <c r="AH163" s="2">
        <f>IF(tblOrders[[#This Row],[Discount]]="",0,IF(ISNUMBER(tblOrders[[#This Row],[Discount]]),tblOrders[[#This Row],[Discount]],VALUE(SUBSTITUTE(TRIM(tblOrders[[#This Row],[Discount]]),"%",""))/100))</f>
        <v>0</v>
      </c>
    </row>
    <row r="164" spans="1:34" x14ac:dyDescent="0.25">
      <c r="A164" s="2" t="s">
        <v>398</v>
      </c>
      <c r="B164" s="2" t="s">
        <v>399</v>
      </c>
      <c r="C164" s="2" t="s">
        <v>400</v>
      </c>
      <c r="D164" s="2" t="s">
        <v>188</v>
      </c>
      <c r="E164" s="2" t="s">
        <v>32</v>
      </c>
      <c r="F164" s="2" t="s">
        <v>267</v>
      </c>
      <c r="G164" s="2" t="s">
        <v>236</v>
      </c>
      <c r="H164" s="2" t="s">
        <v>178</v>
      </c>
      <c r="I164" s="2">
        <v>3</v>
      </c>
      <c r="J164" s="2">
        <v>322.95999999999998</v>
      </c>
      <c r="K164" s="2" t="s">
        <v>85</v>
      </c>
      <c r="L164" s="2" t="s">
        <v>281</v>
      </c>
      <c r="M164" s="2" t="s">
        <v>144</v>
      </c>
      <c r="N164" s="2" t="s">
        <v>26</v>
      </c>
      <c r="O164" s="2" t="s">
        <v>112</v>
      </c>
      <c r="P164" s="2" t="str">
        <f t="shared" si="18"/>
        <v>Daniel Farooq</v>
      </c>
      <c r="Q164" s="2" t="str">
        <f>IF(OR(PROPER(TRIM(tblOrders[[#This Row],[Region]]))="Nort",PROPER(TRIM(tblOrders[[#This Row],[Region]]))="Northh"),"North",PROPER(TRIM(tblOrders[[#This Row],[Region]])))</f>
        <v>North</v>
      </c>
      <c r="R164" s="2" t="str">
        <f t="shared" si="19"/>
        <v>Groceries</v>
      </c>
      <c r="S164" s="2" t="str">
        <f t="shared" si="20"/>
        <v>Online</v>
      </c>
      <c r="T164" s="2" t="str">
        <f t="shared" si="21"/>
        <v>Credit Card</v>
      </c>
      <c r="U164" s="2" t="str">
        <f t="shared" si="22"/>
        <v>Refunded</v>
      </c>
      <c r="V164" s="2">
        <f t="shared" si="23"/>
        <v>3</v>
      </c>
      <c r="W164" s="2">
        <f t="shared" si="24"/>
        <v>322.95999999999998</v>
      </c>
      <c r="X16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45619</v>
      </c>
      <c r="Y164" s="2" t="str">
        <f t="shared" si="25"/>
        <v>10%</v>
      </c>
      <c r="Z164" s="2" t="str">
        <f>TRIM(CLEAN(tblOrders[[#This Row],[Notes]]))</f>
        <v>Follow up needed</v>
      </c>
      <c r="AA164" s="2" t="str">
        <f t="shared" si="26"/>
        <v>Standard</v>
      </c>
      <c r="AB164" s="2">
        <f>IF(OR(tblOrders[[#This Row],[Quantity_Clean]]="",tblOrders[[#This Row],[UnitPrice_Clean]]=""),0,tblOrders[[#This Row],[Quantity_Clean]]*tblOrders[[#This Row],[UnitPrice_Clean]])</f>
        <v>968.87999999999988</v>
      </c>
      <c r="AC164" s="2" t="str">
        <f>UPPER(TRIM(tblOrders[[#This Row],[OrderID]]))</f>
        <v>ORD-1085</v>
      </c>
      <c r="AD164" s="2">
        <f>VALUE(RIGHT(tblOrders[[#This Row],[OrderID]],4))</f>
        <v>1085</v>
      </c>
      <c r="AE164" s="2" t="str">
        <f>TEXT(tblOrders[[#This Row],[OrderDate_Clean]],"mmm-yyyy")</f>
        <v>Nov-2024</v>
      </c>
      <c r="AF164" s="3">
        <f>EOMONTH(tblOrders[[#This Row],[OrderDate_Clean]],0)</f>
        <v>45626</v>
      </c>
      <c r="AG164" s="2" t="s">
        <v>893</v>
      </c>
      <c r="AH164" s="2">
        <f>IF(tblOrders[[#This Row],[Discount]]="",0,IF(ISNUMBER(tblOrders[[#This Row],[Discount]]),tblOrders[[#This Row],[Discount]],VALUE(SUBSTITUTE(TRIM(tblOrders[[#This Row],[Discount]]),"%",""))/100))</f>
        <v>0.1</v>
      </c>
    </row>
    <row r="165" spans="1:34" x14ac:dyDescent="0.25">
      <c r="A165" s="2" t="s">
        <v>520</v>
      </c>
      <c r="B165" s="2" t="s">
        <v>521</v>
      </c>
      <c r="C165" s="2" t="s">
        <v>522</v>
      </c>
      <c r="D165" s="2" t="s">
        <v>334</v>
      </c>
      <c r="E165" s="2" t="s">
        <v>45</v>
      </c>
      <c r="F165" s="2" t="s">
        <v>77</v>
      </c>
      <c r="G165" s="2" t="s">
        <v>236</v>
      </c>
      <c r="H165" s="2" t="s">
        <v>200</v>
      </c>
      <c r="I165" s="2" t="s">
        <v>364</v>
      </c>
      <c r="J165" s="2">
        <v>299.55</v>
      </c>
      <c r="K165" s="2">
        <v>0</v>
      </c>
      <c r="L165" s="2" t="s">
        <v>180</v>
      </c>
      <c r="M165" s="2" t="s">
        <v>165</v>
      </c>
      <c r="N165" s="2" t="s">
        <v>26</v>
      </c>
      <c r="O165" s="2"/>
      <c r="P165" s="2" t="str">
        <f t="shared" si="18"/>
        <v>Emily Lee</v>
      </c>
      <c r="Q165" s="2" t="str">
        <f>IF(OR(PROPER(TRIM(tblOrders[[#This Row],[Region]]))="Nort",PROPER(TRIM(tblOrders[[#This Row],[Region]]))="Northh"),"North",PROPER(TRIM(tblOrders[[#This Row],[Region]])))</f>
        <v>South</v>
      </c>
      <c r="R165" s="2" t="str">
        <f t="shared" si="19"/>
        <v>Groceries</v>
      </c>
      <c r="S165" s="2" t="str">
        <f t="shared" si="20"/>
        <v>Online</v>
      </c>
      <c r="T165" s="2" t="str">
        <f t="shared" si="21"/>
        <v>Credit Card</v>
      </c>
      <c r="U165" s="2" t="str">
        <f t="shared" si="22"/>
        <v>Cancelled</v>
      </c>
      <c r="V165" s="2">
        <f t="shared" si="23"/>
        <v>11</v>
      </c>
      <c r="W165" s="2">
        <f t="shared" si="24"/>
        <v>299.55</v>
      </c>
      <c r="X16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45495</v>
      </c>
      <c r="Y165" s="2">
        <f t="shared" si="25"/>
        <v>0</v>
      </c>
      <c r="Z165" s="2" t="str">
        <f>TRIM(CLEAN(tblOrders[[#This Row],[Notes]]))</f>
        <v/>
      </c>
      <c r="AA165" s="2" t="str">
        <f t="shared" si="26"/>
        <v>High Value</v>
      </c>
      <c r="AB165" s="2">
        <f>IF(OR(tblOrders[[#This Row],[Quantity_Clean]]="",tblOrders[[#This Row],[UnitPrice_Clean]]=""),0,tblOrders[[#This Row],[Quantity_Clean]]*tblOrders[[#This Row],[UnitPrice_Clean]])</f>
        <v>3295.05</v>
      </c>
      <c r="AC165" s="2" t="str">
        <f>UPPER(TRIM(tblOrders[[#This Row],[OrderID]]))</f>
        <v>ORD-1166</v>
      </c>
      <c r="AD165" s="2">
        <f>VALUE(RIGHT(tblOrders[[#This Row],[OrderID]],4))</f>
        <v>1166</v>
      </c>
      <c r="AE165" s="2" t="str">
        <f>TEXT(tblOrders[[#This Row],[OrderDate_Clean]],"mmm-yyyy")</f>
        <v>Jul-2024</v>
      </c>
      <c r="AF165" s="3">
        <f>EOMONTH(tblOrders[[#This Row],[OrderDate_Clean]],0)</f>
        <v>45504</v>
      </c>
      <c r="AG165" s="2" t="s">
        <v>894</v>
      </c>
      <c r="AH165" s="2">
        <f>IF(tblOrders[[#This Row],[Discount]]="",0,IF(ISNUMBER(tblOrders[[#This Row],[Discount]]),tblOrders[[#This Row],[Discount]],VALUE(SUBSTITUTE(TRIM(tblOrders[[#This Row],[Discount]]),"%",""))/100))</f>
        <v>0</v>
      </c>
    </row>
    <row r="166" spans="1:34" x14ac:dyDescent="0.25">
      <c r="A166" s="2" t="s">
        <v>670</v>
      </c>
      <c r="B166" s="2" t="s">
        <v>671</v>
      </c>
      <c r="C166" s="2" t="s">
        <v>672</v>
      </c>
      <c r="D166" s="2" t="s">
        <v>97</v>
      </c>
      <c r="E166" s="2" t="s">
        <v>98</v>
      </c>
      <c r="F166" s="2" t="s">
        <v>235</v>
      </c>
      <c r="G166" s="2" t="s">
        <v>268</v>
      </c>
      <c r="H166" s="2" t="s">
        <v>48</v>
      </c>
      <c r="I166" s="2" t="s">
        <v>343</v>
      </c>
      <c r="J166" s="2">
        <v>265.39999999999998</v>
      </c>
      <c r="K166" s="2">
        <v>0.2</v>
      </c>
      <c r="L166" s="2" t="s">
        <v>143</v>
      </c>
      <c r="M166" s="2" t="s">
        <v>165</v>
      </c>
      <c r="N166" s="2" t="s">
        <v>50</v>
      </c>
      <c r="O166" s="2"/>
      <c r="P166" s="2" t="str">
        <f t="shared" si="18"/>
        <v>Bilal Brown</v>
      </c>
      <c r="Q166" s="2" t="str">
        <f>IF(OR(PROPER(TRIM(tblOrders[[#This Row],[Region]]))="Nort",PROPER(TRIM(tblOrders[[#This Row],[Region]]))="Northh"),"North",PROPER(TRIM(tblOrders[[#This Row],[Region]])))</f>
        <v>West</v>
      </c>
      <c r="R166" s="2" t="str">
        <f t="shared" si="19"/>
        <v>Groceries</v>
      </c>
      <c r="S166" s="2" t="str">
        <f t="shared" si="20"/>
        <v>In-Store</v>
      </c>
      <c r="T166" s="2" t="str">
        <f t="shared" si="21"/>
        <v>Credit Card</v>
      </c>
      <c r="U166" s="2" t="str">
        <f t="shared" si="22"/>
        <v>Cancelled</v>
      </c>
      <c r="V166" s="2">
        <f t="shared" si="23"/>
        <v>6</v>
      </c>
      <c r="W166" s="2">
        <f t="shared" si="24"/>
        <v>265.39999999999998</v>
      </c>
      <c r="X16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45314</v>
      </c>
      <c r="Y166" s="2">
        <f t="shared" si="25"/>
        <v>0.2</v>
      </c>
      <c r="Z166" s="2" t="str">
        <f>TRIM(CLEAN(tblOrders[[#This Row],[Notes]]))</f>
        <v/>
      </c>
      <c r="AA166" s="2" t="str">
        <f t="shared" si="26"/>
        <v>High Value</v>
      </c>
      <c r="AB166" s="2">
        <f>IF(OR(tblOrders[[#This Row],[Quantity_Clean]]="",tblOrders[[#This Row],[UnitPrice_Clean]]=""),0,tblOrders[[#This Row],[Quantity_Clean]]*tblOrders[[#This Row],[UnitPrice_Clean]])</f>
        <v>1592.3999999999999</v>
      </c>
      <c r="AC166" s="2" t="str">
        <f>UPPER(TRIM(tblOrders[[#This Row],[OrderID]]))</f>
        <v>ORD-1077</v>
      </c>
      <c r="AD166" s="2">
        <f>VALUE(RIGHT(tblOrders[[#This Row],[OrderID]],4))</f>
        <v>1077</v>
      </c>
      <c r="AE166" s="2" t="str">
        <f>TEXT(tblOrders[[#This Row],[OrderDate_Clean]],"mmm-yyyy")</f>
        <v>Jan-2024</v>
      </c>
      <c r="AF166" s="3">
        <f>EOMONTH(tblOrders[[#This Row],[OrderDate_Clean]],0)</f>
        <v>45322</v>
      </c>
      <c r="AG166" s="2" t="s">
        <v>922</v>
      </c>
      <c r="AH166" s="2">
        <f>IF(tblOrders[[#This Row],[Discount]]="",0,IF(ISNUMBER(tblOrders[[#This Row],[Discount]]),tblOrders[[#This Row],[Discount]],VALUE(SUBSTITUTE(TRIM(tblOrders[[#This Row],[Discount]]),"%",""))/100))</f>
        <v>0.2</v>
      </c>
    </row>
    <row r="167" spans="1:34" x14ac:dyDescent="0.25">
      <c r="A167" s="2" t="s">
        <v>348</v>
      </c>
      <c r="B167" s="2" t="s">
        <v>349</v>
      </c>
      <c r="C167" s="2" t="s">
        <v>350</v>
      </c>
      <c r="D167" s="2" t="s">
        <v>31</v>
      </c>
      <c r="E167" s="2" t="s">
        <v>76</v>
      </c>
      <c r="F167" s="2" t="s">
        <v>77</v>
      </c>
      <c r="G167" s="2" t="s">
        <v>137</v>
      </c>
      <c r="H167" s="2" t="s">
        <v>195</v>
      </c>
      <c r="I167" s="2"/>
      <c r="J167" s="2">
        <v>205.17</v>
      </c>
      <c r="K167" s="2">
        <v>0.05</v>
      </c>
      <c r="L167" s="2" t="s">
        <v>180</v>
      </c>
      <c r="M167" s="2" t="s">
        <v>38</v>
      </c>
      <c r="N167" s="2" t="s">
        <v>39</v>
      </c>
      <c r="O167" s="2" t="s">
        <v>126</v>
      </c>
      <c r="P167" s="2" t="str">
        <f t="shared" si="18"/>
        <v>Ahmed Taylor</v>
      </c>
      <c r="Q167" s="2" t="str">
        <f>IF(OR(PROPER(TRIM(tblOrders[[#This Row],[Region]]))="Nort",PROPER(TRIM(tblOrders[[#This Row],[Region]]))="Northh"),"North",PROPER(TRIM(tblOrders[[#This Row],[Region]])))</f>
        <v>North</v>
      </c>
      <c r="R167" s="2" t="str">
        <f t="shared" si="19"/>
        <v>Groceries</v>
      </c>
      <c r="S167" s="2" t="str">
        <f t="shared" si="20"/>
        <v>In-Store</v>
      </c>
      <c r="T167" s="2" t="str">
        <f t="shared" si="21"/>
        <v>Credit Card</v>
      </c>
      <c r="U167" s="2" t="str">
        <f t="shared" si="22"/>
        <v>Cancelled</v>
      </c>
      <c r="V167" s="2" t="str">
        <f t="shared" si="23"/>
        <v/>
      </c>
      <c r="W167" s="2">
        <f t="shared" si="24"/>
        <v>205.17</v>
      </c>
      <c r="X16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45363</v>
      </c>
      <c r="Y167" s="2">
        <f t="shared" si="25"/>
        <v>0.05</v>
      </c>
      <c r="Z167" s="2" t="str">
        <f>TRIM(CLEAN(tblOrders[[#This Row],[Notes]]))</f>
        <v>Gift wrap requested</v>
      </c>
      <c r="AA167" s="2" t="str">
        <f t="shared" si="26"/>
        <v>Review</v>
      </c>
      <c r="AB167" s="2">
        <f>IF(OR(tblOrders[[#This Row],[Quantity_Clean]]="",tblOrders[[#This Row],[UnitPrice_Clean]]=""),0,tblOrders[[#This Row],[Quantity_Clean]]*tblOrders[[#This Row],[UnitPrice_Clean]])</f>
        <v>0</v>
      </c>
      <c r="AC167" s="2" t="str">
        <f>UPPER(TRIM(tblOrders[[#This Row],[OrderID]]))</f>
        <v>ORD-1151</v>
      </c>
      <c r="AD167" s="2">
        <f>VALUE(RIGHT(tblOrders[[#This Row],[OrderID]],4))</f>
        <v>1151</v>
      </c>
      <c r="AE167" s="2" t="str">
        <f>TEXT(tblOrders[[#This Row],[OrderDate_Clean]],"mmm-yyyy")</f>
        <v>Mar-2024</v>
      </c>
      <c r="AF167" s="3">
        <f>EOMONTH(tblOrders[[#This Row],[OrderDate_Clean]],0)</f>
        <v>45382</v>
      </c>
      <c r="AG167" s="2" t="s">
        <v>921</v>
      </c>
      <c r="AH167" s="2">
        <f>IF(tblOrders[[#This Row],[Discount]]="",0,IF(ISNUMBER(tblOrders[[#This Row],[Discount]]),tblOrders[[#This Row],[Discount]],VALUE(SUBSTITUTE(TRIM(tblOrders[[#This Row],[Discount]]),"%",""))/100))</f>
        <v>0.05</v>
      </c>
    </row>
    <row r="168" spans="1:34" x14ac:dyDescent="0.25">
      <c r="A168" s="2" t="s">
        <v>458</v>
      </c>
      <c r="B168" s="2" t="s">
        <v>459</v>
      </c>
      <c r="C168" s="2" t="s">
        <v>460</v>
      </c>
      <c r="D168" s="2" t="s">
        <v>31</v>
      </c>
      <c r="E168" s="2" t="s">
        <v>32</v>
      </c>
      <c r="F168" s="2" t="s">
        <v>77</v>
      </c>
      <c r="G168" s="2" t="s">
        <v>318</v>
      </c>
      <c r="H168" s="2" t="s">
        <v>195</v>
      </c>
      <c r="I168" s="2">
        <v>1</v>
      </c>
      <c r="J168" s="2">
        <v>177.55</v>
      </c>
      <c r="K168" s="2">
        <v>0</v>
      </c>
      <c r="L168" s="2" t="s">
        <v>237</v>
      </c>
      <c r="M168" s="2" t="s">
        <v>144</v>
      </c>
      <c r="N168" s="2" t="s">
        <v>111</v>
      </c>
      <c r="O168" s="2"/>
      <c r="P168" s="2" t="str">
        <f t="shared" si="18"/>
        <v>Umar Farooq</v>
      </c>
      <c r="Q168" s="2" t="str">
        <f>IF(OR(PROPER(TRIM(tblOrders[[#This Row],[Region]]))="Nort",PROPER(TRIM(tblOrders[[#This Row],[Region]]))="Northh"),"North",PROPER(TRIM(tblOrders[[#This Row],[Region]])))</f>
        <v>North</v>
      </c>
      <c r="R168" s="2" t="str">
        <f t="shared" si="19"/>
        <v>Groceries</v>
      </c>
      <c r="S168" s="2" t="str">
        <f t="shared" si="20"/>
        <v>In-Store</v>
      </c>
      <c r="T168" s="2" t="str">
        <f t="shared" si="21"/>
        <v>Bank Transfer</v>
      </c>
      <c r="U168" s="2" t="str">
        <f t="shared" si="22"/>
        <v>Refunded</v>
      </c>
      <c r="V168" s="2">
        <f t="shared" si="23"/>
        <v>1</v>
      </c>
      <c r="W168" s="2">
        <f t="shared" si="24"/>
        <v>177.55</v>
      </c>
      <c r="X16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45399</v>
      </c>
      <c r="Y168" s="2">
        <f t="shared" si="25"/>
        <v>0</v>
      </c>
      <c r="Z168" s="2" t="str">
        <f>TRIM(CLEAN(tblOrders[[#This Row],[Notes]]))</f>
        <v/>
      </c>
      <c r="AA168" s="2" t="str">
        <f t="shared" si="26"/>
        <v>Standard</v>
      </c>
      <c r="AB168" s="2">
        <f>IF(OR(tblOrders[[#This Row],[Quantity_Clean]]="",tblOrders[[#This Row],[UnitPrice_Clean]]=""),0,tblOrders[[#This Row],[Quantity_Clean]]*tblOrders[[#This Row],[UnitPrice_Clean]])</f>
        <v>177.55</v>
      </c>
      <c r="AC168" s="2" t="str">
        <f>UPPER(TRIM(tblOrders[[#This Row],[OrderID]]))</f>
        <v>ORD-1132</v>
      </c>
      <c r="AD168" s="2">
        <f>VALUE(RIGHT(tblOrders[[#This Row],[OrderID]],4))</f>
        <v>1132</v>
      </c>
      <c r="AE168" s="2" t="str">
        <f>TEXT(tblOrders[[#This Row],[OrderDate_Clean]],"mmm-yyyy")</f>
        <v>Apr-2024</v>
      </c>
      <c r="AF168" s="3">
        <f>EOMONTH(tblOrders[[#This Row],[OrderDate_Clean]],0)</f>
        <v>45412</v>
      </c>
      <c r="AG168" s="2" t="s">
        <v>941</v>
      </c>
      <c r="AH168" s="2">
        <f>IF(tblOrders[[#This Row],[Discount]]="",0,IF(ISNUMBER(tblOrders[[#This Row],[Discount]]),tblOrders[[#This Row],[Discount]],VALUE(SUBSTITUTE(TRIM(tblOrders[[#This Row],[Discount]]),"%",""))/100))</f>
        <v>0</v>
      </c>
    </row>
    <row r="169" spans="1:34" x14ac:dyDescent="0.25">
      <c r="A169" s="2" t="s">
        <v>707</v>
      </c>
      <c r="B169" s="2" t="s">
        <v>708</v>
      </c>
      <c r="C169" s="2" t="s">
        <v>709</v>
      </c>
      <c r="D169" s="2" t="s">
        <v>44</v>
      </c>
      <c r="E169" s="2" t="s">
        <v>45</v>
      </c>
      <c r="F169" s="2" t="s">
        <v>267</v>
      </c>
      <c r="G169" s="2" t="s">
        <v>78</v>
      </c>
      <c r="H169" s="2" t="s">
        <v>35</v>
      </c>
      <c r="I169" s="2">
        <v>4</v>
      </c>
      <c r="J169" s="2">
        <v>176.35</v>
      </c>
      <c r="K169" s="2">
        <v>0</v>
      </c>
      <c r="L169" s="2" t="s">
        <v>143</v>
      </c>
      <c r="M169" s="2" t="s">
        <v>144</v>
      </c>
      <c r="N169" s="2"/>
      <c r="O169" s="2" t="s">
        <v>126</v>
      </c>
      <c r="P169" s="2" t="str">
        <f t="shared" si="18"/>
        <v>Chen Clark</v>
      </c>
      <c r="Q169" s="2" t="str">
        <f>IF(OR(PROPER(TRIM(tblOrders[[#This Row],[Region]]))="Nort",PROPER(TRIM(tblOrders[[#This Row],[Region]]))="Northh"),"North",PROPER(TRIM(tblOrders[[#This Row],[Region]])))</f>
        <v>South</v>
      </c>
      <c r="R169" s="2" t="str">
        <f t="shared" si="19"/>
        <v>Groceries</v>
      </c>
      <c r="S169" s="2" t="str">
        <f t="shared" si="20"/>
        <v>In-Store</v>
      </c>
      <c r="T169" s="2" t="str">
        <f t="shared" si="21"/>
        <v>Credit Card</v>
      </c>
      <c r="U169" s="2" t="str">
        <f t="shared" si="22"/>
        <v>Refunded</v>
      </c>
      <c r="V169" s="2">
        <f t="shared" si="23"/>
        <v>4</v>
      </c>
      <c r="W169" s="2">
        <f t="shared" si="24"/>
        <v>176.35</v>
      </c>
      <c r="X16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45506</v>
      </c>
      <c r="Y169" s="2">
        <f t="shared" si="25"/>
        <v>0</v>
      </c>
      <c r="Z169" s="2" t="str">
        <f>TRIM(CLEAN(tblOrders[[#This Row],[Notes]]))</f>
        <v>Gift wrap requested</v>
      </c>
      <c r="AA169" s="2" t="str">
        <f t="shared" si="26"/>
        <v>Standard</v>
      </c>
      <c r="AB169" s="2">
        <f>IF(OR(tblOrders[[#This Row],[Quantity_Clean]]="",tblOrders[[#This Row],[UnitPrice_Clean]]=""),0,tblOrders[[#This Row],[Quantity_Clean]]*tblOrders[[#This Row],[UnitPrice_Clean]])</f>
        <v>705.4</v>
      </c>
      <c r="AC169" s="2" t="str">
        <f>UPPER(TRIM(tblOrders[[#This Row],[OrderID]]))</f>
        <v>ORD-1106</v>
      </c>
      <c r="AD169" s="2">
        <f>VALUE(RIGHT(tblOrders[[#This Row],[OrderID]],4))</f>
        <v>1106</v>
      </c>
      <c r="AE169" s="2" t="str">
        <f>TEXT(tblOrders[[#This Row],[OrderDate_Clean]],"mmm-yyyy")</f>
        <v>Aug-2024</v>
      </c>
      <c r="AF169" s="3">
        <f>EOMONTH(tblOrders[[#This Row],[OrderDate_Clean]],0)</f>
        <v>45535</v>
      </c>
      <c r="AG169" s="2" t="s">
        <v>880</v>
      </c>
      <c r="AH169" s="2">
        <f>IF(tblOrders[[#This Row],[Discount]]="",0,IF(ISNUMBER(tblOrders[[#This Row],[Discount]]),tblOrders[[#This Row],[Discount]],VALUE(SUBSTITUTE(TRIM(tblOrders[[#This Row],[Discount]]),"%",""))/100))</f>
        <v>0</v>
      </c>
    </row>
    <row r="170" spans="1:34" x14ac:dyDescent="0.25">
      <c r="A170" s="2" t="s">
        <v>245</v>
      </c>
      <c r="B170" s="2" t="s">
        <v>246</v>
      </c>
      <c r="C170" s="2" t="s">
        <v>247</v>
      </c>
      <c r="D170" s="2" t="s">
        <v>64</v>
      </c>
      <c r="E170" s="2" t="s">
        <v>65</v>
      </c>
      <c r="F170" s="2" t="s">
        <v>235</v>
      </c>
      <c r="G170" s="2" t="s">
        <v>78</v>
      </c>
      <c r="H170" s="2" t="s">
        <v>35</v>
      </c>
      <c r="I170" s="2">
        <v>6</v>
      </c>
      <c r="J170" s="2">
        <v>175.79</v>
      </c>
      <c r="K170" s="2">
        <v>0</v>
      </c>
      <c r="L170" s="2" t="s">
        <v>102</v>
      </c>
      <c r="M170" s="2" t="s">
        <v>208</v>
      </c>
      <c r="N170" s="2" t="s">
        <v>50</v>
      </c>
      <c r="O170" s="2" t="s">
        <v>27</v>
      </c>
      <c r="P170" s="2" t="str">
        <f t="shared" si="18"/>
        <v>Noah Malik</v>
      </c>
      <c r="Q170" s="2" t="str">
        <f>IF(OR(PROPER(TRIM(tblOrders[[#This Row],[Region]]))="Nort",PROPER(TRIM(tblOrders[[#This Row],[Region]]))="Northh"),"North",PROPER(TRIM(tblOrders[[#This Row],[Region]])))</f>
        <v>West</v>
      </c>
      <c r="R170" s="2" t="str">
        <f t="shared" si="19"/>
        <v>Groceries</v>
      </c>
      <c r="S170" s="2" t="str">
        <f t="shared" si="20"/>
        <v>In-Store</v>
      </c>
      <c r="T170" s="2" t="str">
        <f t="shared" si="21"/>
        <v>Cash</v>
      </c>
      <c r="U170" s="2" t="str">
        <f t="shared" si="22"/>
        <v>Completed</v>
      </c>
      <c r="V170" s="2">
        <f t="shared" si="23"/>
        <v>6</v>
      </c>
      <c r="W170" s="2">
        <f t="shared" si="24"/>
        <v>175.79</v>
      </c>
      <c r="X17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45376</v>
      </c>
      <c r="Y170" s="2">
        <f t="shared" si="25"/>
        <v>0</v>
      </c>
      <c r="Z170" s="2" t="str">
        <f>TRIM(CLEAN(tblOrders[[#This Row],[Notes]]))</f>
        <v>Customer called twice</v>
      </c>
      <c r="AA170" s="2" t="str">
        <f t="shared" si="26"/>
        <v>High Value</v>
      </c>
      <c r="AB170" s="2">
        <f>IF(OR(tblOrders[[#This Row],[Quantity_Clean]]="",tblOrders[[#This Row],[UnitPrice_Clean]]=""),0,tblOrders[[#This Row],[Quantity_Clean]]*tblOrders[[#This Row],[UnitPrice_Clean]])</f>
        <v>1054.74</v>
      </c>
      <c r="AC170" s="2" t="str">
        <f>UPPER(TRIM(tblOrders[[#This Row],[OrderID]]))</f>
        <v>ORD-1210</v>
      </c>
      <c r="AD170" s="2">
        <f>VALUE(RIGHT(tblOrders[[#This Row],[OrderID]],4))</f>
        <v>1210</v>
      </c>
      <c r="AE170" s="2" t="str">
        <f>TEXT(tblOrders[[#This Row],[OrderDate_Clean]],"mmm-yyyy")</f>
        <v>Mar-2024</v>
      </c>
      <c r="AF170" s="3">
        <f>EOMONTH(tblOrders[[#This Row],[OrderDate_Clean]],0)</f>
        <v>45382</v>
      </c>
      <c r="AG170" s="2" t="s">
        <v>942</v>
      </c>
      <c r="AH170" s="2">
        <f>IF(tblOrders[[#This Row],[Discount]]="",0,IF(ISNUMBER(tblOrders[[#This Row],[Discount]]),tblOrders[[#This Row],[Discount]],VALUE(SUBSTITUTE(TRIM(tblOrders[[#This Row],[Discount]]),"%",""))/100))</f>
        <v>0</v>
      </c>
    </row>
    <row r="171" spans="1:34" x14ac:dyDescent="0.25">
      <c r="A171" s="2" t="s">
        <v>730</v>
      </c>
      <c r="B171" s="2" t="s">
        <v>731</v>
      </c>
      <c r="C171" s="2" t="s">
        <v>732</v>
      </c>
      <c r="D171" s="2" t="s">
        <v>116</v>
      </c>
      <c r="E171" s="2" t="s">
        <v>117</v>
      </c>
      <c r="F171" s="2" t="s">
        <v>235</v>
      </c>
      <c r="G171" s="2" t="s">
        <v>137</v>
      </c>
      <c r="H171" s="2" t="s">
        <v>108</v>
      </c>
      <c r="I171" s="2">
        <v>10</v>
      </c>
      <c r="J171" s="2">
        <v>104.42</v>
      </c>
      <c r="K171" s="2">
        <v>0.1</v>
      </c>
      <c r="L171" s="2" t="s">
        <v>260</v>
      </c>
      <c r="M171" s="2" t="s">
        <v>70</v>
      </c>
      <c r="N171" s="2"/>
      <c r="O171" s="2" t="s">
        <v>40</v>
      </c>
      <c r="P171" s="2" t="str">
        <f t="shared" si="18"/>
        <v>Maria Smith</v>
      </c>
      <c r="Q171" s="2" t="str">
        <f>IF(OR(PROPER(TRIM(tblOrders[[#This Row],[Region]]))="Nort",PROPER(TRIM(tblOrders[[#This Row],[Region]]))="Northh"),"North",PROPER(TRIM(tblOrders[[#This Row],[Region]])))</f>
        <v>East</v>
      </c>
      <c r="R171" s="2" t="str">
        <f t="shared" si="19"/>
        <v>Groceries</v>
      </c>
      <c r="S171" s="2" t="str">
        <f t="shared" si="20"/>
        <v>In-Store</v>
      </c>
      <c r="T171" s="2" t="str">
        <f t="shared" si="21"/>
        <v>Credit Card</v>
      </c>
      <c r="U171" s="2" t="str">
        <f t="shared" si="22"/>
        <v>Refunded</v>
      </c>
      <c r="V171" s="2">
        <f t="shared" si="23"/>
        <v>10</v>
      </c>
      <c r="W171" s="2">
        <f t="shared" si="24"/>
        <v>104.42</v>
      </c>
      <c r="X17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45616</v>
      </c>
      <c r="Y171" s="2">
        <f t="shared" si="25"/>
        <v>0.1</v>
      </c>
      <c r="Z171" s="2" t="str">
        <f>TRIM(CLEAN(tblOrders[[#This Row],[Notes]]))</f>
        <v>VIP customer</v>
      </c>
      <c r="AA171" s="2" t="str">
        <f t="shared" si="26"/>
        <v>High Value</v>
      </c>
      <c r="AB171" s="2">
        <f>IF(OR(tblOrders[[#This Row],[Quantity_Clean]]="",tblOrders[[#This Row],[UnitPrice_Clean]]=""),0,tblOrders[[#This Row],[Quantity_Clean]]*tblOrders[[#This Row],[UnitPrice_Clean]])</f>
        <v>1044.2</v>
      </c>
      <c r="AC171" s="2" t="str">
        <f>UPPER(TRIM(tblOrders[[#This Row],[OrderID]]))</f>
        <v>ORD-1122</v>
      </c>
      <c r="AD171" s="2">
        <f>VALUE(RIGHT(tblOrders[[#This Row],[OrderID]],4))</f>
        <v>1122</v>
      </c>
      <c r="AE171" s="2" t="str">
        <f>TEXT(tblOrders[[#This Row],[OrderDate_Clean]],"mmm-yyyy")</f>
        <v>Nov-2024</v>
      </c>
      <c r="AF171" s="3">
        <f>EOMONTH(tblOrders[[#This Row],[OrderDate_Clean]],0)</f>
        <v>45626</v>
      </c>
      <c r="AG171" s="2" t="s">
        <v>937</v>
      </c>
      <c r="AH171" s="2">
        <f>IF(tblOrders[[#This Row],[Discount]]="",0,IF(ISNUMBER(tblOrders[[#This Row],[Discount]]),tblOrders[[#This Row],[Discount]],VALUE(SUBSTITUTE(TRIM(tblOrders[[#This Row],[Discount]]),"%",""))/100))</f>
        <v>0.1</v>
      </c>
    </row>
    <row r="172" spans="1:34" x14ac:dyDescent="0.25">
      <c r="A172" s="2" t="s">
        <v>730</v>
      </c>
      <c r="B172" s="2" t="s">
        <v>731</v>
      </c>
      <c r="C172" s="2" t="s">
        <v>732</v>
      </c>
      <c r="D172" s="2" t="s">
        <v>116</v>
      </c>
      <c r="E172" s="2" t="s">
        <v>117</v>
      </c>
      <c r="F172" s="2" t="s">
        <v>235</v>
      </c>
      <c r="G172" s="2" t="s">
        <v>137</v>
      </c>
      <c r="H172" s="2" t="s">
        <v>108</v>
      </c>
      <c r="I172" s="2">
        <v>10</v>
      </c>
      <c r="J172" s="2">
        <v>104.42</v>
      </c>
      <c r="K172" s="2">
        <v>0.1</v>
      </c>
      <c r="L172" s="2" t="s">
        <v>260</v>
      </c>
      <c r="M172" s="2" t="s">
        <v>70</v>
      </c>
      <c r="N172" s="2"/>
      <c r="O172" s="2" t="s">
        <v>40</v>
      </c>
      <c r="P172" s="2" t="str">
        <f t="shared" si="18"/>
        <v>Maria Smith</v>
      </c>
      <c r="Q172" s="2" t="str">
        <f>IF(OR(PROPER(TRIM(tblOrders[[#This Row],[Region]]))="Nort",PROPER(TRIM(tblOrders[[#This Row],[Region]]))="Northh"),"North",PROPER(TRIM(tblOrders[[#This Row],[Region]])))</f>
        <v>East</v>
      </c>
      <c r="R172" s="2" t="str">
        <f t="shared" si="19"/>
        <v>Groceries</v>
      </c>
      <c r="S172" s="2" t="str">
        <f t="shared" si="20"/>
        <v>In-Store</v>
      </c>
      <c r="T172" s="2" t="str">
        <f t="shared" si="21"/>
        <v>Credit Card</v>
      </c>
      <c r="U172" s="2" t="str">
        <f t="shared" si="22"/>
        <v>Refunded</v>
      </c>
      <c r="V172" s="2">
        <f t="shared" si="23"/>
        <v>10</v>
      </c>
      <c r="W172" s="2">
        <f t="shared" si="24"/>
        <v>104.42</v>
      </c>
      <c r="X17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45616</v>
      </c>
      <c r="Y172" s="2">
        <f t="shared" si="25"/>
        <v>0.1</v>
      </c>
      <c r="Z172" s="2" t="str">
        <f>TRIM(CLEAN(tblOrders[[#This Row],[Notes]]))</f>
        <v>VIP customer</v>
      </c>
      <c r="AA172" s="2" t="str">
        <f t="shared" si="26"/>
        <v>High Value</v>
      </c>
      <c r="AB172" s="2">
        <f>IF(OR(tblOrders[[#This Row],[Quantity_Clean]]="",tblOrders[[#This Row],[UnitPrice_Clean]]=""),0,tblOrders[[#This Row],[Quantity_Clean]]*tblOrders[[#This Row],[UnitPrice_Clean]])</f>
        <v>1044.2</v>
      </c>
      <c r="AC172" s="2" t="str">
        <f>UPPER(TRIM(tblOrders[[#This Row],[OrderID]]))</f>
        <v>ORD-1122</v>
      </c>
      <c r="AD172" s="2">
        <f>VALUE(RIGHT(tblOrders[[#This Row],[OrderID]],4))</f>
        <v>1122</v>
      </c>
      <c r="AE172" s="2" t="str">
        <f>TEXT(tblOrders[[#This Row],[OrderDate_Clean]],"mmm-yyyy")</f>
        <v>Nov-2024</v>
      </c>
      <c r="AF172" s="3">
        <f>EOMONTH(tblOrders[[#This Row],[OrderDate_Clean]],0)</f>
        <v>45626</v>
      </c>
      <c r="AG172" s="2" t="s">
        <v>937</v>
      </c>
      <c r="AH172" s="2">
        <f>IF(tblOrders[[#This Row],[Discount]]="",0,IF(ISNUMBER(tblOrders[[#This Row],[Discount]]),tblOrders[[#This Row],[Discount]],VALUE(SUBSTITUTE(TRIM(tblOrders[[#This Row],[Discount]]),"%",""))/100))</f>
        <v>0.1</v>
      </c>
    </row>
    <row r="173" spans="1:34" x14ac:dyDescent="0.25">
      <c r="A173" s="2" t="s">
        <v>232</v>
      </c>
      <c r="B173" s="2" t="s">
        <v>233</v>
      </c>
      <c r="C173" s="2" t="s">
        <v>234</v>
      </c>
      <c r="D173" s="2" t="s">
        <v>162</v>
      </c>
      <c r="E173" s="2" t="s">
        <v>19</v>
      </c>
      <c r="F173" s="2" t="s">
        <v>235</v>
      </c>
      <c r="G173" s="2" t="s">
        <v>236</v>
      </c>
      <c r="H173" s="2" t="s">
        <v>178</v>
      </c>
      <c r="I173" s="2">
        <v>5</v>
      </c>
      <c r="J173" s="2">
        <v>97.83</v>
      </c>
      <c r="K173" s="2">
        <v>0.15</v>
      </c>
      <c r="L173" s="2" t="s">
        <v>237</v>
      </c>
      <c r="M173" s="2" t="s">
        <v>25</v>
      </c>
      <c r="N173" s="2"/>
      <c r="O173" s="2" t="s">
        <v>51</v>
      </c>
      <c r="P173" s="2" t="str">
        <f t="shared" si="18"/>
        <v>Fatima Raza</v>
      </c>
      <c r="Q173" s="2" t="str">
        <f>IF(OR(PROPER(TRIM(tblOrders[[#This Row],[Region]]))="Nort",PROPER(TRIM(tblOrders[[#This Row],[Region]]))="Northh"),"North",PROPER(TRIM(tblOrders[[#This Row],[Region]])))</f>
        <v>East</v>
      </c>
      <c r="R173" s="2" t="str">
        <f t="shared" si="19"/>
        <v>Groceries</v>
      </c>
      <c r="S173" s="2" t="str">
        <f t="shared" si="20"/>
        <v>Online</v>
      </c>
      <c r="T173" s="2" t="str">
        <f t="shared" si="21"/>
        <v>Bank Transfer</v>
      </c>
      <c r="U173" s="2" t="str">
        <f t="shared" si="22"/>
        <v>Completed</v>
      </c>
      <c r="V173" s="2">
        <f t="shared" si="23"/>
        <v>5</v>
      </c>
      <c r="W173" s="2">
        <f t="shared" si="24"/>
        <v>97.83</v>
      </c>
      <c r="X17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45465</v>
      </c>
      <c r="Y173" s="2">
        <f t="shared" si="25"/>
        <v>0.15</v>
      </c>
      <c r="Z173" s="2" t="str">
        <f>TRIM(CLEAN(tblOrders[[#This Row],[Notes]]))</f>
        <v/>
      </c>
      <c r="AA173" s="2" t="str">
        <f t="shared" si="26"/>
        <v>Standard</v>
      </c>
      <c r="AB173" s="2">
        <f>IF(OR(tblOrders[[#This Row],[Quantity_Clean]]="",tblOrders[[#This Row],[UnitPrice_Clean]]=""),0,tblOrders[[#This Row],[Quantity_Clean]]*tblOrders[[#This Row],[UnitPrice_Clean]])</f>
        <v>489.15</v>
      </c>
      <c r="AC173" s="2" t="str">
        <f>UPPER(TRIM(tblOrders[[#This Row],[OrderID]]))</f>
        <v>ORD-1190</v>
      </c>
      <c r="AD173" s="2">
        <f>VALUE(RIGHT(tblOrders[[#This Row],[OrderID]],4))</f>
        <v>1190</v>
      </c>
      <c r="AE173" s="2" t="str">
        <f>TEXT(tblOrders[[#This Row],[OrderDate_Clean]],"mmm-yyyy")</f>
        <v>Jun-2024</v>
      </c>
      <c r="AF173" s="3">
        <f>EOMONTH(tblOrders[[#This Row],[OrderDate_Clean]],0)</f>
        <v>45473</v>
      </c>
      <c r="AG173" s="2" t="s">
        <v>902</v>
      </c>
      <c r="AH173" s="2">
        <f>IF(tblOrders[[#This Row],[Discount]]="",0,IF(ISNUMBER(tblOrders[[#This Row],[Discount]]),tblOrders[[#This Row],[Discount]],VALUE(SUBSTITUTE(TRIM(tblOrders[[#This Row],[Discount]]),"%",""))/100))</f>
        <v>0.15</v>
      </c>
    </row>
    <row r="174" spans="1:34" x14ac:dyDescent="0.25">
      <c r="A174" s="2" t="s">
        <v>552</v>
      </c>
      <c r="B174" s="2" t="s">
        <v>553</v>
      </c>
      <c r="C174" s="2" t="s">
        <v>554</v>
      </c>
      <c r="D174" s="2" t="s">
        <v>152</v>
      </c>
      <c r="E174" s="2" t="s">
        <v>117</v>
      </c>
      <c r="F174" s="2" t="s">
        <v>267</v>
      </c>
      <c r="G174" s="2" t="s">
        <v>137</v>
      </c>
      <c r="H174" s="2" t="s">
        <v>195</v>
      </c>
      <c r="I174" s="2">
        <v>8</v>
      </c>
      <c r="J174" s="2">
        <v>92.01</v>
      </c>
      <c r="K174" s="2">
        <v>0.05</v>
      </c>
      <c r="L174" s="2" t="s">
        <v>102</v>
      </c>
      <c r="M174" s="2" t="s">
        <v>25</v>
      </c>
      <c r="N174" s="2" t="s">
        <v>71</v>
      </c>
      <c r="O174" s="2" t="s">
        <v>27</v>
      </c>
      <c r="P174" s="2" t="str">
        <f t="shared" si="18"/>
        <v>Bilal Hussain</v>
      </c>
      <c r="Q174" s="2" t="str">
        <f>IF(OR(PROPER(TRIM(tblOrders[[#This Row],[Region]]))="Nort",PROPER(TRIM(tblOrders[[#This Row],[Region]]))="Northh"),"North",PROPER(TRIM(tblOrders[[#This Row],[Region]])))</f>
        <v>East</v>
      </c>
      <c r="R174" s="2" t="str">
        <f t="shared" si="19"/>
        <v>Groceries</v>
      </c>
      <c r="S174" s="2" t="str">
        <f t="shared" si="20"/>
        <v>In-Store</v>
      </c>
      <c r="T174" s="2" t="str">
        <f t="shared" si="21"/>
        <v>Cash</v>
      </c>
      <c r="U174" s="2" t="str">
        <f t="shared" si="22"/>
        <v>Completed</v>
      </c>
      <c r="V174" s="2">
        <f t="shared" si="23"/>
        <v>8</v>
      </c>
      <c r="W174" s="2">
        <f t="shared" si="24"/>
        <v>92.01</v>
      </c>
      <c r="X17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45612</v>
      </c>
      <c r="Y174" s="2">
        <f t="shared" si="25"/>
        <v>0.05</v>
      </c>
      <c r="Z174" s="2" t="str">
        <f>TRIM(CLEAN(tblOrders[[#This Row],[Notes]]))</f>
        <v>Customer called twice</v>
      </c>
      <c r="AA174" s="2" t="str">
        <f t="shared" si="26"/>
        <v>Standard</v>
      </c>
      <c r="AB174" s="2">
        <f>IF(OR(tblOrders[[#This Row],[Quantity_Clean]]="",tblOrders[[#This Row],[UnitPrice_Clean]]=""),0,tblOrders[[#This Row],[Quantity_Clean]]*tblOrders[[#This Row],[UnitPrice_Clean]])</f>
        <v>736.08</v>
      </c>
      <c r="AC174" s="2" t="str">
        <f>UPPER(TRIM(tblOrders[[#This Row],[OrderID]]))</f>
        <v>ORD-1206</v>
      </c>
      <c r="AD174" s="2">
        <f>VALUE(RIGHT(tblOrders[[#This Row],[OrderID]],4))</f>
        <v>1206</v>
      </c>
      <c r="AE174" s="2" t="str">
        <f>TEXT(tblOrders[[#This Row],[OrderDate_Clean]],"mmm-yyyy")</f>
        <v>Nov-2024</v>
      </c>
      <c r="AF174" s="3">
        <f>EOMONTH(tblOrders[[#This Row],[OrderDate_Clean]],0)</f>
        <v>45626</v>
      </c>
      <c r="AG174" s="2" t="s">
        <v>922</v>
      </c>
      <c r="AH174" s="2">
        <f>IF(tblOrders[[#This Row],[Discount]]="",0,IF(ISNUMBER(tblOrders[[#This Row],[Discount]]),tblOrders[[#This Row],[Discount]],VALUE(SUBSTITUTE(TRIM(tblOrders[[#This Row],[Discount]]),"%",""))/100))</f>
        <v>0.05</v>
      </c>
    </row>
    <row r="175" spans="1:34" x14ac:dyDescent="0.25">
      <c r="A175" s="2" t="s">
        <v>361</v>
      </c>
      <c r="B175" s="2" t="s">
        <v>362</v>
      </c>
      <c r="C175" s="2" t="s">
        <v>363</v>
      </c>
      <c r="D175" s="2" t="s">
        <v>212</v>
      </c>
      <c r="E175" s="2" t="s">
        <v>65</v>
      </c>
      <c r="F175" s="2" t="s">
        <v>235</v>
      </c>
      <c r="G175" s="2" t="s">
        <v>137</v>
      </c>
      <c r="H175" s="2" t="s">
        <v>178</v>
      </c>
      <c r="I175" s="2" t="s">
        <v>364</v>
      </c>
      <c r="J175" s="2">
        <v>63.34</v>
      </c>
      <c r="K175" s="2"/>
      <c r="L175" s="2" t="s">
        <v>37</v>
      </c>
      <c r="M175" s="2" t="s">
        <v>208</v>
      </c>
      <c r="N175" s="2" t="s">
        <v>26</v>
      </c>
      <c r="O175" s="2" t="s">
        <v>112</v>
      </c>
      <c r="P175" s="2" t="str">
        <f t="shared" si="18"/>
        <v>Tom Taylor</v>
      </c>
      <c r="Q175" s="2" t="str">
        <f>IF(OR(PROPER(TRIM(tblOrders[[#This Row],[Region]]))="Nort",PROPER(TRIM(tblOrders[[#This Row],[Region]]))="Northh"),"North",PROPER(TRIM(tblOrders[[#This Row],[Region]])))</f>
        <v>West</v>
      </c>
      <c r="R175" s="2" t="str">
        <f t="shared" si="19"/>
        <v>Groceries</v>
      </c>
      <c r="S175" s="2" t="str">
        <f t="shared" si="20"/>
        <v>Online</v>
      </c>
      <c r="T175" s="2" t="str">
        <f t="shared" si="21"/>
        <v>Bank Transfer</v>
      </c>
      <c r="U175" s="2" t="str">
        <f t="shared" si="22"/>
        <v>Completed</v>
      </c>
      <c r="V175" s="2">
        <f t="shared" si="23"/>
        <v>11</v>
      </c>
      <c r="W175" s="2">
        <f t="shared" si="24"/>
        <v>63.34</v>
      </c>
      <c r="X17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45490</v>
      </c>
      <c r="Y175" s="2">
        <f t="shared" si="25"/>
        <v>0</v>
      </c>
      <c r="Z175" s="2" t="str">
        <f>TRIM(CLEAN(tblOrders[[#This Row],[Notes]]))</f>
        <v>Follow up needed</v>
      </c>
      <c r="AA175" s="2" t="str">
        <f t="shared" si="26"/>
        <v>Standard</v>
      </c>
      <c r="AB175" s="2">
        <f>IF(OR(tblOrders[[#This Row],[Quantity_Clean]]="",tblOrders[[#This Row],[UnitPrice_Clean]]=""),0,tblOrders[[#This Row],[Quantity_Clean]]*tblOrders[[#This Row],[UnitPrice_Clean]])</f>
        <v>696.74</v>
      </c>
      <c r="AC175" s="2" t="str">
        <f>UPPER(TRIM(tblOrders[[#This Row],[OrderID]]))</f>
        <v>ORD-1129</v>
      </c>
      <c r="AD175" s="2">
        <f>VALUE(RIGHT(tblOrders[[#This Row],[OrderID]],4))</f>
        <v>1129</v>
      </c>
      <c r="AE175" s="2" t="str">
        <f>TEXT(tblOrders[[#This Row],[OrderDate_Clean]],"mmm-yyyy")</f>
        <v>Jul-2024</v>
      </c>
      <c r="AF175" s="3">
        <f>EOMONTH(tblOrders[[#This Row],[OrderDate_Clean]],0)</f>
        <v>45504</v>
      </c>
      <c r="AG175" s="2" t="s">
        <v>919</v>
      </c>
      <c r="AH175" s="2">
        <f>IF(tblOrders[[#This Row],[Discount]]="",0,IF(ISNUMBER(tblOrders[[#This Row],[Discount]]),tblOrders[[#This Row],[Discount]],VALUE(SUBSTITUTE(TRIM(tblOrders[[#This Row],[Discount]]),"%",""))/100))</f>
        <v>0</v>
      </c>
    </row>
    <row r="176" spans="1:34" x14ac:dyDescent="0.25">
      <c r="A176" s="2" t="s">
        <v>572</v>
      </c>
      <c r="B176" s="2" t="s">
        <v>321</v>
      </c>
      <c r="C176" s="2" t="s">
        <v>573</v>
      </c>
      <c r="D176" s="2" t="s">
        <v>212</v>
      </c>
      <c r="E176" s="2" t="s">
        <v>65</v>
      </c>
      <c r="F176" s="2" t="s">
        <v>235</v>
      </c>
      <c r="G176" s="2" t="s">
        <v>318</v>
      </c>
      <c r="H176" s="2" t="s">
        <v>68</v>
      </c>
      <c r="I176" s="2">
        <v>5</v>
      </c>
      <c r="J176" s="2">
        <v>54.99</v>
      </c>
      <c r="K176" s="2" t="s">
        <v>138</v>
      </c>
      <c r="L176" s="2" t="s">
        <v>69</v>
      </c>
      <c r="M176" s="2" t="s">
        <v>60</v>
      </c>
      <c r="N176" s="2" t="s">
        <v>26</v>
      </c>
      <c r="O176" s="2" t="s">
        <v>171</v>
      </c>
      <c r="P176" s="2" t="str">
        <f t="shared" si="18"/>
        <v>Bilal Ali</v>
      </c>
      <c r="Q176" s="2" t="str">
        <f>IF(OR(PROPER(TRIM(tblOrders[[#This Row],[Region]]))="Nort",PROPER(TRIM(tblOrders[[#This Row],[Region]]))="Northh"),"North",PROPER(TRIM(tblOrders[[#This Row],[Region]])))</f>
        <v>West</v>
      </c>
      <c r="R176" s="2" t="str">
        <f t="shared" si="19"/>
        <v>Groceries</v>
      </c>
      <c r="S176" s="2" t="str">
        <f t="shared" si="20"/>
        <v>Online</v>
      </c>
      <c r="T176" s="2" t="str">
        <f t="shared" si="21"/>
        <v>Debit Card</v>
      </c>
      <c r="U176" s="2" t="str">
        <f t="shared" si="22"/>
        <v>Completed</v>
      </c>
      <c r="V176" s="2">
        <f t="shared" si="23"/>
        <v>5</v>
      </c>
      <c r="W176" s="2">
        <f t="shared" si="24"/>
        <v>54.99</v>
      </c>
      <c r="X17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45608</v>
      </c>
      <c r="Y176" s="2" t="str">
        <f t="shared" si="25"/>
        <v>5%</v>
      </c>
      <c r="Z176" s="2" t="str">
        <f>TRIM(CLEAN(tblOrders[[#This Row],[Notes]]))</f>
        <v>Leave at front desk</v>
      </c>
      <c r="AA176" s="2" t="str">
        <f t="shared" si="26"/>
        <v>Standard</v>
      </c>
      <c r="AB176" s="2">
        <f>IF(OR(tblOrders[[#This Row],[Quantity_Clean]]="",tblOrders[[#This Row],[UnitPrice_Clean]]=""),0,tblOrders[[#This Row],[Quantity_Clean]]*tblOrders[[#This Row],[UnitPrice_Clean]])</f>
        <v>274.95</v>
      </c>
      <c r="AC176" s="2" t="str">
        <f>UPPER(TRIM(tblOrders[[#This Row],[OrderID]]))</f>
        <v>ORD-1181</v>
      </c>
      <c r="AD176" s="2">
        <f>VALUE(RIGHT(tblOrders[[#This Row],[OrderID]],4))</f>
        <v>1181</v>
      </c>
      <c r="AE176" s="2" t="str">
        <f>TEXT(tblOrders[[#This Row],[OrderDate_Clean]],"mmm-yyyy")</f>
        <v>Nov-2024</v>
      </c>
      <c r="AF176" s="3">
        <f>EOMONTH(tblOrders[[#This Row],[OrderDate_Clean]],0)</f>
        <v>45626</v>
      </c>
      <c r="AG176" s="2" t="s">
        <v>923</v>
      </c>
      <c r="AH176" s="2">
        <f>IF(tblOrders[[#This Row],[Discount]]="",0,IF(ISNUMBER(tblOrders[[#This Row],[Discount]]),tblOrders[[#This Row],[Discount]],VALUE(SUBSTITUTE(TRIM(tblOrders[[#This Row],[Discount]]),"%",""))/100))</f>
        <v>0.05</v>
      </c>
    </row>
    <row r="177" spans="1:34" x14ac:dyDescent="0.25">
      <c r="A177" s="2" t="s">
        <v>464</v>
      </c>
      <c r="B177" s="2" t="s">
        <v>465</v>
      </c>
      <c r="C177" s="2" t="s">
        <v>466</v>
      </c>
      <c r="D177" s="2" t="s">
        <v>64</v>
      </c>
      <c r="E177" s="2"/>
      <c r="F177" s="2" t="s">
        <v>267</v>
      </c>
      <c r="G177" s="2" t="s">
        <v>318</v>
      </c>
      <c r="H177" s="2" t="s">
        <v>200</v>
      </c>
      <c r="I177" s="2">
        <v>10</v>
      </c>
      <c r="J177" s="2">
        <v>30.02</v>
      </c>
      <c r="K177" s="2">
        <v>0.15</v>
      </c>
      <c r="L177" s="2" t="s">
        <v>260</v>
      </c>
      <c r="M177" s="2" t="s">
        <v>201</v>
      </c>
      <c r="N177" s="2" t="s">
        <v>39</v>
      </c>
      <c r="O177" s="2" t="s">
        <v>112</v>
      </c>
      <c r="P177" s="2" t="str">
        <f t="shared" si="18"/>
        <v>Aisha Clark</v>
      </c>
      <c r="Q177" s="2" t="str">
        <f>IF(OR(PROPER(TRIM(tblOrders[[#This Row],[Region]]))="Nort",PROPER(TRIM(tblOrders[[#This Row],[Region]]))="Northh"),"North",PROPER(TRIM(tblOrders[[#This Row],[Region]])))</f>
        <v>West</v>
      </c>
      <c r="R177" s="2" t="str">
        <f t="shared" si="19"/>
        <v>Groceries</v>
      </c>
      <c r="S177" s="2" t="str">
        <f t="shared" si="20"/>
        <v>Online</v>
      </c>
      <c r="T177" s="2" t="str">
        <f t="shared" si="21"/>
        <v>Credit Card</v>
      </c>
      <c r="U177" s="2" t="str">
        <f t="shared" si="22"/>
        <v>Pending</v>
      </c>
      <c r="V177" s="2">
        <f t="shared" si="23"/>
        <v>10</v>
      </c>
      <c r="W177" s="2">
        <f t="shared" si="24"/>
        <v>30.02</v>
      </c>
      <c r="X17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45347</v>
      </c>
      <c r="Y177" s="2">
        <f t="shared" si="25"/>
        <v>0.15</v>
      </c>
      <c r="Z177" s="2" t="str">
        <f>TRIM(CLEAN(tblOrders[[#This Row],[Notes]]))</f>
        <v>Follow up needed</v>
      </c>
      <c r="AA177" s="2" t="str">
        <f t="shared" si="26"/>
        <v>Standard</v>
      </c>
      <c r="AB177" s="2">
        <f>IF(OR(tblOrders[[#This Row],[Quantity_Clean]]="",tblOrders[[#This Row],[UnitPrice_Clean]]=""),0,tblOrders[[#This Row],[Quantity_Clean]]*tblOrders[[#This Row],[UnitPrice_Clean]])</f>
        <v>300.2</v>
      </c>
      <c r="AC177" s="2" t="str">
        <f>UPPER(TRIM(tblOrders[[#This Row],[OrderID]]))</f>
        <v>ORD-1090</v>
      </c>
      <c r="AD177" s="2">
        <f>VALUE(RIGHT(tblOrders[[#This Row],[OrderID]],4))</f>
        <v>1090</v>
      </c>
      <c r="AE177" s="2" t="str">
        <f>TEXT(tblOrders[[#This Row],[OrderDate_Clean]],"mmm-yyyy")</f>
        <v>Feb-2024</v>
      </c>
      <c r="AF177" s="3">
        <f>EOMONTH(tblOrders[[#This Row],[OrderDate_Clean]],0)</f>
        <v>45351</v>
      </c>
      <c r="AG177" s="2" t="s">
        <v>943</v>
      </c>
      <c r="AH177" s="2">
        <f>IF(tblOrders[[#This Row],[Discount]]="",0,IF(ISNUMBER(tblOrders[[#This Row],[Discount]]),tblOrders[[#This Row],[Discount]],VALUE(SUBSTITUTE(TRIM(tblOrders[[#This Row],[Discount]]),"%",""))/100))</f>
        <v>0.15</v>
      </c>
    </row>
    <row r="178" spans="1:34" x14ac:dyDescent="0.25">
      <c r="A178" s="2" t="s">
        <v>640</v>
      </c>
      <c r="B178" s="2" t="s">
        <v>641</v>
      </c>
      <c r="C178" s="2" t="s">
        <v>642</v>
      </c>
      <c r="D178" s="2" t="s">
        <v>212</v>
      </c>
      <c r="E178" s="2" t="s">
        <v>98</v>
      </c>
      <c r="F178" s="2" t="s">
        <v>267</v>
      </c>
      <c r="G178" s="2" t="s">
        <v>137</v>
      </c>
      <c r="H178" s="2" t="s">
        <v>178</v>
      </c>
      <c r="I178" s="2">
        <v>8</v>
      </c>
      <c r="J178" s="2">
        <v>13.8</v>
      </c>
      <c r="K178" s="2"/>
      <c r="L178" s="2" t="s">
        <v>102</v>
      </c>
      <c r="M178" s="2" t="s">
        <v>86</v>
      </c>
      <c r="N178" s="2" t="s">
        <v>39</v>
      </c>
      <c r="O178" s="2" t="s">
        <v>171</v>
      </c>
      <c r="P178" s="2" t="str">
        <f t="shared" si="18"/>
        <v>Kate Ahmed</v>
      </c>
      <c r="Q178" s="2" t="str">
        <f>IF(OR(PROPER(TRIM(tblOrders[[#This Row],[Region]]))="Nort",PROPER(TRIM(tblOrders[[#This Row],[Region]]))="Northh"),"North",PROPER(TRIM(tblOrders[[#This Row],[Region]])))</f>
        <v>West</v>
      </c>
      <c r="R178" s="2" t="str">
        <f t="shared" si="19"/>
        <v>Groceries</v>
      </c>
      <c r="S178" s="2" t="str">
        <f t="shared" si="20"/>
        <v>Online</v>
      </c>
      <c r="T178" s="2" t="str">
        <f t="shared" si="21"/>
        <v>Cash</v>
      </c>
      <c r="U178" s="2" t="str">
        <f t="shared" si="22"/>
        <v>Completed</v>
      </c>
      <c r="V178" s="2">
        <f t="shared" si="23"/>
        <v>8</v>
      </c>
      <c r="W178" s="2">
        <f t="shared" si="24"/>
        <v>13.8</v>
      </c>
      <c r="X17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45601</v>
      </c>
      <c r="Y178" s="2">
        <f t="shared" si="25"/>
        <v>0</v>
      </c>
      <c r="Z178" s="2" t="str">
        <f>TRIM(CLEAN(tblOrders[[#This Row],[Notes]]))</f>
        <v>Leave at front desk</v>
      </c>
      <c r="AA178" s="2" t="str">
        <f t="shared" si="26"/>
        <v>Standard</v>
      </c>
      <c r="AB178" s="2">
        <f>IF(OR(tblOrders[[#This Row],[Quantity_Clean]]="",tblOrders[[#This Row],[UnitPrice_Clean]]=""),0,tblOrders[[#This Row],[Quantity_Clean]]*tblOrders[[#This Row],[UnitPrice_Clean]])</f>
        <v>110.4</v>
      </c>
      <c r="AC178" s="2" t="str">
        <f>UPPER(TRIM(tblOrders[[#This Row],[OrderID]]))</f>
        <v>ORD-1188</v>
      </c>
      <c r="AD178" s="2">
        <f>VALUE(RIGHT(tblOrders[[#This Row],[OrderID]],4))</f>
        <v>1188</v>
      </c>
      <c r="AE178" s="2" t="str">
        <f>TEXT(tblOrders[[#This Row],[OrderDate_Clean]],"mmm-yyyy")</f>
        <v>Nov-2024</v>
      </c>
      <c r="AF178" s="3">
        <f>EOMONTH(tblOrders[[#This Row],[OrderDate_Clean]],0)</f>
        <v>45626</v>
      </c>
      <c r="AG178" s="2" t="s">
        <v>927</v>
      </c>
      <c r="AH178" s="2">
        <f>IF(tblOrders[[#This Row],[Discount]]="",0,IF(ISNUMBER(tblOrders[[#This Row],[Discount]]),tblOrders[[#This Row],[Discount]],VALUE(SUBSTITUTE(TRIM(tblOrders[[#This Row],[Discount]]),"%",""))/100))</f>
        <v>0</v>
      </c>
    </row>
    <row r="179" spans="1:34" x14ac:dyDescent="0.25">
      <c r="A179" s="2" t="s">
        <v>498</v>
      </c>
      <c r="B179" s="2" t="s">
        <v>186</v>
      </c>
      <c r="C179" s="2" t="s">
        <v>499</v>
      </c>
      <c r="D179" s="2" t="s">
        <v>44</v>
      </c>
      <c r="E179" s="2" t="s">
        <v>45</v>
      </c>
      <c r="F179" s="2" t="s">
        <v>235</v>
      </c>
      <c r="G179" s="2" t="s">
        <v>236</v>
      </c>
      <c r="H179" s="2" t="s">
        <v>108</v>
      </c>
      <c r="I179" s="2" t="s">
        <v>343</v>
      </c>
      <c r="J179" s="2">
        <v>7.57</v>
      </c>
      <c r="K179" s="2">
        <v>0.1</v>
      </c>
      <c r="L179" s="2" t="s">
        <v>180</v>
      </c>
      <c r="M179" s="2" t="s">
        <v>208</v>
      </c>
      <c r="N179" s="2" t="s">
        <v>39</v>
      </c>
      <c r="O179" s="2" t="s">
        <v>87</v>
      </c>
      <c r="P179" s="2" t="str">
        <f t="shared" si="18"/>
        <v>Michael Qureshi</v>
      </c>
      <c r="Q179" s="2" t="str">
        <f>IF(OR(PROPER(TRIM(tblOrders[[#This Row],[Region]]))="Nort",PROPER(TRIM(tblOrders[[#This Row],[Region]]))="Northh"),"North",PROPER(TRIM(tblOrders[[#This Row],[Region]])))</f>
        <v>South</v>
      </c>
      <c r="R179" s="2" t="str">
        <f t="shared" si="19"/>
        <v>Groceries</v>
      </c>
      <c r="S179" s="2" t="str">
        <f t="shared" si="20"/>
        <v>In-Store</v>
      </c>
      <c r="T179" s="2" t="str">
        <f t="shared" si="21"/>
        <v>Credit Card</v>
      </c>
      <c r="U179" s="2" t="str">
        <f t="shared" si="22"/>
        <v>Completed</v>
      </c>
      <c r="V179" s="2">
        <f t="shared" si="23"/>
        <v>6</v>
      </c>
      <c r="W179" s="2">
        <f t="shared" si="24"/>
        <v>7.57</v>
      </c>
      <c r="X17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45416</v>
      </c>
      <c r="Y179" s="2">
        <f t="shared" si="25"/>
        <v>0.1</v>
      </c>
      <c r="Z179" s="2" t="str">
        <f>TRIM(CLEAN(tblOrders[[#This Row],[Notes]]))</f>
        <v>Damaged on arrival - replaced</v>
      </c>
      <c r="AA179" s="2" t="str">
        <f t="shared" si="26"/>
        <v>Standard</v>
      </c>
      <c r="AB179" s="2">
        <f>IF(OR(tblOrders[[#This Row],[Quantity_Clean]]="",tblOrders[[#This Row],[UnitPrice_Clean]]=""),0,tblOrders[[#This Row],[Quantity_Clean]]*tblOrders[[#This Row],[UnitPrice_Clean]])</f>
        <v>45.42</v>
      </c>
      <c r="AC179" s="2" t="str">
        <f>UPPER(TRIM(tblOrders[[#This Row],[OrderID]]))</f>
        <v>ORD-1119</v>
      </c>
      <c r="AD179" s="2">
        <f>VALUE(RIGHT(tblOrders[[#This Row],[OrderID]],4))</f>
        <v>1119</v>
      </c>
      <c r="AE179" s="2" t="str">
        <f>TEXT(tblOrders[[#This Row],[OrderDate_Clean]],"mmm-yyyy")</f>
        <v>May-2024</v>
      </c>
      <c r="AF179" s="3">
        <f>EOMONTH(tblOrders[[#This Row],[OrderDate_Clean]],0)</f>
        <v>45443</v>
      </c>
      <c r="AG179" s="2" t="s">
        <v>944</v>
      </c>
      <c r="AH179" s="2">
        <f>IF(tblOrders[[#This Row],[Discount]]="",0,IF(ISNUMBER(tblOrders[[#This Row],[Discount]]),tblOrders[[#This Row],[Discount]],VALUE(SUBSTITUTE(TRIM(tblOrders[[#This Row],[Discount]]),"%",""))/100))</f>
        <v>0.1</v>
      </c>
    </row>
    <row r="180" spans="1:34" x14ac:dyDescent="0.25">
      <c r="A180" s="2" t="s">
        <v>494</v>
      </c>
      <c r="B180" s="2" t="s">
        <v>495</v>
      </c>
      <c r="C180" s="2" t="s">
        <v>854</v>
      </c>
      <c r="D180" s="2" t="s">
        <v>31</v>
      </c>
      <c r="E180" s="2" t="s">
        <v>76</v>
      </c>
      <c r="F180" s="2" t="s">
        <v>136</v>
      </c>
      <c r="G180" s="2" t="s">
        <v>268</v>
      </c>
      <c r="H180" s="2" t="s">
        <v>48</v>
      </c>
      <c r="I180" s="2">
        <v>7</v>
      </c>
      <c r="J180" s="2" t="s">
        <v>497</v>
      </c>
      <c r="K180" s="2"/>
      <c r="L180" s="2" t="s">
        <v>260</v>
      </c>
      <c r="M180" s="2" t="s">
        <v>170</v>
      </c>
      <c r="N180" s="2" t="s">
        <v>26</v>
      </c>
      <c r="O180" s="2" t="s">
        <v>87</v>
      </c>
      <c r="P180" s="2" t="str">
        <f t="shared" si="18"/>
        <v>Aisha Tayloris</v>
      </c>
      <c r="Q180" s="2" t="str">
        <f>IF(OR(PROPER(TRIM(tblOrders[[#This Row],[Region]]))="Nort",PROPER(TRIM(tblOrders[[#This Row],[Region]]))="Northh"),"North",PROPER(TRIM(tblOrders[[#This Row],[Region]])))</f>
        <v>North</v>
      </c>
      <c r="R180" s="2" t="str">
        <f t="shared" si="19"/>
        <v>Groceries</v>
      </c>
      <c r="S180" s="2" t="str">
        <f t="shared" si="20"/>
        <v>In-Store</v>
      </c>
      <c r="T180" s="2" t="str">
        <f t="shared" si="21"/>
        <v>Credit Card</v>
      </c>
      <c r="U180" s="2" t="str">
        <f t="shared" si="22"/>
        <v>Cancelled</v>
      </c>
      <c r="V180" s="2">
        <f t="shared" si="23"/>
        <v>7</v>
      </c>
      <c r="W180" s="2">
        <f t="shared" si="24"/>
        <v>217.67</v>
      </c>
      <c r="X18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45587</v>
      </c>
      <c r="Y180" s="2">
        <f t="shared" si="25"/>
        <v>0</v>
      </c>
      <c r="Z180" s="2" t="str">
        <f>TRIM(CLEAN(tblOrders[[#This Row],[Notes]]))</f>
        <v>Damaged on arrival - replaced</v>
      </c>
      <c r="AA180" s="2" t="str">
        <f t="shared" si="26"/>
        <v>High Value</v>
      </c>
      <c r="AB180" s="2">
        <f>IF(OR(tblOrders[[#This Row],[Quantity_Clean]]="",tblOrders[[#This Row],[UnitPrice_Clean]]=""),0,tblOrders[[#This Row],[Quantity_Clean]]*tblOrders[[#This Row],[UnitPrice_Clean]])</f>
        <v>1523.6899999999998</v>
      </c>
      <c r="AC180" s="2" t="str">
        <f>UPPER(TRIM(tblOrders[[#This Row],[OrderID]]))</f>
        <v>ORD-1135</v>
      </c>
      <c r="AD180" s="2">
        <f>VALUE(RIGHT(tblOrders[[#This Row],[OrderID]],4))</f>
        <v>1135</v>
      </c>
      <c r="AE180" s="2" t="str">
        <f>TEXT(tblOrders[[#This Row],[OrderDate_Clean]],"mmm-yyyy")</f>
        <v>Oct-2024</v>
      </c>
      <c r="AF180" s="3">
        <f>EOMONTH(tblOrders[[#This Row],[OrderDate_Clean]],0)</f>
        <v>45596</v>
      </c>
      <c r="AG180" s="2" t="s">
        <v>918</v>
      </c>
      <c r="AH180" s="2">
        <f>IF(tblOrders[[#This Row],[Discount]]="",0,IF(ISNUMBER(tblOrders[[#This Row],[Discount]]),tblOrders[[#This Row],[Discount]],VALUE(SUBSTITUTE(TRIM(tblOrders[[#This Row],[Discount]]),"%",""))/100))</f>
        <v>0</v>
      </c>
    </row>
    <row r="181" spans="1:34" x14ac:dyDescent="0.25">
      <c r="A181" s="2" t="s">
        <v>494</v>
      </c>
      <c r="B181" s="2" t="s">
        <v>495</v>
      </c>
      <c r="C181" s="2" t="s">
        <v>496</v>
      </c>
      <c r="D181" s="2" t="s">
        <v>31</v>
      </c>
      <c r="E181" s="2" t="s">
        <v>76</v>
      </c>
      <c r="F181" s="2" t="s">
        <v>136</v>
      </c>
      <c r="G181" s="2" t="s">
        <v>268</v>
      </c>
      <c r="H181" s="2" t="s">
        <v>48</v>
      </c>
      <c r="I181" s="2">
        <v>7</v>
      </c>
      <c r="J181" s="2" t="s">
        <v>497</v>
      </c>
      <c r="K181" s="2"/>
      <c r="L181" s="2" t="s">
        <v>260</v>
      </c>
      <c r="M181" s="2" t="s">
        <v>170</v>
      </c>
      <c r="N181" s="2" t="s">
        <v>26</v>
      </c>
      <c r="O181" s="2" t="s">
        <v>87</v>
      </c>
      <c r="P181" s="2" t="str">
        <f t="shared" si="18"/>
        <v>Aisha Taylor</v>
      </c>
      <c r="Q181" s="2" t="str">
        <f>IF(OR(PROPER(TRIM(tblOrders[[#This Row],[Region]]))="Nort",PROPER(TRIM(tblOrders[[#This Row],[Region]]))="Northh"),"North",PROPER(TRIM(tblOrders[[#This Row],[Region]])))</f>
        <v>North</v>
      </c>
      <c r="R181" s="2" t="str">
        <f t="shared" si="19"/>
        <v>Groceries</v>
      </c>
      <c r="S181" s="2" t="str">
        <f t="shared" si="20"/>
        <v>In-Store</v>
      </c>
      <c r="T181" s="2" t="str">
        <f t="shared" si="21"/>
        <v>Credit Card</v>
      </c>
      <c r="U181" s="2" t="str">
        <f t="shared" si="22"/>
        <v>Cancelled</v>
      </c>
      <c r="V181" s="2">
        <f t="shared" si="23"/>
        <v>7</v>
      </c>
      <c r="W181" s="2">
        <f t="shared" si="24"/>
        <v>217.67</v>
      </c>
      <c r="X18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45587</v>
      </c>
      <c r="Y181" s="2">
        <f t="shared" si="25"/>
        <v>0</v>
      </c>
      <c r="Z181" s="2" t="str">
        <f>TRIM(CLEAN(tblOrders[[#This Row],[Notes]]))</f>
        <v>Damaged on arrival - replaced</v>
      </c>
      <c r="AA181" s="2" t="str">
        <f t="shared" si="26"/>
        <v>High Value</v>
      </c>
      <c r="AB181" s="2">
        <f>IF(OR(tblOrders[[#This Row],[Quantity_Clean]]="",tblOrders[[#This Row],[UnitPrice_Clean]]=""),0,tblOrders[[#This Row],[Quantity_Clean]]*tblOrders[[#This Row],[UnitPrice_Clean]])</f>
        <v>1523.6899999999998</v>
      </c>
      <c r="AC181" s="2" t="str">
        <f>UPPER(TRIM(tblOrders[[#This Row],[OrderID]]))</f>
        <v>ORD-1135</v>
      </c>
      <c r="AD181" s="2">
        <f>VALUE(RIGHT(tblOrders[[#This Row],[OrderID]],4))</f>
        <v>1135</v>
      </c>
      <c r="AE181" s="2" t="str">
        <f>TEXT(tblOrders[[#This Row],[OrderDate_Clean]],"mmm-yyyy")</f>
        <v>Oct-2024</v>
      </c>
      <c r="AF181" s="3">
        <f>EOMONTH(tblOrders[[#This Row],[OrderDate_Clean]],0)</f>
        <v>45596</v>
      </c>
      <c r="AG181" s="2" t="s">
        <v>943</v>
      </c>
      <c r="AH181" s="2">
        <f>IF(tblOrders[[#This Row],[Discount]]="",0,IF(ISNUMBER(tblOrders[[#This Row],[Discount]]),tblOrders[[#This Row],[Discount]],VALUE(SUBSTITUTE(TRIM(tblOrders[[#This Row],[Discount]]),"%",""))/100))</f>
        <v>0</v>
      </c>
    </row>
    <row r="182" spans="1:34" x14ac:dyDescent="0.25">
      <c r="A182" s="2" t="s">
        <v>421</v>
      </c>
      <c r="B182" s="2" t="s">
        <v>422</v>
      </c>
      <c r="C182" s="2" t="s">
        <v>423</v>
      </c>
      <c r="D182" s="2" t="s">
        <v>116</v>
      </c>
      <c r="E182" s="2" t="s">
        <v>117</v>
      </c>
      <c r="F182" s="2" t="s">
        <v>136</v>
      </c>
      <c r="G182" s="2" t="s">
        <v>236</v>
      </c>
      <c r="H182" s="2" t="s">
        <v>58</v>
      </c>
      <c r="I182" s="2">
        <v>3</v>
      </c>
      <c r="J182" s="2">
        <v>464.64</v>
      </c>
      <c r="K182" s="2" t="s">
        <v>347</v>
      </c>
      <c r="L182" s="2" t="s">
        <v>180</v>
      </c>
      <c r="M182" s="2" t="s">
        <v>60</v>
      </c>
      <c r="N182" s="2" t="s">
        <v>111</v>
      </c>
      <c r="O182" s="2"/>
      <c r="P182" s="2" t="str">
        <f t="shared" si="18"/>
        <v>Priya Raza</v>
      </c>
      <c r="Q182" s="2" t="str">
        <f>IF(OR(PROPER(TRIM(tblOrders[[#This Row],[Region]]))="Nort",PROPER(TRIM(tblOrders[[#This Row],[Region]]))="Northh"),"North",PROPER(TRIM(tblOrders[[#This Row],[Region]])))</f>
        <v>East</v>
      </c>
      <c r="R182" s="2" t="str">
        <f t="shared" si="19"/>
        <v>Groceries</v>
      </c>
      <c r="S182" s="2" t="str">
        <f t="shared" si="20"/>
        <v>Online</v>
      </c>
      <c r="T182" s="2" t="str">
        <f t="shared" si="21"/>
        <v>Credit Card</v>
      </c>
      <c r="U182" s="2" t="str">
        <f t="shared" si="22"/>
        <v>Completed</v>
      </c>
      <c r="V182" s="2">
        <f t="shared" si="23"/>
        <v>3</v>
      </c>
      <c r="W182" s="2">
        <f t="shared" si="24"/>
        <v>464.64</v>
      </c>
      <c r="X18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45467</v>
      </c>
      <c r="Y182" s="2" t="str">
        <f t="shared" si="25"/>
        <v>15%</v>
      </c>
      <c r="Z182" s="2" t="str">
        <f>TRIM(CLEAN(tblOrders[[#This Row],[Notes]]))</f>
        <v/>
      </c>
      <c r="AA182" s="2" t="str">
        <f t="shared" si="26"/>
        <v>High Value</v>
      </c>
      <c r="AB182" s="2">
        <f>IF(OR(tblOrders[[#This Row],[Quantity_Clean]]="",tblOrders[[#This Row],[UnitPrice_Clean]]=""),0,tblOrders[[#This Row],[Quantity_Clean]]*tblOrders[[#This Row],[UnitPrice_Clean]])</f>
        <v>1393.92</v>
      </c>
      <c r="AC182" s="2" t="str">
        <f>UPPER(TRIM(tblOrders[[#This Row],[OrderID]]))</f>
        <v>ORD-1229</v>
      </c>
      <c r="AD182" s="2">
        <f>VALUE(RIGHT(tblOrders[[#This Row],[OrderID]],4))</f>
        <v>1229</v>
      </c>
      <c r="AE182" s="2" t="str">
        <f>TEXT(tblOrders[[#This Row],[OrderDate_Clean]],"mmm-yyyy")</f>
        <v>Jun-2024</v>
      </c>
      <c r="AF182" s="3">
        <f>EOMONTH(tblOrders[[#This Row],[OrderDate_Clean]],0)</f>
        <v>45473</v>
      </c>
      <c r="AG182" s="2" t="s">
        <v>945</v>
      </c>
      <c r="AH182" s="2">
        <f>IF(tblOrders[[#This Row],[Discount]]="",0,IF(ISNUMBER(tblOrders[[#This Row],[Discount]]),tblOrders[[#This Row],[Discount]],VALUE(SUBSTITUTE(TRIM(tblOrders[[#This Row],[Discount]]),"%",""))/100))</f>
        <v>0.15</v>
      </c>
    </row>
    <row r="183" spans="1:34" x14ac:dyDescent="0.25">
      <c r="A183" s="2" t="s">
        <v>503</v>
      </c>
      <c r="B183" s="2" t="s">
        <v>504</v>
      </c>
      <c r="C183" s="2" t="s">
        <v>505</v>
      </c>
      <c r="D183" s="2" t="s">
        <v>55</v>
      </c>
      <c r="E183" s="2"/>
      <c r="F183" s="2" t="s">
        <v>136</v>
      </c>
      <c r="G183" s="2" t="s">
        <v>236</v>
      </c>
      <c r="H183" s="2" t="s">
        <v>195</v>
      </c>
      <c r="I183" s="2">
        <v>7</v>
      </c>
      <c r="J183" s="2">
        <v>366.6</v>
      </c>
      <c r="K183" s="2" t="s">
        <v>347</v>
      </c>
      <c r="L183" s="2" t="s">
        <v>281</v>
      </c>
      <c r="M183" s="2" t="s">
        <v>25</v>
      </c>
      <c r="N183" s="2" t="s">
        <v>71</v>
      </c>
      <c r="O183" s="2" t="s">
        <v>93</v>
      </c>
      <c r="P183" s="2" t="str">
        <f t="shared" si="18"/>
        <v>Aisha Garcia</v>
      </c>
      <c r="Q183" s="2" t="str">
        <f>IF(OR(PROPER(TRIM(tblOrders[[#This Row],[Region]]))="Nort",PROPER(TRIM(tblOrders[[#This Row],[Region]]))="Northh"),"North",PROPER(TRIM(tblOrders[[#This Row],[Region]])))</f>
        <v>North</v>
      </c>
      <c r="R183" s="2" t="str">
        <f t="shared" si="19"/>
        <v>Groceries</v>
      </c>
      <c r="S183" s="2" t="str">
        <f t="shared" si="20"/>
        <v>In-Store</v>
      </c>
      <c r="T183" s="2" t="str">
        <f t="shared" si="21"/>
        <v>Credit Card</v>
      </c>
      <c r="U183" s="2" t="str">
        <f t="shared" si="22"/>
        <v>Completed</v>
      </c>
      <c r="V183" s="2">
        <f t="shared" si="23"/>
        <v>7</v>
      </c>
      <c r="W183" s="2">
        <f t="shared" si="24"/>
        <v>366.6</v>
      </c>
      <c r="X18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45403</v>
      </c>
      <c r="Y183" s="2" t="str">
        <f t="shared" si="25"/>
        <v>15%</v>
      </c>
      <c r="Z183" s="2" t="str">
        <f>TRIM(CLEAN(tblOrders[[#This Row],[Notes]]))</f>
        <v>Bulk order - business account</v>
      </c>
      <c r="AA183" s="2" t="str">
        <f t="shared" si="26"/>
        <v>High Value</v>
      </c>
      <c r="AB183" s="2">
        <f>IF(OR(tblOrders[[#This Row],[Quantity_Clean]]="",tblOrders[[#This Row],[UnitPrice_Clean]]=""),0,tblOrders[[#This Row],[Quantity_Clean]]*tblOrders[[#This Row],[UnitPrice_Clean]])</f>
        <v>2566.2000000000003</v>
      </c>
      <c r="AC183" s="2" t="str">
        <f>UPPER(TRIM(tblOrders[[#This Row],[OrderID]]))</f>
        <v>ORD-1012</v>
      </c>
      <c r="AD183" s="2">
        <f>VALUE(RIGHT(tblOrders[[#This Row],[OrderID]],4))</f>
        <v>1012</v>
      </c>
      <c r="AE183" s="2" t="str">
        <f>TEXT(tblOrders[[#This Row],[OrderDate_Clean]],"mmm-yyyy")</f>
        <v>Apr-2024</v>
      </c>
      <c r="AF183" s="3">
        <f>EOMONTH(tblOrders[[#This Row],[OrderDate_Clean]],0)</f>
        <v>45412</v>
      </c>
      <c r="AG183" s="2" t="s">
        <v>943</v>
      </c>
      <c r="AH183" s="2">
        <f>IF(tblOrders[[#This Row],[Discount]]="",0,IF(ISNUMBER(tblOrders[[#This Row],[Discount]]),tblOrders[[#This Row],[Discount]],VALUE(SUBSTITUTE(TRIM(tblOrders[[#This Row],[Discount]]),"%",""))/100))</f>
        <v>0.15</v>
      </c>
    </row>
    <row r="184" spans="1:34" x14ac:dyDescent="0.25">
      <c r="A184" s="2" t="s">
        <v>512</v>
      </c>
      <c r="B184" s="2" t="s">
        <v>513</v>
      </c>
      <c r="C184" s="2" t="s">
        <v>216</v>
      </c>
      <c r="D184" s="2" t="s">
        <v>175</v>
      </c>
      <c r="E184" s="2" t="s">
        <v>76</v>
      </c>
      <c r="F184" s="2" t="s">
        <v>136</v>
      </c>
      <c r="G184" s="2" t="s">
        <v>78</v>
      </c>
      <c r="H184" s="2" t="s">
        <v>200</v>
      </c>
      <c r="I184" s="2" t="s">
        <v>36</v>
      </c>
      <c r="J184" s="2">
        <v>330.15</v>
      </c>
      <c r="K184" s="2">
        <v>0</v>
      </c>
      <c r="L184" s="2" t="s">
        <v>237</v>
      </c>
      <c r="M184" s="2" t="s">
        <v>25</v>
      </c>
      <c r="N184" s="2" t="s">
        <v>26</v>
      </c>
      <c r="O184" s="2" t="s">
        <v>112</v>
      </c>
      <c r="P184" s="2" t="str">
        <f t="shared" si="18"/>
        <v>Robert Qureshi</v>
      </c>
      <c r="Q184" s="2" t="str">
        <f>IF(OR(PROPER(TRIM(tblOrders[[#This Row],[Region]]))="Nort",PROPER(TRIM(tblOrders[[#This Row],[Region]]))="Northh"),"North",PROPER(TRIM(tblOrders[[#This Row],[Region]])))</f>
        <v>North</v>
      </c>
      <c r="R184" s="2" t="str">
        <f t="shared" si="19"/>
        <v>Groceries</v>
      </c>
      <c r="S184" s="2" t="str">
        <f t="shared" si="20"/>
        <v>Online</v>
      </c>
      <c r="T184" s="2" t="str">
        <f t="shared" si="21"/>
        <v>Bank Transfer</v>
      </c>
      <c r="U184" s="2" t="str">
        <f t="shared" si="22"/>
        <v>Completed</v>
      </c>
      <c r="V184" s="2">
        <f t="shared" si="23"/>
        <v>3</v>
      </c>
      <c r="W184" s="2">
        <f t="shared" si="24"/>
        <v>330.15</v>
      </c>
      <c r="X18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45490</v>
      </c>
      <c r="Y184" s="2">
        <f t="shared" si="25"/>
        <v>0</v>
      </c>
      <c r="Z184" s="2" t="str">
        <f>TRIM(CLEAN(tblOrders[[#This Row],[Notes]]))</f>
        <v>Follow up needed</v>
      </c>
      <c r="AA184" s="2" t="str">
        <f t="shared" si="26"/>
        <v>Standard</v>
      </c>
      <c r="AB184" s="2">
        <f>IF(OR(tblOrders[[#This Row],[Quantity_Clean]]="",tblOrders[[#This Row],[UnitPrice_Clean]]=""),0,tblOrders[[#This Row],[Quantity_Clean]]*tblOrders[[#This Row],[UnitPrice_Clean]])</f>
        <v>990.44999999999993</v>
      </c>
      <c r="AC184" s="2" t="str">
        <f>UPPER(TRIM(tblOrders[[#This Row],[OrderID]]))</f>
        <v>ORD-1155</v>
      </c>
      <c r="AD184" s="2">
        <f>VALUE(RIGHT(tblOrders[[#This Row],[OrderID]],4))</f>
        <v>1155</v>
      </c>
      <c r="AE184" s="2" t="str">
        <f>TEXT(tblOrders[[#This Row],[OrderDate_Clean]],"mmm-yyyy")</f>
        <v>Jul-2024</v>
      </c>
      <c r="AF184" s="3">
        <f>EOMONTH(tblOrders[[#This Row],[OrderDate_Clean]],0)</f>
        <v>45504</v>
      </c>
      <c r="AG184" s="2" t="s">
        <v>888</v>
      </c>
      <c r="AH184" s="2">
        <f>IF(tblOrders[[#This Row],[Discount]]="",0,IF(ISNUMBER(tblOrders[[#This Row],[Discount]]),tblOrders[[#This Row],[Discount]],VALUE(SUBSTITUTE(TRIM(tblOrders[[#This Row],[Discount]]),"%",""))/100))</f>
        <v>0</v>
      </c>
    </row>
    <row r="185" spans="1:34" x14ac:dyDescent="0.25">
      <c r="A185" s="2" t="s">
        <v>386</v>
      </c>
      <c r="B185" s="2" t="s">
        <v>387</v>
      </c>
      <c r="C185" s="2" t="s">
        <v>388</v>
      </c>
      <c r="D185" s="2" t="s">
        <v>258</v>
      </c>
      <c r="E185" s="2" t="s">
        <v>45</v>
      </c>
      <c r="F185" s="2" t="s">
        <v>136</v>
      </c>
      <c r="G185" s="2" t="s">
        <v>318</v>
      </c>
      <c r="H185" s="2" t="s">
        <v>58</v>
      </c>
      <c r="I185" s="2">
        <v>6</v>
      </c>
      <c r="J185" s="2">
        <v>311.61</v>
      </c>
      <c r="K185" s="2">
        <v>0.15</v>
      </c>
      <c r="L185" s="2" t="s">
        <v>281</v>
      </c>
      <c r="M185" s="2" t="s">
        <v>25</v>
      </c>
      <c r="N185" s="2" t="s">
        <v>50</v>
      </c>
      <c r="O185" s="2" t="s">
        <v>87</v>
      </c>
      <c r="P185" s="2" t="str">
        <f t="shared" si="18"/>
        <v>Noah Anderson</v>
      </c>
      <c r="Q185" s="2" t="str">
        <f>IF(OR(PROPER(TRIM(tblOrders[[#This Row],[Region]]))="Nort",PROPER(TRIM(tblOrders[[#This Row],[Region]]))="Northh"),"North",PROPER(TRIM(tblOrders[[#This Row],[Region]])))</f>
        <v>South</v>
      </c>
      <c r="R185" s="2" t="str">
        <f t="shared" si="19"/>
        <v>Groceries</v>
      </c>
      <c r="S185" s="2" t="str">
        <f t="shared" si="20"/>
        <v>Online</v>
      </c>
      <c r="T185" s="2" t="str">
        <f t="shared" si="21"/>
        <v>Credit Card</v>
      </c>
      <c r="U185" s="2" t="str">
        <f t="shared" si="22"/>
        <v>Completed</v>
      </c>
      <c r="V185" s="2">
        <f t="shared" si="23"/>
        <v>6</v>
      </c>
      <c r="W185" s="2">
        <f t="shared" si="24"/>
        <v>311.61</v>
      </c>
      <c r="X18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45579</v>
      </c>
      <c r="Y185" s="2">
        <f t="shared" si="25"/>
        <v>0.15</v>
      </c>
      <c r="Z185" s="2" t="str">
        <f>TRIM(CLEAN(tblOrders[[#This Row],[Notes]]))</f>
        <v>Damaged on arrival - replaced</v>
      </c>
      <c r="AA185" s="2" t="str">
        <f t="shared" si="26"/>
        <v>High Value</v>
      </c>
      <c r="AB185" s="2">
        <f>IF(OR(tblOrders[[#This Row],[Quantity_Clean]]="",tblOrders[[#This Row],[UnitPrice_Clean]]=""),0,tblOrders[[#This Row],[Quantity_Clean]]*tblOrders[[#This Row],[UnitPrice_Clean]])</f>
        <v>1869.66</v>
      </c>
      <c r="AC185" s="2" t="str">
        <f>UPPER(TRIM(tblOrders[[#This Row],[OrderID]]))</f>
        <v>ORD-1130</v>
      </c>
      <c r="AD185" s="2">
        <f>VALUE(RIGHT(tblOrders[[#This Row],[OrderID]],4))</f>
        <v>1130</v>
      </c>
      <c r="AE185" s="2" t="str">
        <f>TEXT(tblOrders[[#This Row],[OrderDate_Clean]],"mmm-yyyy")</f>
        <v>Oct-2024</v>
      </c>
      <c r="AF185" s="3">
        <f>EOMONTH(tblOrders[[#This Row],[OrderDate_Clean]],0)</f>
        <v>45596</v>
      </c>
      <c r="AG185" s="2" t="s">
        <v>942</v>
      </c>
      <c r="AH185" s="2">
        <f>IF(tblOrders[[#This Row],[Discount]]="",0,IF(ISNUMBER(tblOrders[[#This Row],[Discount]]),tblOrders[[#This Row],[Discount]],VALUE(SUBSTITUTE(TRIM(tblOrders[[#This Row],[Discount]]),"%",""))/100))</f>
        <v>0.15</v>
      </c>
    </row>
    <row r="186" spans="1:34" x14ac:dyDescent="0.25">
      <c r="A186" s="2" t="s">
        <v>369</v>
      </c>
      <c r="B186" s="2" t="s">
        <v>370</v>
      </c>
      <c r="C186" s="2" t="s">
        <v>371</v>
      </c>
      <c r="D186" s="2" t="s">
        <v>334</v>
      </c>
      <c r="E186" s="2" t="s">
        <v>125</v>
      </c>
      <c r="F186" s="2" t="s">
        <v>136</v>
      </c>
      <c r="G186" s="2" t="s">
        <v>318</v>
      </c>
      <c r="H186" s="2" t="s">
        <v>48</v>
      </c>
      <c r="I186" s="2">
        <v>12</v>
      </c>
      <c r="J186" s="2">
        <v>308.79000000000002</v>
      </c>
      <c r="K186" s="2" t="s">
        <v>138</v>
      </c>
      <c r="L186" s="2" t="s">
        <v>69</v>
      </c>
      <c r="M186" s="2" t="s">
        <v>92</v>
      </c>
      <c r="N186" s="2"/>
      <c r="O186" s="2" t="s">
        <v>112</v>
      </c>
      <c r="P186" s="2" t="str">
        <f t="shared" si="18"/>
        <v>Robert Raza</v>
      </c>
      <c r="Q186" s="2" t="str">
        <f>IF(OR(PROPER(TRIM(tblOrders[[#This Row],[Region]]))="Nort",PROPER(TRIM(tblOrders[[#This Row],[Region]]))="Northh"),"North",PROPER(TRIM(tblOrders[[#This Row],[Region]])))</f>
        <v>South</v>
      </c>
      <c r="R186" s="2" t="str">
        <f t="shared" si="19"/>
        <v>Groceries</v>
      </c>
      <c r="S186" s="2" t="str">
        <f t="shared" si="20"/>
        <v>In-Store</v>
      </c>
      <c r="T186" s="2" t="str">
        <f t="shared" si="21"/>
        <v>Debit Card</v>
      </c>
      <c r="U186" s="2" t="str">
        <f t="shared" si="22"/>
        <v>Cancelled</v>
      </c>
      <c r="V186" s="2">
        <f t="shared" si="23"/>
        <v>12</v>
      </c>
      <c r="W186" s="2">
        <f t="shared" si="24"/>
        <v>308.79000000000002</v>
      </c>
      <c r="X18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45644</v>
      </c>
      <c r="Y186" s="2" t="str">
        <f t="shared" si="25"/>
        <v>5%</v>
      </c>
      <c r="Z186" s="2" t="str">
        <f>TRIM(CLEAN(tblOrders[[#This Row],[Notes]]))</f>
        <v>Follow up needed</v>
      </c>
      <c r="AA186" s="2" t="str">
        <f t="shared" si="26"/>
        <v>High Value</v>
      </c>
      <c r="AB186" s="2">
        <f>IF(OR(tblOrders[[#This Row],[Quantity_Clean]]="",tblOrders[[#This Row],[UnitPrice_Clean]]=""),0,tblOrders[[#This Row],[Quantity_Clean]]*tblOrders[[#This Row],[UnitPrice_Clean]])</f>
        <v>3705.4800000000005</v>
      </c>
      <c r="AC186" s="2" t="str">
        <f>UPPER(TRIM(tblOrders[[#This Row],[OrderID]]))</f>
        <v>ORD-1158</v>
      </c>
      <c r="AD186" s="2">
        <f>VALUE(RIGHT(tblOrders[[#This Row],[OrderID]],4))</f>
        <v>1158</v>
      </c>
      <c r="AE186" s="2" t="str">
        <f>TEXT(tblOrders[[#This Row],[OrderDate_Clean]],"mmm-yyyy")</f>
        <v>Dec-2024</v>
      </c>
      <c r="AF186" s="3">
        <f>EOMONTH(tblOrders[[#This Row],[OrderDate_Clean]],0)</f>
        <v>45657</v>
      </c>
      <c r="AG186" s="2" t="s">
        <v>932</v>
      </c>
      <c r="AH186" s="2">
        <f>IF(tblOrders[[#This Row],[Discount]]="",0,IF(ISNUMBER(tblOrders[[#This Row],[Discount]]),tblOrders[[#This Row],[Discount]],VALUE(SUBSTITUTE(TRIM(tblOrders[[#This Row],[Discount]]),"%",""))/100))</f>
        <v>0.05</v>
      </c>
    </row>
    <row r="187" spans="1:34" x14ac:dyDescent="0.25">
      <c r="A187" s="2" t="s">
        <v>205</v>
      </c>
      <c r="B187" s="2" t="s">
        <v>206</v>
      </c>
      <c r="C187" s="2" t="s">
        <v>207</v>
      </c>
      <c r="D187" s="2" t="s">
        <v>162</v>
      </c>
      <c r="E187" s="2" t="s">
        <v>19</v>
      </c>
      <c r="F187" s="2" t="s">
        <v>136</v>
      </c>
      <c r="G187" s="2" t="s">
        <v>78</v>
      </c>
      <c r="H187" s="2" t="s">
        <v>195</v>
      </c>
      <c r="I187" s="2">
        <v>12</v>
      </c>
      <c r="J187" s="2">
        <v>284.95</v>
      </c>
      <c r="K187" s="2"/>
      <c r="L187" s="2" t="s">
        <v>69</v>
      </c>
      <c r="M187" s="2" t="s">
        <v>208</v>
      </c>
      <c r="N187" s="2" t="s">
        <v>39</v>
      </c>
      <c r="O187" s="2" t="s">
        <v>40</v>
      </c>
      <c r="P187" s="2" t="str">
        <f t="shared" si="18"/>
        <v>Hina Ahmed</v>
      </c>
      <c r="Q187" s="2" t="str">
        <f>IF(OR(PROPER(TRIM(tblOrders[[#This Row],[Region]]))="Nort",PROPER(TRIM(tblOrders[[#This Row],[Region]]))="Northh"),"North",PROPER(TRIM(tblOrders[[#This Row],[Region]])))</f>
        <v>East</v>
      </c>
      <c r="R187" s="2" t="str">
        <f t="shared" si="19"/>
        <v>Groceries</v>
      </c>
      <c r="S187" s="2" t="str">
        <f t="shared" si="20"/>
        <v>In-Store</v>
      </c>
      <c r="T187" s="2" t="str">
        <f t="shared" si="21"/>
        <v>Debit Card</v>
      </c>
      <c r="U187" s="2" t="str">
        <f t="shared" si="22"/>
        <v>Completed</v>
      </c>
      <c r="V187" s="2">
        <f t="shared" si="23"/>
        <v>12</v>
      </c>
      <c r="W187" s="2">
        <f t="shared" si="24"/>
        <v>284.95</v>
      </c>
      <c r="X18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45452</v>
      </c>
      <c r="Y187" s="2">
        <f t="shared" si="25"/>
        <v>0</v>
      </c>
      <c r="Z187" s="2" t="str">
        <f>TRIM(CLEAN(tblOrders[[#This Row],[Notes]]))</f>
        <v>VIP customer</v>
      </c>
      <c r="AA187" s="2" t="str">
        <f t="shared" si="26"/>
        <v>High Value</v>
      </c>
      <c r="AB187" s="2">
        <f>IF(OR(tblOrders[[#This Row],[Quantity_Clean]]="",tblOrders[[#This Row],[UnitPrice_Clean]]=""),0,tblOrders[[#This Row],[Quantity_Clean]]*tblOrders[[#This Row],[UnitPrice_Clean]])</f>
        <v>3419.3999999999996</v>
      </c>
      <c r="AC187" s="2" t="str">
        <f>UPPER(TRIM(tblOrders[[#This Row],[OrderID]]))</f>
        <v>ORD-1205</v>
      </c>
      <c r="AD187" s="2">
        <f>VALUE(RIGHT(tblOrders[[#This Row],[OrderID]],4))</f>
        <v>1205</v>
      </c>
      <c r="AE187" s="2" t="str">
        <f>TEXT(tblOrders[[#This Row],[OrderDate_Clean]],"mmm-yyyy")</f>
        <v>Jun-2024</v>
      </c>
      <c r="AF187" s="3">
        <f>EOMONTH(tblOrders[[#This Row],[OrderDate_Clean]],0)</f>
        <v>45473</v>
      </c>
      <c r="AG187" s="2" t="s">
        <v>934</v>
      </c>
      <c r="AH187" s="2">
        <f>IF(tblOrders[[#This Row],[Discount]]="",0,IF(ISNUMBER(tblOrders[[#This Row],[Discount]]),tblOrders[[#This Row],[Discount]],VALUE(SUBSTITUTE(TRIM(tblOrders[[#This Row],[Discount]]),"%",""))/100))</f>
        <v>0</v>
      </c>
    </row>
    <row r="188" spans="1:34" x14ac:dyDescent="0.25">
      <c r="A188" s="2" t="s">
        <v>269</v>
      </c>
      <c r="B188" s="2" t="s">
        <v>270</v>
      </c>
      <c r="C188" s="2" t="s">
        <v>271</v>
      </c>
      <c r="D188" s="2" t="s">
        <v>116</v>
      </c>
      <c r="E188" s="2" t="s">
        <v>19</v>
      </c>
      <c r="F188" s="2" t="s">
        <v>136</v>
      </c>
      <c r="G188" s="2" t="s">
        <v>236</v>
      </c>
      <c r="H188" s="2" t="s">
        <v>178</v>
      </c>
      <c r="I188" s="2"/>
      <c r="J188" s="2">
        <v>222.6</v>
      </c>
      <c r="K188" s="2"/>
      <c r="L188" s="2" t="s">
        <v>79</v>
      </c>
      <c r="M188" s="2" t="s">
        <v>208</v>
      </c>
      <c r="N188" s="2" t="s">
        <v>71</v>
      </c>
      <c r="O188" s="2" t="s">
        <v>51</v>
      </c>
      <c r="P188" s="2" t="str">
        <f t="shared" si="18"/>
        <v>Aisha Farooq</v>
      </c>
      <c r="Q188" s="2" t="str">
        <f>IF(OR(PROPER(TRIM(tblOrders[[#This Row],[Region]]))="Nort",PROPER(TRIM(tblOrders[[#This Row],[Region]]))="Northh"),"North",PROPER(TRIM(tblOrders[[#This Row],[Region]])))</f>
        <v>East</v>
      </c>
      <c r="R188" s="2" t="str">
        <f t="shared" si="19"/>
        <v>Groceries</v>
      </c>
      <c r="S188" s="2" t="str">
        <f t="shared" si="20"/>
        <v>Online</v>
      </c>
      <c r="T188" s="2" t="str">
        <f t="shared" si="21"/>
        <v>Cash</v>
      </c>
      <c r="U188" s="2" t="str">
        <f t="shared" si="22"/>
        <v>Completed</v>
      </c>
      <c r="V188" s="2" t="str">
        <f t="shared" si="23"/>
        <v/>
      </c>
      <c r="W188" s="2">
        <f t="shared" si="24"/>
        <v>222.6</v>
      </c>
      <c r="X18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45455</v>
      </c>
      <c r="Y188" s="2">
        <f t="shared" si="25"/>
        <v>0</v>
      </c>
      <c r="Z188" s="2" t="str">
        <f>TRIM(CLEAN(tblOrders[[#This Row],[Notes]]))</f>
        <v/>
      </c>
      <c r="AA188" s="2" t="str">
        <f t="shared" si="26"/>
        <v>Review</v>
      </c>
      <c r="AB188" s="2">
        <f>IF(OR(tblOrders[[#This Row],[Quantity_Clean]]="",tblOrders[[#This Row],[UnitPrice_Clean]]=""),0,tblOrders[[#This Row],[Quantity_Clean]]*tblOrders[[#This Row],[UnitPrice_Clean]])</f>
        <v>0</v>
      </c>
      <c r="AC188" s="2" t="str">
        <f>UPPER(TRIM(tblOrders[[#This Row],[OrderID]]))</f>
        <v>ORD-1088</v>
      </c>
      <c r="AD188" s="2">
        <f>VALUE(RIGHT(tblOrders[[#This Row],[OrderID]],4))</f>
        <v>1088</v>
      </c>
      <c r="AE188" s="2" t="str">
        <f>TEXT(tblOrders[[#This Row],[OrderDate_Clean]],"mmm-yyyy")</f>
        <v>Jun-2024</v>
      </c>
      <c r="AF188" s="3">
        <f>EOMONTH(tblOrders[[#This Row],[OrderDate_Clean]],0)</f>
        <v>45473</v>
      </c>
      <c r="AG188" s="2" t="s">
        <v>935</v>
      </c>
      <c r="AH188" s="2">
        <f>IF(tblOrders[[#This Row],[Discount]]="",0,IF(ISNUMBER(tblOrders[[#This Row],[Discount]]),tblOrders[[#This Row],[Discount]],VALUE(SUBSTITUTE(TRIM(tblOrders[[#This Row],[Discount]]),"%",""))/100))</f>
        <v>0</v>
      </c>
    </row>
    <row r="189" spans="1:34" x14ac:dyDescent="0.25">
      <c r="A189" s="2" t="s">
        <v>683</v>
      </c>
      <c r="B189" s="2" t="s">
        <v>62</v>
      </c>
      <c r="C189" s="2" t="s">
        <v>684</v>
      </c>
      <c r="D189" s="2" t="s">
        <v>116</v>
      </c>
      <c r="E189" s="2" t="s">
        <v>19</v>
      </c>
      <c r="F189" s="2" t="s">
        <v>136</v>
      </c>
      <c r="G189" s="2" t="s">
        <v>236</v>
      </c>
      <c r="H189" s="2" t="s">
        <v>195</v>
      </c>
      <c r="I189" s="2">
        <v>8</v>
      </c>
      <c r="J189" s="2">
        <v>183.76</v>
      </c>
      <c r="K189" s="2">
        <v>0.15</v>
      </c>
      <c r="L189" s="2" t="s">
        <v>79</v>
      </c>
      <c r="M189" s="2" t="s">
        <v>110</v>
      </c>
      <c r="N189" s="2" t="s">
        <v>111</v>
      </c>
      <c r="O189" s="2" t="s">
        <v>112</v>
      </c>
      <c r="P189" s="2" t="str">
        <f t="shared" si="18"/>
        <v>David Wilson</v>
      </c>
      <c r="Q189" s="2" t="str">
        <f>IF(OR(PROPER(TRIM(tblOrders[[#This Row],[Region]]))="Nort",PROPER(TRIM(tblOrders[[#This Row],[Region]]))="Northh"),"North",PROPER(TRIM(tblOrders[[#This Row],[Region]])))</f>
        <v>East</v>
      </c>
      <c r="R189" s="2" t="str">
        <f t="shared" si="19"/>
        <v>Groceries</v>
      </c>
      <c r="S189" s="2" t="str">
        <f t="shared" si="20"/>
        <v>In-Store</v>
      </c>
      <c r="T189" s="2" t="str">
        <f t="shared" si="21"/>
        <v>Cash</v>
      </c>
      <c r="U189" s="2" t="str">
        <f t="shared" si="22"/>
        <v>Pending</v>
      </c>
      <c r="V189" s="2">
        <f t="shared" si="23"/>
        <v>8</v>
      </c>
      <c r="W189" s="2">
        <f t="shared" si="24"/>
        <v>183.76</v>
      </c>
      <c r="X18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45526</v>
      </c>
      <c r="Y189" s="2">
        <f t="shared" si="25"/>
        <v>0.15</v>
      </c>
      <c r="Z189" s="2" t="str">
        <f>TRIM(CLEAN(tblOrders[[#This Row],[Notes]]))</f>
        <v>Follow up needed</v>
      </c>
      <c r="AA189" s="2" t="str">
        <f t="shared" si="26"/>
        <v>High Value</v>
      </c>
      <c r="AB189" s="2">
        <f>IF(OR(tblOrders[[#This Row],[Quantity_Clean]]="",tblOrders[[#This Row],[UnitPrice_Clean]]=""),0,tblOrders[[#This Row],[Quantity_Clean]]*tblOrders[[#This Row],[UnitPrice_Clean]])</f>
        <v>1470.08</v>
      </c>
      <c r="AC189" s="2" t="str">
        <f>UPPER(TRIM(tblOrders[[#This Row],[OrderID]]))</f>
        <v>ORD-1121</v>
      </c>
      <c r="AD189" s="2">
        <f>VALUE(RIGHT(tblOrders[[#This Row],[OrderID]],4))</f>
        <v>1121</v>
      </c>
      <c r="AE189" s="2" t="str">
        <f>TEXT(tblOrders[[#This Row],[OrderDate_Clean]],"mmm-yyyy")</f>
        <v>Aug-2024</v>
      </c>
      <c r="AF189" s="3">
        <f>EOMONTH(tblOrders[[#This Row],[OrderDate_Clean]],0)</f>
        <v>45535</v>
      </c>
      <c r="AG189" s="2" t="s">
        <v>946</v>
      </c>
      <c r="AH189" s="2">
        <f>IF(tblOrders[[#This Row],[Discount]]="",0,IF(ISNUMBER(tblOrders[[#This Row],[Discount]]),tblOrders[[#This Row],[Discount]],VALUE(SUBSTITUTE(TRIM(tblOrders[[#This Row],[Discount]]),"%",""))/100))</f>
        <v>0.15</v>
      </c>
    </row>
    <row r="190" spans="1:34" x14ac:dyDescent="0.25">
      <c r="A190" s="2" t="s">
        <v>309</v>
      </c>
      <c r="B190" s="2" t="s">
        <v>310</v>
      </c>
      <c r="C190" s="2" t="s">
        <v>311</v>
      </c>
      <c r="D190" s="2" t="s">
        <v>162</v>
      </c>
      <c r="E190" s="2" t="s">
        <v>19</v>
      </c>
      <c r="F190" s="2" t="s">
        <v>136</v>
      </c>
      <c r="G190" s="2" t="s">
        <v>236</v>
      </c>
      <c r="H190" s="2" t="s">
        <v>48</v>
      </c>
      <c r="I190" s="2">
        <v>1</v>
      </c>
      <c r="J190" s="2">
        <v>160.69</v>
      </c>
      <c r="K190" s="2">
        <v>0.15</v>
      </c>
      <c r="L190" s="2" t="s">
        <v>102</v>
      </c>
      <c r="M190" s="2" t="s">
        <v>86</v>
      </c>
      <c r="N190" s="2"/>
      <c r="O190" s="2" t="s">
        <v>51</v>
      </c>
      <c r="P190" s="2" t="str">
        <f t="shared" si="18"/>
        <v>Fatima Hussain</v>
      </c>
      <c r="Q190" s="2" t="str">
        <f>IF(OR(PROPER(TRIM(tblOrders[[#This Row],[Region]]))="Nort",PROPER(TRIM(tblOrders[[#This Row],[Region]]))="Northh"),"North",PROPER(TRIM(tblOrders[[#This Row],[Region]])))</f>
        <v>East</v>
      </c>
      <c r="R190" s="2" t="str">
        <f t="shared" si="19"/>
        <v>Groceries</v>
      </c>
      <c r="S190" s="2" t="str">
        <f t="shared" si="20"/>
        <v>In-Store</v>
      </c>
      <c r="T190" s="2" t="str">
        <f t="shared" si="21"/>
        <v>Cash</v>
      </c>
      <c r="U190" s="2" t="str">
        <f t="shared" si="22"/>
        <v>Completed</v>
      </c>
      <c r="V190" s="2">
        <f t="shared" si="23"/>
        <v>1</v>
      </c>
      <c r="W190" s="2">
        <f t="shared" si="24"/>
        <v>160.69</v>
      </c>
      <c r="X19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45392</v>
      </c>
      <c r="Y190" s="2">
        <f t="shared" si="25"/>
        <v>0.15</v>
      </c>
      <c r="Z190" s="2" t="str">
        <f>TRIM(CLEAN(tblOrders[[#This Row],[Notes]]))</f>
        <v/>
      </c>
      <c r="AA190" s="2" t="str">
        <f t="shared" si="26"/>
        <v>Standard</v>
      </c>
      <c r="AB190" s="2">
        <f>IF(OR(tblOrders[[#This Row],[Quantity_Clean]]="",tblOrders[[#This Row],[UnitPrice_Clean]]=""),0,tblOrders[[#This Row],[Quantity_Clean]]*tblOrders[[#This Row],[UnitPrice_Clean]])</f>
        <v>160.69</v>
      </c>
      <c r="AC190" s="2" t="str">
        <f>UPPER(TRIM(tblOrders[[#This Row],[OrderID]]))</f>
        <v>ORD-1041</v>
      </c>
      <c r="AD190" s="2">
        <f>VALUE(RIGHT(tblOrders[[#This Row],[OrderID]],4))</f>
        <v>1041</v>
      </c>
      <c r="AE190" s="2" t="str">
        <f>TEXT(tblOrders[[#This Row],[OrderDate_Clean]],"mmm-yyyy")</f>
        <v>Apr-2024</v>
      </c>
      <c r="AF190" s="3">
        <f>EOMONTH(tblOrders[[#This Row],[OrderDate_Clean]],0)</f>
        <v>45412</v>
      </c>
      <c r="AG190" s="2" t="s">
        <v>947</v>
      </c>
      <c r="AH190" s="2">
        <f>IF(tblOrders[[#This Row],[Discount]]="",0,IF(ISNUMBER(tblOrders[[#This Row],[Discount]]),tblOrders[[#This Row],[Discount]],VALUE(SUBSTITUTE(TRIM(tblOrders[[#This Row],[Discount]]),"%",""))/100))</f>
        <v>0.15</v>
      </c>
    </row>
    <row r="191" spans="1:34" x14ac:dyDescent="0.25">
      <c r="A191" s="2" t="s">
        <v>836</v>
      </c>
      <c r="B191" s="2" t="s">
        <v>428</v>
      </c>
      <c r="C191" s="2" t="s">
        <v>837</v>
      </c>
      <c r="D191" s="2" t="s">
        <v>152</v>
      </c>
      <c r="E191" s="2" t="s">
        <v>19</v>
      </c>
      <c r="F191" s="2" t="s">
        <v>136</v>
      </c>
      <c r="G191" s="2" t="s">
        <v>318</v>
      </c>
      <c r="H191" s="2" t="s">
        <v>68</v>
      </c>
      <c r="I191" s="2">
        <v>12</v>
      </c>
      <c r="J191" s="2">
        <v>151.04</v>
      </c>
      <c r="K191" s="2"/>
      <c r="L191" s="2" t="s">
        <v>79</v>
      </c>
      <c r="M191" s="2" t="s">
        <v>158</v>
      </c>
      <c r="N191" s="2" t="s">
        <v>50</v>
      </c>
      <c r="O191" s="2"/>
      <c r="P191" s="2" t="str">
        <f t="shared" si="18"/>
        <v>Liam Clark</v>
      </c>
      <c r="Q191" s="2" t="str">
        <f>IF(OR(PROPER(TRIM(tblOrders[[#This Row],[Region]]))="Nort",PROPER(TRIM(tblOrders[[#This Row],[Region]]))="Northh"),"North",PROPER(TRIM(tblOrders[[#This Row],[Region]])))</f>
        <v>East</v>
      </c>
      <c r="R191" s="2" t="str">
        <f t="shared" si="19"/>
        <v>Groceries</v>
      </c>
      <c r="S191" s="2" t="str">
        <f t="shared" si="20"/>
        <v>Online</v>
      </c>
      <c r="T191" s="2" t="str">
        <f t="shared" si="21"/>
        <v>Cash</v>
      </c>
      <c r="U191" s="2" t="str">
        <f t="shared" si="22"/>
        <v>Pending</v>
      </c>
      <c r="V191" s="2">
        <f t="shared" si="23"/>
        <v>12</v>
      </c>
      <c r="W191" s="2">
        <f t="shared" si="24"/>
        <v>151.04</v>
      </c>
      <c r="X19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45510</v>
      </c>
      <c r="Y191" s="2">
        <f t="shared" si="25"/>
        <v>0</v>
      </c>
      <c r="Z191" s="2" t="str">
        <f>TRIM(CLEAN(tblOrders[[#This Row],[Notes]]))</f>
        <v/>
      </c>
      <c r="AA191" s="2" t="str">
        <f t="shared" si="26"/>
        <v>High Value</v>
      </c>
      <c r="AB191" s="2">
        <f>IF(OR(tblOrders[[#This Row],[Quantity_Clean]]="",tblOrders[[#This Row],[UnitPrice_Clean]]=""),0,tblOrders[[#This Row],[Quantity_Clean]]*tblOrders[[#This Row],[UnitPrice_Clean]])</f>
        <v>1812.48</v>
      </c>
      <c r="AC191" s="2" t="str">
        <f>UPPER(TRIM(tblOrders[[#This Row],[OrderID]]))</f>
        <v>ORD-1100</v>
      </c>
      <c r="AD191" s="2">
        <f>VALUE(RIGHT(tblOrders[[#This Row],[OrderID]],4))</f>
        <v>1100</v>
      </c>
      <c r="AE191" s="2" t="str">
        <f>TEXT(tblOrders[[#This Row],[OrderDate_Clean]],"mmm-yyyy")</f>
        <v>Aug-2024</v>
      </c>
      <c r="AF191" s="3">
        <f>EOMONTH(tblOrders[[#This Row],[OrderDate_Clean]],0)</f>
        <v>45535</v>
      </c>
      <c r="AG191" s="2" t="s">
        <v>887</v>
      </c>
      <c r="AH191" s="2">
        <f>IF(tblOrders[[#This Row],[Discount]]="",0,IF(ISNUMBER(tblOrders[[#This Row],[Discount]]),tblOrders[[#This Row],[Discount]],VALUE(SUBSTITUTE(TRIM(tblOrders[[#This Row],[Discount]]),"%",""))/100))</f>
        <v>0</v>
      </c>
    </row>
    <row r="192" spans="1:34" x14ac:dyDescent="0.25">
      <c r="A192" s="2" t="s">
        <v>529</v>
      </c>
      <c r="B192" s="2" t="s">
        <v>530</v>
      </c>
      <c r="C192" s="2" t="s">
        <v>531</v>
      </c>
      <c r="D192" s="2" t="s">
        <v>152</v>
      </c>
      <c r="E192" s="2" t="s">
        <v>19</v>
      </c>
      <c r="F192" s="2" t="s">
        <v>136</v>
      </c>
      <c r="G192" s="2" t="s">
        <v>236</v>
      </c>
      <c r="H192" s="2" t="s">
        <v>178</v>
      </c>
      <c r="I192" s="2" t="s">
        <v>225</v>
      </c>
      <c r="J192" s="2">
        <v>114.89</v>
      </c>
      <c r="K192" s="2" t="s">
        <v>259</v>
      </c>
      <c r="L192" s="2" t="s">
        <v>24</v>
      </c>
      <c r="M192" s="2" t="s">
        <v>38</v>
      </c>
      <c r="N192" s="2" t="s">
        <v>71</v>
      </c>
      <c r="O192" s="2" t="s">
        <v>93</v>
      </c>
      <c r="P192" s="2" t="str">
        <f t="shared" si="18"/>
        <v>Emily Ahmed</v>
      </c>
      <c r="Q192" s="2" t="str">
        <f>IF(OR(PROPER(TRIM(tblOrders[[#This Row],[Region]]))="Nort",PROPER(TRIM(tblOrders[[#This Row],[Region]]))="Northh"),"North",PROPER(TRIM(tblOrders[[#This Row],[Region]])))</f>
        <v>East</v>
      </c>
      <c r="R192" s="2" t="str">
        <f t="shared" si="19"/>
        <v>Groceries</v>
      </c>
      <c r="S192" s="2" t="str">
        <f t="shared" si="20"/>
        <v>Online</v>
      </c>
      <c r="T192" s="2" t="str">
        <f t="shared" si="21"/>
        <v>Credit Card</v>
      </c>
      <c r="U192" s="2" t="str">
        <f t="shared" si="22"/>
        <v>Cancelled</v>
      </c>
      <c r="V192" s="2">
        <f t="shared" si="23"/>
        <v>1</v>
      </c>
      <c r="W192" s="2">
        <f t="shared" si="24"/>
        <v>114.89</v>
      </c>
      <c r="X19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45492</v>
      </c>
      <c r="Y192" s="2" t="str">
        <f t="shared" si="25"/>
        <v>20%</v>
      </c>
      <c r="Z192" s="2" t="str">
        <f>TRIM(CLEAN(tblOrders[[#This Row],[Notes]]))</f>
        <v>Bulk order - business account</v>
      </c>
      <c r="AA192" s="2" t="str">
        <f t="shared" si="26"/>
        <v>Standard</v>
      </c>
      <c r="AB192" s="2">
        <f>IF(OR(tblOrders[[#This Row],[Quantity_Clean]]="",tblOrders[[#This Row],[UnitPrice_Clean]]=""),0,tblOrders[[#This Row],[Quantity_Clean]]*tblOrders[[#This Row],[UnitPrice_Clean]])</f>
        <v>114.89</v>
      </c>
      <c r="AC192" s="2" t="str">
        <f>UPPER(TRIM(tblOrders[[#This Row],[OrderID]]))</f>
        <v>ORD-1125</v>
      </c>
      <c r="AD192" s="2">
        <f>VALUE(RIGHT(tblOrders[[#This Row],[OrderID]],4))</f>
        <v>1125</v>
      </c>
      <c r="AE192" s="2" t="str">
        <f>TEXT(tblOrders[[#This Row],[OrderDate_Clean]],"mmm-yyyy")</f>
        <v>Jul-2024</v>
      </c>
      <c r="AF192" s="3">
        <f>EOMONTH(tblOrders[[#This Row],[OrderDate_Clean]],0)</f>
        <v>45504</v>
      </c>
      <c r="AG192" s="2" t="s">
        <v>894</v>
      </c>
      <c r="AH192" s="2">
        <f>IF(tblOrders[[#This Row],[Discount]]="",0,IF(ISNUMBER(tblOrders[[#This Row],[Discount]]),tblOrders[[#This Row],[Discount]],VALUE(SUBSTITUTE(TRIM(tblOrders[[#This Row],[Discount]]),"%",""))/100))</f>
        <v>0.2</v>
      </c>
    </row>
    <row r="193" spans="1:34" x14ac:dyDescent="0.25">
      <c r="A193" s="2" t="s">
        <v>523</v>
      </c>
      <c r="B193" s="2" t="s">
        <v>524</v>
      </c>
      <c r="C193" s="2" t="s">
        <v>525</v>
      </c>
      <c r="D193" s="2" t="s">
        <v>212</v>
      </c>
      <c r="E193" s="2" t="s">
        <v>98</v>
      </c>
      <c r="F193" s="2" t="s">
        <v>136</v>
      </c>
      <c r="G193" s="2" t="s">
        <v>78</v>
      </c>
      <c r="H193" s="2" t="s">
        <v>68</v>
      </c>
      <c r="I193" s="2">
        <v>10</v>
      </c>
      <c r="J193" s="2">
        <v>54.12</v>
      </c>
      <c r="K193" s="2" t="s">
        <v>85</v>
      </c>
      <c r="L193" s="2" t="s">
        <v>132</v>
      </c>
      <c r="M193" s="2" t="s">
        <v>60</v>
      </c>
      <c r="N193" s="2" t="s">
        <v>111</v>
      </c>
      <c r="O193" s="2" t="s">
        <v>93</v>
      </c>
      <c r="P193" s="2" t="str">
        <f t="shared" si="18"/>
        <v>Umar Clark</v>
      </c>
      <c r="Q193" s="2" t="str">
        <f>IF(OR(PROPER(TRIM(tblOrders[[#This Row],[Region]]))="Nort",PROPER(TRIM(tblOrders[[#This Row],[Region]]))="Northh"),"North",PROPER(TRIM(tblOrders[[#This Row],[Region]])))</f>
        <v>West</v>
      </c>
      <c r="R193" s="2" t="str">
        <f t="shared" si="19"/>
        <v>Groceries</v>
      </c>
      <c r="S193" s="2" t="str">
        <f t="shared" si="20"/>
        <v>Online</v>
      </c>
      <c r="T193" s="2" t="str">
        <f t="shared" si="21"/>
        <v>Cash</v>
      </c>
      <c r="U193" s="2" t="str">
        <f t="shared" si="22"/>
        <v>Completed</v>
      </c>
      <c r="V193" s="2">
        <f t="shared" si="23"/>
        <v>10</v>
      </c>
      <c r="W193" s="2">
        <f t="shared" si="24"/>
        <v>54.12</v>
      </c>
      <c r="X19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45414</v>
      </c>
      <c r="Y193" s="2" t="str">
        <f t="shared" si="25"/>
        <v>10%</v>
      </c>
      <c r="Z193" s="2" t="str">
        <f>TRIM(CLEAN(tblOrders[[#This Row],[Notes]]))</f>
        <v>Bulk order - business account</v>
      </c>
      <c r="AA193" s="2" t="str">
        <f t="shared" si="26"/>
        <v>Standard</v>
      </c>
      <c r="AB193" s="2">
        <f>IF(OR(tblOrders[[#This Row],[Quantity_Clean]]="",tblOrders[[#This Row],[UnitPrice_Clean]]=""),0,tblOrders[[#This Row],[Quantity_Clean]]*tblOrders[[#This Row],[UnitPrice_Clean]])</f>
        <v>541.19999999999993</v>
      </c>
      <c r="AC193" s="2" t="str">
        <f>UPPER(TRIM(tblOrders[[#This Row],[OrderID]]))</f>
        <v>ORD-1037</v>
      </c>
      <c r="AD193" s="2">
        <f>VALUE(RIGHT(tblOrders[[#This Row],[OrderID]],4))</f>
        <v>1037</v>
      </c>
      <c r="AE193" s="2" t="str">
        <f>TEXT(tblOrders[[#This Row],[OrderDate_Clean]],"mmm-yyyy")</f>
        <v>May-2024</v>
      </c>
      <c r="AF193" s="3">
        <f>EOMONTH(tblOrders[[#This Row],[OrderDate_Clean]],0)</f>
        <v>45443</v>
      </c>
      <c r="AG193" s="2" t="s">
        <v>883</v>
      </c>
      <c r="AH193" s="2">
        <f>IF(tblOrders[[#This Row],[Discount]]="",0,IF(ISNUMBER(tblOrders[[#This Row],[Discount]]),tblOrders[[#This Row],[Discount]],VALUE(SUBSTITUTE(TRIM(tblOrders[[#This Row],[Discount]]),"%",""))/100))</f>
        <v>0.1</v>
      </c>
    </row>
    <row r="194" spans="1:34" x14ac:dyDescent="0.25">
      <c r="A194" s="2" t="s">
        <v>133</v>
      </c>
      <c r="B194" s="2" t="s">
        <v>134</v>
      </c>
      <c r="C194" s="2" t="s">
        <v>135</v>
      </c>
      <c r="D194" s="2" t="s">
        <v>64</v>
      </c>
      <c r="E194" s="2" t="s">
        <v>65</v>
      </c>
      <c r="F194" s="2" t="s">
        <v>136</v>
      </c>
      <c r="G194" s="2" t="s">
        <v>137</v>
      </c>
      <c r="H194" s="2" t="s">
        <v>35</v>
      </c>
      <c r="I194" s="2">
        <v>7</v>
      </c>
      <c r="J194" s="2">
        <v>22.48</v>
      </c>
      <c r="K194" s="2" t="s">
        <v>138</v>
      </c>
      <c r="L194" s="2" t="s">
        <v>139</v>
      </c>
      <c r="M194" s="2" t="s">
        <v>70</v>
      </c>
      <c r="N194" s="2"/>
      <c r="O194" s="2" t="s">
        <v>87</v>
      </c>
      <c r="P194" s="2" t="str">
        <f t="shared" ref="P194:P245" si="27">PROPER(TRIM(C194))</f>
        <v>Kevin Ahmed</v>
      </c>
      <c r="Q194" s="2" t="str">
        <f>IF(OR(PROPER(TRIM(tblOrders[[#This Row],[Region]]))="Nort",PROPER(TRIM(tblOrders[[#This Row],[Region]]))="Northh"),"North",PROPER(TRIM(tblOrders[[#This Row],[Region]])))</f>
        <v>West</v>
      </c>
      <c r="R194" s="2" t="str">
        <f t="shared" ref="R194:R245" si="28">IF(PROPER(TRIM(F194))="Cloth Ing","Clothing",IF(PROPER(TRIM(F194))="Electronic","Electronics",IF(PROPER(TRIM(F194))="Grocery","Groceries",SUBSTITUTE(PROPER(TRIM(F194)),"Stationary","Stationery"))))</f>
        <v>Groceries</v>
      </c>
      <c r="S194" s="2" t="str">
        <f t="shared" ref="S194:S245" si="29">IF(LOWER(TRIM(H194))="online","Online",IF(OR(LOWER(TRIM(H194))="in-store",LOWER(TRIM(H194))="in store",LOWER(TRIM(H194))="instore"),"In-Store",PROPER(TRIM(H194))))</f>
        <v>In-Store</v>
      </c>
      <c r="T194" s="2" t="str">
        <f t="shared" ref="T194:T245" si="30">IF(UPPER(TRIM(L194))="CC","Credit Card",PROPER(TRIM(L194)))</f>
        <v>Debit Card</v>
      </c>
      <c r="U194" s="2" t="str">
        <f t="shared" ref="U194:U245" si="31">IF(PROPER(TRIM(M194))="Complete","Completed",IF(PROPER(TRIM(M194))="Canceled","Cancelled",PROPER(TRIM(M194))))</f>
        <v>Refunded</v>
      </c>
      <c r="V194" s="2">
        <f t="shared" ref="V194:V245" si="32">IFERROR(VALUE(TRIM(I194)),"")</f>
        <v>7</v>
      </c>
      <c r="W194" s="2">
        <f t="shared" ref="W194:W245" si="33">IFERROR(VALUE(SUBSTITUTE(TRIM(J194),"$","")),"")</f>
        <v>22.48</v>
      </c>
      <c r="X19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45405</v>
      </c>
      <c r="Y194" s="2" t="str">
        <f t="shared" ref="Y194:Y245" si="34">IF(K194="",0,K194)</f>
        <v>5%</v>
      </c>
      <c r="Z194" s="2" t="str">
        <f>TRIM(CLEAN(tblOrders[[#This Row],[Notes]]))</f>
        <v>Damaged on arrival - replaced</v>
      </c>
      <c r="AA194" s="2" t="str">
        <f t="shared" ref="AA194:AA245" si="35">IF(OR(V194="",W194=""),"Review",IF(V194*W194&gt;=1000,"High Value","Standard"))</f>
        <v>Standard</v>
      </c>
      <c r="AB194" s="2">
        <f>IF(OR(tblOrders[[#This Row],[Quantity_Clean]]="",tblOrders[[#This Row],[UnitPrice_Clean]]=""),0,tblOrders[[#This Row],[Quantity_Clean]]*tblOrders[[#This Row],[UnitPrice_Clean]])</f>
        <v>157.36000000000001</v>
      </c>
      <c r="AC194" s="2" t="str">
        <f>UPPER(TRIM(tblOrders[[#This Row],[OrderID]]))</f>
        <v>ORD-1174</v>
      </c>
      <c r="AD194" s="2">
        <f>VALUE(RIGHT(tblOrders[[#This Row],[OrderID]],4))</f>
        <v>1174</v>
      </c>
      <c r="AE194" s="2" t="str">
        <f>TEXT(tblOrders[[#This Row],[OrderDate_Clean]],"mmm-yyyy")</f>
        <v>Apr-2024</v>
      </c>
      <c r="AF194" s="3">
        <f>EOMONTH(tblOrders[[#This Row],[OrderDate_Clean]],0)</f>
        <v>45412</v>
      </c>
      <c r="AG194" s="2" t="s">
        <v>884</v>
      </c>
      <c r="AH194" s="2">
        <f>IF(tblOrders[[#This Row],[Discount]]="",0,IF(ISNUMBER(tblOrders[[#This Row],[Discount]]),tblOrders[[#This Row],[Discount]],VALUE(SUBSTITUTE(TRIM(tblOrders[[#This Row],[Discount]]),"%",""))/100))</f>
        <v>0.05</v>
      </c>
    </row>
    <row r="195" spans="1:34" x14ac:dyDescent="0.25">
      <c r="A195" s="2" t="s">
        <v>41</v>
      </c>
      <c r="B195" s="2" t="s">
        <v>42</v>
      </c>
      <c r="C195" s="2" t="s">
        <v>43</v>
      </c>
      <c r="D195" s="2" t="s">
        <v>44</v>
      </c>
      <c r="E195" s="2" t="s">
        <v>45</v>
      </c>
      <c r="F195" s="2" t="s">
        <v>46</v>
      </c>
      <c r="G195" s="2" t="s">
        <v>47</v>
      </c>
      <c r="H195" s="2" t="s">
        <v>48</v>
      </c>
      <c r="I195" s="2">
        <v>5</v>
      </c>
      <c r="J195" s="2" t="s">
        <v>49</v>
      </c>
      <c r="K195" s="2">
        <v>0.2</v>
      </c>
      <c r="L195" s="2" t="s">
        <v>37</v>
      </c>
      <c r="M195" s="2" t="s">
        <v>25</v>
      </c>
      <c r="N195" s="2" t="s">
        <v>50</v>
      </c>
      <c r="O195" s="2" t="s">
        <v>51</v>
      </c>
      <c r="P195" s="2" t="str">
        <f t="shared" si="27"/>
        <v>Sofia Johnson</v>
      </c>
      <c r="Q195" s="2" t="str">
        <f>IF(OR(PROPER(TRIM(tblOrders[[#This Row],[Region]]))="Nort",PROPER(TRIM(tblOrders[[#This Row],[Region]]))="Northh"),"North",PROPER(TRIM(tblOrders[[#This Row],[Region]])))</f>
        <v>South</v>
      </c>
      <c r="R195" s="2" t="str">
        <f t="shared" si="28"/>
        <v>Stationery</v>
      </c>
      <c r="S195" s="2" t="str">
        <f t="shared" si="29"/>
        <v>In-Store</v>
      </c>
      <c r="T195" s="2" t="str">
        <f t="shared" si="30"/>
        <v>Bank Transfer</v>
      </c>
      <c r="U195" s="2" t="str">
        <f t="shared" si="31"/>
        <v>Completed</v>
      </c>
      <c r="V195" s="2">
        <f t="shared" si="32"/>
        <v>5</v>
      </c>
      <c r="W195" s="2">
        <f t="shared" si="33"/>
        <v>304.69</v>
      </c>
      <c r="X19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45523</v>
      </c>
      <c r="Y195" s="2">
        <f t="shared" si="34"/>
        <v>0.2</v>
      </c>
      <c r="Z195" s="2" t="str">
        <f>TRIM(CLEAN(tblOrders[[#This Row],[Notes]]))</f>
        <v/>
      </c>
      <c r="AA195" s="2" t="str">
        <f t="shared" si="35"/>
        <v>High Value</v>
      </c>
      <c r="AB195" s="2">
        <f>IF(OR(tblOrders[[#This Row],[Quantity_Clean]]="",tblOrders[[#This Row],[UnitPrice_Clean]]=""),0,tblOrders[[#This Row],[Quantity_Clean]]*tblOrders[[#This Row],[UnitPrice_Clean]])</f>
        <v>1523.45</v>
      </c>
      <c r="AC195" s="2" t="str">
        <f>UPPER(TRIM(tblOrders[[#This Row],[OrderID]]))</f>
        <v>ORD-1058</v>
      </c>
      <c r="AD195" s="2">
        <f>VALUE(RIGHT(tblOrders[[#This Row],[OrderID]],4))</f>
        <v>1058</v>
      </c>
      <c r="AE195" s="2" t="str">
        <f>TEXT(tblOrders[[#This Row],[OrderDate_Clean]],"mmm-yyyy")</f>
        <v>Aug-2024</v>
      </c>
      <c r="AF195" s="3">
        <f>EOMONTH(tblOrders[[#This Row],[OrderDate_Clean]],0)</f>
        <v>45535</v>
      </c>
      <c r="AG195" s="2" t="s">
        <v>948</v>
      </c>
      <c r="AH195" s="2">
        <f>IF(tblOrders[[#This Row],[Discount]]="",0,IF(ISNUMBER(tblOrders[[#This Row],[Discount]]),tblOrders[[#This Row],[Discount]],VALUE(SUBSTITUTE(TRIM(tblOrders[[#This Row],[Discount]]),"%",""))/100))</f>
        <v>0.2</v>
      </c>
    </row>
    <row r="196" spans="1:34" x14ac:dyDescent="0.25">
      <c r="A196" s="2" t="s">
        <v>619</v>
      </c>
      <c r="B196" s="2" t="s">
        <v>620</v>
      </c>
      <c r="C196" s="2" t="s">
        <v>621</v>
      </c>
      <c r="D196" s="2" t="s">
        <v>116</v>
      </c>
      <c r="E196" s="2" t="s">
        <v>19</v>
      </c>
      <c r="F196" s="2" t="s">
        <v>46</v>
      </c>
      <c r="G196" s="2" t="s">
        <v>34</v>
      </c>
      <c r="H196" s="2" t="s">
        <v>195</v>
      </c>
      <c r="I196" s="2" t="s">
        <v>36</v>
      </c>
      <c r="J196" s="2" t="s">
        <v>622</v>
      </c>
      <c r="K196" s="2"/>
      <c r="L196" s="2" t="s">
        <v>102</v>
      </c>
      <c r="M196" s="2" t="s">
        <v>25</v>
      </c>
      <c r="N196" s="2"/>
      <c r="O196" s="2" t="s">
        <v>27</v>
      </c>
      <c r="P196" s="2" t="str">
        <f t="shared" si="27"/>
        <v>Yusuf Lee</v>
      </c>
      <c r="Q196" s="2" t="str">
        <f>IF(OR(PROPER(TRIM(tblOrders[[#This Row],[Region]]))="Nort",PROPER(TRIM(tblOrders[[#This Row],[Region]]))="Northh"),"North",PROPER(TRIM(tblOrders[[#This Row],[Region]])))</f>
        <v>East</v>
      </c>
      <c r="R196" s="2" t="str">
        <f t="shared" si="28"/>
        <v>Stationery</v>
      </c>
      <c r="S196" s="2" t="str">
        <f t="shared" si="29"/>
        <v>In-Store</v>
      </c>
      <c r="T196" s="2" t="str">
        <f t="shared" si="30"/>
        <v>Cash</v>
      </c>
      <c r="U196" s="2" t="str">
        <f t="shared" si="31"/>
        <v>Completed</v>
      </c>
      <c r="V196" s="2">
        <f t="shared" si="32"/>
        <v>3</v>
      </c>
      <c r="W196" s="2">
        <f t="shared" si="33"/>
        <v>371.74</v>
      </c>
      <c r="X19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45411</v>
      </c>
      <c r="Y196" s="2">
        <f t="shared" si="34"/>
        <v>0</v>
      </c>
      <c r="Z196" s="2" t="str">
        <f>TRIM(CLEAN(tblOrders[[#This Row],[Notes]]))</f>
        <v>Customer called twice</v>
      </c>
      <c r="AA196" s="2" t="str">
        <f t="shared" si="35"/>
        <v>High Value</v>
      </c>
      <c r="AB196" s="2">
        <f>IF(OR(tblOrders[[#This Row],[Quantity_Clean]]="",tblOrders[[#This Row],[UnitPrice_Clean]]=""),0,tblOrders[[#This Row],[Quantity_Clean]]*tblOrders[[#This Row],[UnitPrice_Clean]])</f>
        <v>1115.22</v>
      </c>
      <c r="AC196" s="2" t="str">
        <f>UPPER(TRIM(tblOrders[[#This Row],[OrderID]]))</f>
        <v>ORD-1097</v>
      </c>
      <c r="AD196" s="2">
        <f>VALUE(RIGHT(tblOrders[[#This Row],[OrderID]],4))</f>
        <v>1097</v>
      </c>
      <c r="AE196" s="2" t="str">
        <f>TEXT(tblOrders[[#This Row],[OrderDate_Clean]],"mmm-yyyy")</f>
        <v>Apr-2024</v>
      </c>
      <c r="AF196" s="3">
        <f>EOMONTH(tblOrders[[#This Row],[OrderDate_Clean]],0)</f>
        <v>45412</v>
      </c>
      <c r="AG196" s="2" t="s">
        <v>906</v>
      </c>
      <c r="AH196" s="2">
        <f>IF(tblOrders[[#This Row],[Discount]]="",0,IF(ISNUMBER(tblOrders[[#This Row],[Discount]]),tblOrders[[#This Row],[Discount]],VALUE(SUBSTITUTE(TRIM(tblOrders[[#This Row],[Discount]]),"%",""))/100))</f>
        <v>0</v>
      </c>
    </row>
    <row r="197" spans="1:34" x14ac:dyDescent="0.25">
      <c r="A197" s="2" t="s">
        <v>221</v>
      </c>
      <c r="B197" s="2" t="s">
        <v>222</v>
      </c>
      <c r="C197" s="2" t="s">
        <v>223</v>
      </c>
      <c r="D197" s="2" t="s">
        <v>224</v>
      </c>
      <c r="E197" s="2" t="s">
        <v>45</v>
      </c>
      <c r="F197" s="2" t="s">
        <v>46</v>
      </c>
      <c r="G197" s="2" t="s">
        <v>34</v>
      </c>
      <c r="H197" s="2" t="s">
        <v>68</v>
      </c>
      <c r="I197" s="2" t="s">
        <v>225</v>
      </c>
      <c r="J197" s="2">
        <v>474.53</v>
      </c>
      <c r="K197" s="2"/>
      <c r="L197" s="2" t="s">
        <v>24</v>
      </c>
      <c r="M197" s="2" t="s">
        <v>144</v>
      </c>
      <c r="N197" s="2" t="s">
        <v>26</v>
      </c>
      <c r="O197" s="2" t="s">
        <v>126</v>
      </c>
      <c r="P197" s="2" t="str">
        <f t="shared" si="27"/>
        <v>Zara Farooq</v>
      </c>
      <c r="Q197" s="2" t="str">
        <f>IF(OR(PROPER(TRIM(tblOrders[[#This Row],[Region]]))="Nort",PROPER(TRIM(tblOrders[[#This Row],[Region]]))="Northh"),"North",PROPER(TRIM(tblOrders[[#This Row],[Region]])))</f>
        <v>South</v>
      </c>
      <c r="R197" s="2" t="str">
        <f t="shared" si="28"/>
        <v>Stationery</v>
      </c>
      <c r="S197" s="2" t="str">
        <f t="shared" si="29"/>
        <v>Online</v>
      </c>
      <c r="T197" s="2" t="str">
        <f t="shared" si="30"/>
        <v>Credit Card</v>
      </c>
      <c r="U197" s="2" t="str">
        <f t="shared" si="31"/>
        <v>Refunded</v>
      </c>
      <c r="V197" s="2">
        <f t="shared" si="32"/>
        <v>1</v>
      </c>
      <c r="W197" s="2">
        <f t="shared" si="33"/>
        <v>474.53</v>
      </c>
      <c r="X19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45505</v>
      </c>
      <c r="Y197" s="2">
        <f t="shared" si="34"/>
        <v>0</v>
      </c>
      <c r="Z197" s="2" t="str">
        <f>TRIM(CLEAN(tblOrders[[#This Row],[Notes]]))</f>
        <v>Gift wrap requested</v>
      </c>
      <c r="AA197" s="2" t="str">
        <f t="shared" si="35"/>
        <v>Standard</v>
      </c>
      <c r="AB197" s="2">
        <f>IF(OR(tblOrders[[#This Row],[Quantity_Clean]]="",tblOrders[[#This Row],[UnitPrice_Clean]]=""),0,tblOrders[[#This Row],[Quantity_Clean]]*tblOrders[[#This Row],[UnitPrice_Clean]])</f>
        <v>474.53</v>
      </c>
      <c r="AC197" s="2" t="str">
        <f>UPPER(TRIM(tblOrders[[#This Row],[OrderID]]))</f>
        <v>ORD-1087</v>
      </c>
      <c r="AD197" s="2">
        <f>VALUE(RIGHT(tblOrders[[#This Row],[OrderID]],4))</f>
        <v>1087</v>
      </c>
      <c r="AE197" s="2" t="str">
        <f>TEXT(tblOrders[[#This Row],[OrderDate_Clean]],"mmm-yyyy")</f>
        <v>Aug-2024</v>
      </c>
      <c r="AF197" s="3">
        <f>EOMONTH(tblOrders[[#This Row],[OrderDate_Clean]],0)</f>
        <v>45535</v>
      </c>
      <c r="AG197" s="2" t="s">
        <v>914</v>
      </c>
      <c r="AH197" s="2">
        <f>IF(tblOrders[[#This Row],[Discount]]="",0,IF(ISNUMBER(tblOrders[[#This Row],[Discount]]),tblOrders[[#This Row],[Discount]],VALUE(SUBSTITUTE(TRIM(tblOrders[[#This Row],[Discount]]),"%",""))/100))</f>
        <v>0</v>
      </c>
    </row>
    <row r="198" spans="1:34" x14ac:dyDescent="0.25">
      <c r="A198" s="2" t="s">
        <v>542</v>
      </c>
      <c r="B198" s="2" t="s">
        <v>543</v>
      </c>
      <c r="C198" s="2" t="s">
        <v>544</v>
      </c>
      <c r="D198" s="2" t="s">
        <v>55</v>
      </c>
      <c r="E198" s="2" t="s">
        <v>32</v>
      </c>
      <c r="F198" s="2" t="s">
        <v>46</v>
      </c>
      <c r="G198" s="2" t="s">
        <v>47</v>
      </c>
      <c r="H198" s="2" t="s">
        <v>178</v>
      </c>
      <c r="I198" s="2">
        <v>8</v>
      </c>
      <c r="J198" s="2">
        <v>351.37</v>
      </c>
      <c r="K198" s="2">
        <v>0.15</v>
      </c>
      <c r="L198" s="2" t="s">
        <v>59</v>
      </c>
      <c r="M198" s="2" t="s">
        <v>60</v>
      </c>
      <c r="N198" s="2" t="s">
        <v>26</v>
      </c>
      <c r="O198" s="2"/>
      <c r="P198" s="2" t="str">
        <f t="shared" si="27"/>
        <v>Kate Brown</v>
      </c>
      <c r="Q198" s="2" t="str">
        <f>IF(OR(PROPER(TRIM(tblOrders[[#This Row],[Region]]))="Nort",PROPER(TRIM(tblOrders[[#This Row],[Region]]))="Northh"),"North",PROPER(TRIM(tblOrders[[#This Row],[Region]])))</f>
        <v>North</v>
      </c>
      <c r="R198" s="2" t="str">
        <f t="shared" si="28"/>
        <v>Stationery</v>
      </c>
      <c r="S198" s="2" t="str">
        <f t="shared" si="29"/>
        <v>Online</v>
      </c>
      <c r="T198" s="2" t="str">
        <f t="shared" si="30"/>
        <v>Debit Card</v>
      </c>
      <c r="U198" s="2" t="str">
        <f t="shared" si="31"/>
        <v>Completed</v>
      </c>
      <c r="V198" s="2">
        <f t="shared" si="32"/>
        <v>8</v>
      </c>
      <c r="W198" s="2">
        <f t="shared" si="33"/>
        <v>351.37</v>
      </c>
      <c r="X19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45312</v>
      </c>
      <c r="Y198" s="2">
        <f t="shared" si="34"/>
        <v>0.15</v>
      </c>
      <c r="Z198" s="2" t="str">
        <f>TRIM(CLEAN(tblOrders[[#This Row],[Notes]]))</f>
        <v/>
      </c>
      <c r="AA198" s="2" t="str">
        <f t="shared" si="35"/>
        <v>High Value</v>
      </c>
      <c r="AB198" s="2">
        <f>IF(OR(tblOrders[[#This Row],[Quantity_Clean]]="",tblOrders[[#This Row],[UnitPrice_Clean]]=""),0,tblOrders[[#This Row],[Quantity_Clean]]*tblOrders[[#This Row],[UnitPrice_Clean]])</f>
        <v>2810.96</v>
      </c>
      <c r="AC198" s="2" t="str">
        <f>UPPER(TRIM(tblOrders[[#This Row],[OrderID]]))</f>
        <v>ORD-1039</v>
      </c>
      <c r="AD198" s="2">
        <f>VALUE(RIGHT(tblOrders[[#This Row],[OrderID]],4))</f>
        <v>1039</v>
      </c>
      <c r="AE198" s="2" t="str">
        <f>TEXT(tblOrders[[#This Row],[OrderDate_Clean]],"mmm-yyyy")</f>
        <v>Jan-2024</v>
      </c>
      <c r="AF198" s="3">
        <f>EOMONTH(tblOrders[[#This Row],[OrderDate_Clean]],0)</f>
        <v>45322</v>
      </c>
      <c r="AG198" s="2" t="s">
        <v>927</v>
      </c>
      <c r="AH198" s="2">
        <f>IF(tblOrders[[#This Row],[Discount]]="",0,IF(ISNUMBER(tblOrders[[#This Row],[Discount]]),tblOrders[[#This Row],[Discount]],VALUE(SUBSTITUTE(TRIM(tblOrders[[#This Row],[Discount]]),"%",""))/100))</f>
        <v>0.15</v>
      </c>
    </row>
    <row r="199" spans="1:34" x14ac:dyDescent="0.25">
      <c r="A199" s="2" t="s">
        <v>597</v>
      </c>
      <c r="B199" s="2" t="s">
        <v>598</v>
      </c>
      <c r="C199" s="2" t="s">
        <v>599</v>
      </c>
      <c r="D199" s="2" t="s">
        <v>162</v>
      </c>
      <c r="E199" s="2" t="s">
        <v>19</v>
      </c>
      <c r="F199" s="2" t="s">
        <v>46</v>
      </c>
      <c r="G199" s="2" t="s">
        <v>323</v>
      </c>
      <c r="H199" s="2" t="s">
        <v>48</v>
      </c>
      <c r="I199" s="2">
        <v>7</v>
      </c>
      <c r="J199" s="2">
        <v>307.88</v>
      </c>
      <c r="K199" s="2">
        <v>0.05</v>
      </c>
      <c r="L199" s="2" t="s">
        <v>69</v>
      </c>
      <c r="M199" s="2" t="s">
        <v>201</v>
      </c>
      <c r="N199" s="2" t="s">
        <v>26</v>
      </c>
      <c r="O199" s="2"/>
      <c r="P199" s="2" t="str">
        <f t="shared" si="27"/>
        <v>Bilal Taylor</v>
      </c>
      <c r="Q199" s="2" t="str">
        <f>IF(OR(PROPER(TRIM(tblOrders[[#This Row],[Region]]))="Nort",PROPER(TRIM(tblOrders[[#This Row],[Region]]))="Northh"),"North",PROPER(TRIM(tblOrders[[#This Row],[Region]])))</f>
        <v>East</v>
      </c>
      <c r="R199" s="2" t="str">
        <f t="shared" si="28"/>
        <v>Stationery</v>
      </c>
      <c r="S199" s="2" t="str">
        <f t="shared" si="29"/>
        <v>In-Store</v>
      </c>
      <c r="T199" s="2" t="str">
        <f t="shared" si="30"/>
        <v>Debit Card</v>
      </c>
      <c r="U199" s="2" t="str">
        <f t="shared" si="31"/>
        <v>Pending</v>
      </c>
      <c r="V199" s="2">
        <f t="shared" si="32"/>
        <v>7</v>
      </c>
      <c r="W199" s="2">
        <f t="shared" si="33"/>
        <v>307.88</v>
      </c>
      <c r="X19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45539</v>
      </c>
      <c r="Y199" s="2">
        <f t="shared" si="34"/>
        <v>0.05</v>
      </c>
      <c r="Z199" s="2" t="str">
        <f>TRIM(CLEAN(tblOrders[[#This Row],[Notes]]))</f>
        <v/>
      </c>
      <c r="AA199" s="2" t="str">
        <f t="shared" si="35"/>
        <v>High Value</v>
      </c>
      <c r="AB199" s="2">
        <f>IF(OR(tblOrders[[#This Row],[Quantity_Clean]]="",tblOrders[[#This Row],[UnitPrice_Clean]]=""),0,tblOrders[[#This Row],[Quantity_Clean]]*tblOrders[[#This Row],[UnitPrice_Clean]])</f>
        <v>2155.16</v>
      </c>
      <c r="AC199" s="2" t="str">
        <f>UPPER(TRIM(tblOrders[[#This Row],[OrderID]]))</f>
        <v>ORD-1216</v>
      </c>
      <c r="AD199" s="2">
        <f>VALUE(RIGHT(tblOrders[[#This Row],[OrderID]],4))</f>
        <v>1216</v>
      </c>
      <c r="AE199" s="2" t="str">
        <f>TEXT(tblOrders[[#This Row],[OrderDate_Clean]],"mmm-yyyy")</f>
        <v>Sep-2024</v>
      </c>
      <c r="AF199" s="3">
        <f>EOMONTH(tblOrders[[#This Row],[OrderDate_Clean]],0)</f>
        <v>45565</v>
      </c>
      <c r="AG199" s="2" t="s">
        <v>923</v>
      </c>
      <c r="AH199" s="2">
        <f>IF(tblOrders[[#This Row],[Discount]]="",0,IF(ISNUMBER(tblOrders[[#This Row],[Discount]]),tblOrders[[#This Row],[Discount]],VALUE(SUBSTITUTE(TRIM(tblOrders[[#This Row],[Discount]]),"%",""))/100))</f>
        <v>0.05</v>
      </c>
    </row>
    <row r="200" spans="1:34" x14ac:dyDescent="0.25">
      <c r="A200" s="2" t="s">
        <v>803</v>
      </c>
      <c r="B200" s="2" t="s">
        <v>804</v>
      </c>
      <c r="C200" s="2" t="s">
        <v>805</v>
      </c>
      <c r="D200" s="2" t="s">
        <v>116</v>
      </c>
      <c r="E200" s="2" t="s">
        <v>117</v>
      </c>
      <c r="F200" s="2" t="s">
        <v>46</v>
      </c>
      <c r="G200" s="2" t="s">
        <v>107</v>
      </c>
      <c r="H200" s="2" t="s">
        <v>195</v>
      </c>
      <c r="I200" s="2">
        <v>12</v>
      </c>
      <c r="J200" s="2">
        <v>295.52999999999997</v>
      </c>
      <c r="K200" s="2">
        <v>0.05</v>
      </c>
      <c r="L200" s="2" t="s">
        <v>59</v>
      </c>
      <c r="M200" s="2" t="s">
        <v>201</v>
      </c>
      <c r="N200" s="2" t="s">
        <v>50</v>
      </c>
      <c r="O200" s="2" t="s">
        <v>93</v>
      </c>
      <c r="P200" s="2" t="str">
        <f t="shared" si="27"/>
        <v>Sana Brown</v>
      </c>
      <c r="Q200" s="2" t="str">
        <f>IF(OR(PROPER(TRIM(tblOrders[[#This Row],[Region]]))="Nort",PROPER(TRIM(tblOrders[[#This Row],[Region]]))="Northh"),"North",PROPER(TRIM(tblOrders[[#This Row],[Region]])))</f>
        <v>East</v>
      </c>
      <c r="R200" s="2" t="str">
        <f t="shared" si="28"/>
        <v>Stationery</v>
      </c>
      <c r="S200" s="2" t="str">
        <f t="shared" si="29"/>
        <v>In-Store</v>
      </c>
      <c r="T200" s="2" t="str">
        <f t="shared" si="30"/>
        <v>Debit Card</v>
      </c>
      <c r="U200" s="2" t="str">
        <f t="shared" si="31"/>
        <v>Pending</v>
      </c>
      <c r="V200" s="2">
        <f t="shared" si="32"/>
        <v>12</v>
      </c>
      <c r="W200" s="2">
        <f t="shared" si="33"/>
        <v>295.52999999999997</v>
      </c>
      <c r="X20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45468</v>
      </c>
      <c r="Y200" s="2">
        <f t="shared" si="34"/>
        <v>0.05</v>
      </c>
      <c r="Z200" s="2" t="str">
        <f>TRIM(CLEAN(tblOrders[[#This Row],[Notes]]))</f>
        <v>Bulk order - business account</v>
      </c>
      <c r="AA200" s="2" t="str">
        <f t="shared" si="35"/>
        <v>High Value</v>
      </c>
      <c r="AB200" s="2">
        <f>IF(OR(tblOrders[[#This Row],[Quantity_Clean]]="",tblOrders[[#This Row],[UnitPrice_Clean]]=""),0,tblOrders[[#This Row],[Quantity_Clean]]*tblOrders[[#This Row],[UnitPrice_Clean]])</f>
        <v>3546.3599999999997</v>
      </c>
      <c r="AC200" s="2" t="str">
        <f>UPPER(TRIM(tblOrders[[#This Row],[OrderID]]))</f>
        <v>ORD-1044</v>
      </c>
      <c r="AD200" s="2">
        <f>VALUE(RIGHT(tblOrders[[#This Row],[OrderID]],4))</f>
        <v>1044</v>
      </c>
      <c r="AE200" s="2" t="str">
        <f>TEXT(tblOrders[[#This Row],[OrderDate_Clean]],"mmm-yyyy")</f>
        <v>Jun-2024</v>
      </c>
      <c r="AF200" s="3">
        <f>EOMONTH(tblOrders[[#This Row],[OrderDate_Clean]],0)</f>
        <v>45473</v>
      </c>
      <c r="AG200" s="2" t="s">
        <v>925</v>
      </c>
      <c r="AH200" s="2">
        <f>IF(tblOrders[[#This Row],[Discount]]="",0,IF(ISNUMBER(tblOrders[[#This Row],[Discount]]),tblOrders[[#This Row],[Discount]],VALUE(SUBSTITUTE(TRIM(tblOrders[[#This Row],[Discount]]),"%",""))/100))</f>
        <v>0.05</v>
      </c>
    </row>
    <row r="201" spans="1:34" x14ac:dyDescent="0.25">
      <c r="A201" s="2" t="s">
        <v>381</v>
      </c>
      <c r="B201" s="2" t="s">
        <v>95</v>
      </c>
      <c r="C201" s="2" t="s">
        <v>382</v>
      </c>
      <c r="D201" s="2" t="s">
        <v>18</v>
      </c>
      <c r="E201" s="2" t="s">
        <v>19</v>
      </c>
      <c r="F201" s="2" t="s">
        <v>46</v>
      </c>
      <c r="G201" s="2" t="s">
        <v>47</v>
      </c>
      <c r="H201" s="2" t="s">
        <v>22</v>
      </c>
      <c r="I201" s="2">
        <v>8</v>
      </c>
      <c r="J201" s="2">
        <v>258.02999999999997</v>
      </c>
      <c r="K201" s="2">
        <v>0.05</v>
      </c>
      <c r="L201" s="2" t="s">
        <v>132</v>
      </c>
      <c r="M201" s="2" t="s">
        <v>60</v>
      </c>
      <c r="N201" s="2" t="s">
        <v>71</v>
      </c>
      <c r="O201" s="2"/>
      <c r="P201" s="2" t="str">
        <f t="shared" si="27"/>
        <v>Chen Farooq</v>
      </c>
      <c r="Q201" s="2" t="str">
        <f>IF(OR(PROPER(TRIM(tblOrders[[#This Row],[Region]]))="Nort",PROPER(TRIM(tblOrders[[#This Row],[Region]]))="Northh"),"North",PROPER(TRIM(tblOrders[[#This Row],[Region]])))</f>
        <v>East</v>
      </c>
      <c r="R201" s="2" t="str">
        <f t="shared" si="28"/>
        <v>Stationery</v>
      </c>
      <c r="S201" s="2" t="str">
        <f t="shared" si="29"/>
        <v>In-Store</v>
      </c>
      <c r="T201" s="2" t="str">
        <f t="shared" si="30"/>
        <v>Cash</v>
      </c>
      <c r="U201" s="2" t="str">
        <f t="shared" si="31"/>
        <v>Completed</v>
      </c>
      <c r="V201" s="2">
        <f t="shared" si="32"/>
        <v>8</v>
      </c>
      <c r="W201" s="2">
        <f t="shared" si="33"/>
        <v>258.02999999999997</v>
      </c>
      <c r="X20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45555</v>
      </c>
      <c r="Y201" s="2">
        <f t="shared" si="34"/>
        <v>0.05</v>
      </c>
      <c r="Z201" s="2" t="str">
        <f>TRIM(CLEAN(tblOrders[[#This Row],[Notes]]))</f>
        <v/>
      </c>
      <c r="AA201" s="2" t="str">
        <f t="shared" si="35"/>
        <v>High Value</v>
      </c>
      <c r="AB201" s="2">
        <f>IF(OR(tblOrders[[#This Row],[Quantity_Clean]]="",tblOrders[[#This Row],[UnitPrice_Clean]]=""),0,tblOrders[[#This Row],[Quantity_Clean]]*tblOrders[[#This Row],[UnitPrice_Clean]])</f>
        <v>2064.2399999999998</v>
      </c>
      <c r="AC201" s="2" t="str">
        <f>UPPER(TRIM(tblOrders[[#This Row],[OrderID]]))</f>
        <v>ORD-1022</v>
      </c>
      <c r="AD201" s="2">
        <f>VALUE(RIGHT(tblOrders[[#This Row],[OrderID]],4))</f>
        <v>1022</v>
      </c>
      <c r="AE201" s="2" t="str">
        <f>TEXT(tblOrders[[#This Row],[OrderDate_Clean]],"mmm-yyyy")</f>
        <v>Sep-2024</v>
      </c>
      <c r="AF201" s="3">
        <f>EOMONTH(tblOrders[[#This Row],[OrderDate_Clean]],0)</f>
        <v>45565</v>
      </c>
      <c r="AG201" s="2" t="s">
        <v>917</v>
      </c>
      <c r="AH201" s="2">
        <f>IF(tblOrders[[#This Row],[Discount]]="",0,IF(ISNUMBER(tblOrders[[#This Row],[Discount]]),tblOrders[[#This Row],[Discount]],VALUE(SUBSTITUTE(TRIM(tblOrders[[#This Row],[Discount]]),"%",""))/100))</f>
        <v>0.05</v>
      </c>
    </row>
    <row r="202" spans="1:34" x14ac:dyDescent="0.25">
      <c r="A202" s="2" t="s">
        <v>381</v>
      </c>
      <c r="B202" s="2" t="s">
        <v>95</v>
      </c>
      <c r="C202" s="2" t="s">
        <v>844</v>
      </c>
      <c r="D202" s="2" t="s">
        <v>18</v>
      </c>
      <c r="E202" s="2" t="s">
        <v>19</v>
      </c>
      <c r="F202" s="2" t="s">
        <v>46</v>
      </c>
      <c r="G202" s="2" t="s">
        <v>47</v>
      </c>
      <c r="H202" s="2" t="s">
        <v>22</v>
      </c>
      <c r="I202" s="2">
        <v>8</v>
      </c>
      <c r="J202" s="2">
        <v>258.02999999999997</v>
      </c>
      <c r="K202" s="2">
        <v>0.05</v>
      </c>
      <c r="L202" s="2" t="s">
        <v>132</v>
      </c>
      <c r="M202" s="2" t="s">
        <v>60</v>
      </c>
      <c r="N202" s="2" t="s">
        <v>71</v>
      </c>
      <c r="O202" s="2"/>
      <c r="P202" s="2" t="str">
        <f t="shared" si="27"/>
        <v>Chen Farooq</v>
      </c>
      <c r="Q202" s="2" t="str">
        <f>IF(OR(PROPER(TRIM(tblOrders[[#This Row],[Region]]))="Nort",PROPER(TRIM(tblOrders[[#This Row],[Region]]))="Northh"),"North",PROPER(TRIM(tblOrders[[#This Row],[Region]])))</f>
        <v>East</v>
      </c>
      <c r="R202" s="2" t="str">
        <f t="shared" si="28"/>
        <v>Stationery</v>
      </c>
      <c r="S202" s="2" t="str">
        <f t="shared" si="29"/>
        <v>In-Store</v>
      </c>
      <c r="T202" s="2" t="str">
        <f t="shared" si="30"/>
        <v>Cash</v>
      </c>
      <c r="U202" s="2" t="str">
        <f t="shared" si="31"/>
        <v>Completed</v>
      </c>
      <c r="V202" s="2">
        <f t="shared" si="32"/>
        <v>8</v>
      </c>
      <c r="W202" s="2">
        <f t="shared" si="33"/>
        <v>258.02999999999997</v>
      </c>
      <c r="X20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45555</v>
      </c>
      <c r="Y202" s="2">
        <f t="shared" si="34"/>
        <v>0.05</v>
      </c>
      <c r="Z202" s="2" t="str">
        <f>TRIM(CLEAN(tblOrders[[#This Row],[Notes]]))</f>
        <v/>
      </c>
      <c r="AA202" s="2" t="str">
        <f t="shared" si="35"/>
        <v>High Value</v>
      </c>
      <c r="AB202" s="2">
        <f>IF(OR(tblOrders[[#This Row],[Quantity_Clean]]="",tblOrders[[#This Row],[UnitPrice_Clean]]=""),0,tblOrders[[#This Row],[Quantity_Clean]]*tblOrders[[#This Row],[UnitPrice_Clean]])</f>
        <v>2064.2399999999998</v>
      </c>
      <c r="AC202" s="2" t="str">
        <f>UPPER(TRIM(tblOrders[[#This Row],[OrderID]]))</f>
        <v>ORD-1022</v>
      </c>
      <c r="AD202" s="2">
        <f>VALUE(RIGHT(tblOrders[[#This Row],[OrderID]],4))</f>
        <v>1022</v>
      </c>
      <c r="AE202" s="2" t="str">
        <f>TEXT(tblOrders[[#This Row],[OrderDate_Clean]],"mmm-yyyy")</f>
        <v>Sep-2024</v>
      </c>
      <c r="AF202" s="3">
        <f>EOMONTH(tblOrders[[#This Row],[OrderDate_Clean]],0)</f>
        <v>45565</v>
      </c>
      <c r="AG202" s="2" t="s">
        <v>880</v>
      </c>
      <c r="AH202" s="2">
        <f>IF(tblOrders[[#This Row],[Discount]]="",0,IF(ISNUMBER(tblOrders[[#This Row],[Discount]]),tblOrders[[#This Row],[Discount]],VALUE(SUBSTITUTE(TRIM(tblOrders[[#This Row],[Discount]]),"%",""))/100))</f>
        <v>0.05</v>
      </c>
    </row>
    <row r="203" spans="1:34" x14ac:dyDescent="0.25">
      <c r="A203" s="2" t="s">
        <v>704</v>
      </c>
      <c r="B203" s="2" t="s">
        <v>705</v>
      </c>
      <c r="C203" s="2" t="s">
        <v>706</v>
      </c>
      <c r="D203" s="2" t="s">
        <v>212</v>
      </c>
      <c r="E203" s="2" t="s">
        <v>98</v>
      </c>
      <c r="F203" s="2" t="s">
        <v>46</v>
      </c>
      <c r="G203" s="2" t="s">
        <v>323</v>
      </c>
      <c r="H203" s="2" t="s">
        <v>58</v>
      </c>
      <c r="I203" s="2" t="s">
        <v>360</v>
      </c>
      <c r="J203" s="2">
        <v>223.89</v>
      </c>
      <c r="K203" s="2"/>
      <c r="L203" s="2" t="s">
        <v>143</v>
      </c>
      <c r="M203" s="2" t="s">
        <v>170</v>
      </c>
      <c r="N203" s="2" t="s">
        <v>26</v>
      </c>
      <c r="O203" s="2" t="s">
        <v>87</v>
      </c>
      <c r="P203" s="2" t="str">
        <f t="shared" si="27"/>
        <v>Umar Johnson</v>
      </c>
      <c r="Q203" s="2" t="str">
        <f>IF(OR(PROPER(TRIM(tblOrders[[#This Row],[Region]]))="Nort",PROPER(TRIM(tblOrders[[#This Row],[Region]]))="Northh"),"North",PROPER(TRIM(tblOrders[[#This Row],[Region]])))</f>
        <v>West</v>
      </c>
      <c r="R203" s="2" t="str">
        <f t="shared" si="28"/>
        <v>Stationery</v>
      </c>
      <c r="S203" s="2" t="str">
        <f t="shared" si="29"/>
        <v>Online</v>
      </c>
      <c r="T203" s="2" t="str">
        <f t="shared" si="30"/>
        <v>Credit Card</v>
      </c>
      <c r="U203" s="2" t="str">
        <f t="shared" si="31"/>
        <v>Cancelled</v>
      </c>
      <c r="V203" s="2">
        <f t="shared" si="32"/>
        <v>8</v>
      </c>
      <c r="W203" s="2">
        <f t="shared" si="33"/>
        <v>223.89</v>
      </c>
      <c r="X20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45329</v>
      </c>
      <c r="Y203" s="2">
        <f t="shared" si="34"/>
        <v>0</v>
      </c>
      <c r="Z203" s="2" t="str">
        <f>TRIM(CLEAN(tblOrders[[#This Row],[Notes]]))</f>
        <v>Damaged on arrival - replaced</v>
      </c>
      <c r="AA203" s="2" t="str">
        <f t="shared" si="35"/>
        <v>High Value</v>
      </c>
      <c r="AB203" s="2">
        <f>IF(OR(tblOrders[[#This Row],[Quantity_Clean]]="",tblOrders[[#This Row],[UnitPrice_Clean]]=""),0,tblOrders[[#This Row],[Quantity_Clean]]*tblOrders[[#This Row],[UnitPrice_Clean]])</f>
        <v>1791.12</v>
      </c>
      <c r="AC203" s="2" t="str">
        <f>UPPER(TRIM(tblOrders[[#This Row],[OrderID]]))</f>
        <v>ORD-1067</v>
      </c>
      <c r="AD203" s="2">
        <f>VALUE(RIGHT(tblOrders[[#This Row],[OrderID]],4))</f>
        <v>1067</v>
      </c>
      <c r="AE203" s="2" t="str">
        <f>TEXT(tblOrders[[#This Row],[OrderDate_Clean]],"mmm-yyyy")</f>
        <v>Feb-2024</v>
      </c>
      <c r="AF203" s="3">
        <f>EOMONTH(tblOrders[[#This Row],[OrderDate_Clean]],0)</f>
        <v>45351</v>
      </c>
      <c r="AG203" s="2" t="s">
        <v>911</v>
      </c>
      <c r="AH203" s="2">
        <f>IF(tblOrders[[#This Row],[Discount]]="",0,IF(ISNUMBER(tblOrders[[#This Row],[Discount]]),tblOrders[[#This Row],[Discount]],VALUE(SUBSTITUTE(TRIM(tblOrders[[#This Row],[Discount]]),"%",""))/100))</f>
        <v>0</v>
      </c>
    </row>
    <row r="204" spans="1:34" x14ac:dyDescent="0.25">
      <c r="A204" s="2" t="s">
        <v>545</v>
      </c>
      <c r="B204" s="2" t="s">
        <v>546</v>
      </c>
      <c r="C204" s="2" t="s">
        <v>547</v>
      </c>
      <c r="D204" s="2" t="s">
        <v>152</v>
      </c>
      <c r="E204" s="2" t="s">
        <v>19</v>
      </c>
      <c r="F204" s="2" t="s">
        <v>46</v>
      </c>
      <c r="G204" s="2" t="s">
        <v>34</v>
      </c>
      <c r="H204" s="2" t="s">
        <v>35</v>
      </c>
      <c r="I204" s="2">
        <v>10</v>
      </c>
      <c r="J204" s="2">
        <v>113.56</v>
      </c>
      <c r="K204" s="2">
        <v>0</v>
      </c>
      <c r="L204" s="2" t="s">
        <v>237</v>
      </c>
      <c r="M204" s="2" t="s">
        <v>86</v>
      </c>
      <c r="N204" s="2" t="s">
        <v>39</v>
      </c>
      <c r="O204" s="2" t="s">
        <v>51</v>
      </c>
      <c r="P204" s="2" t="str">
        <f t="shared" si="27"/>
        <v>Sofia Lee</v>
      </c>
      <c r="Q204" s="2" t="str">
        <f>IF(OR(PROPER(TRIM(tblOrders[[#This Row],[Region]]))="Nort",PROPER(TRIM(tblOrders[[#This Row],[Region]]))="Northh"),"North",PROPER(TRIM(tblOrders[[#This Row],[Region]])))</f>
        <v>East</v>
      </c>
      <c r="R204" s="2" t="str">
        <f t="shared" si="28"/>
        <v>Stationery</v>
      </c>
      <c r="S204" s="2" t="str">
        <f t="shared" si="29"/>
        <v>In-Store</v>
      </c>
      <c r="T204" s="2" t="str">
        <f t="shared" si="30"/>
        <v>Bank Transfer</v>
      </c>
      <c r="U204" s="2" t="str">
        <f t="shared" si="31"/>
        <v>Completed</v>
      </c>
      <c r="V204" s="2">
        <f t="shared" si="32"/>
        <v>10</v>
      </c>
      <c r="W204" s="2">
        <f t="shared" si="33"/>
        <v>113.56</v>
      </c>
      <c r="X20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45370</v>
      </c>
      <c r="Y204" s="2">
        <f t="shared" si="34"/>
        <v>0</v>
      </c>
      <c r="Z204" s="2" t="str">
        <f>TRIM(CLEAN(tblOrders[[#This Row],[Notes]]))</f>
        <v/>
      </c>
      <c r="AA204" s="2" t="str">
        <f t="shared" si="35"/>
        <v>High Value</v>
      </c>
      <c r="AB204" s="2">
        <f>IF(OR(tblOrders[[#This Row],[Quantity_Clean]]="",tblOrders[[#This Row],[UnitPrice_Clean]]=""),0,tblOrders[[#This Row],[Quantity_Clean]]*tblOrders[[#This Row],[UnitPrice_Clean]])</f>
        <v>1135.5999999999999</v>
      </c>
      <c r="AC204" s="2" t="str">
        <f>UPPER(TRIM(tblOrders[[#This Row],[OrderID]]))</f>
        <v>ORD-1005</v>
      </c>
      <c r="AD204" s="2">
        <f>VALUE(RIGHT(tblOrders[[#This Row],[OrderID]],4))</f>
        <v>1005</v>
      </c>
      <c r="AE204" s="2" t="str">
        <f>TEXT(tblOrders[[#This Row],[OrderDate_Clean]],"mmm-yyyy")</f>
        <v>Mar-2024</v>
      </c>
      <c r="AF204" s="3">
        <f>EOMONTH(tblOrders[[#This Row],[OrderDate_Clean]],0)</f>
        <v>45382</v>
      </c>
      <c r="AG204" s="2" t="s">
        <v>891</v>
      </c>
      <c r="AH204" s="2">
        <f>IF(tblOrders[[#This Row],[Discount]]="",0,IF(ISNUMBER(tblOrders[[#This Row],[Discount]]),tblOrders[[#This Row],[Discount]],VALUE(SUBSTITUTE(TRIM(tblOrders[[#This Row],[Discount]]),"%",""))/100))</f>
        <v>0</v>
      </c>
    </row>
    <row r="205" spans="1:34" x14ac:dyDescent="0.25">
      <c r="A205" s="2" t="s">
        <v>538</v>
      </c>
      <c r="B205" s="2" t="s">
        <v>539</v>
      </c>
      <c r="C205" s="2" t="s">
        <v>540</v>
      </c>
      <c r="D205" s="2" t="s">
        <v>285</v>
      </c>
      <c r="E205" s="2" t="s">
        <v>32</v>
      </c>
      <c r="F205" s="2" t="s">
        <v>33</v>
      </c>
      <c r="G205" s="2" t="s">
        <v>107</v>
      </c>
      <c r="H205" s="2" t="s">
        <v>48</v>
      </c>
      <c r="I205" s="2">
        <v>2</v>
      </c>
      <c r="J205" s="2" t="s">
        <v>541</v>
      </c>
      <c r="K205" s="2">
        <v>0.15</v>
      </c>
      <c r="L205" s="2" t="s">
        <v>180</v>
      </c>
      <c r="M205" s="2" t="s">
        <v>110</v>
      </c>
      <c r="N205" s="2" t="s">
        <v>111</v>
      </c>
      <c r="O205" s="2" t="s">
        <v>126</v>
      </c>
      <c r="P205" s="2" t="str">
        <f t="shared" si="27"/>
        <v>Sarah Taylor</v>
      </c>
      <c r="Q205" s="2" t="str">
        <f>IF(OR(PROPER(TRIM(tblOrders[[#This Row],[Region]]))="Nort",PROPER(TRIM(tblOrders[[#This Row],[Region]]))="Northh"),"North",PROPER(TRIM(tblOrders[[#This Row],[Region]])))</f>
        <v>North</v>
      </c>
      <c r="R205" s="2" t="str">
        <f t="shared" si="28"/>
        <v>Stationery</v>
      </c>
      <c r="S205" s="2" t="str">
        <f t="shared" si="29"/>
        <v>In-Store</v>
      </c>
      <c r="T205" s="2" t="str">
        <f t="shared" si="30"/>
        <v>Credit Card</v>
      </c>
      <c r="U205" s="2" t="str">
        <f t="shared" si="31"/>
        <v>Pending</v>
      </c>
      <c r="V205" s="2">
        <f t="shared" si="32"/>
        <v>2</v>
      </c>
      <c r="W205" s="2">
        <f t="shared" si="33"/>
        <v>38.92</v>
      </c>
      <c r="X20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45588</v>
      </c>
      <c r="Y205" s="2">
        <f t="shared" si="34"/>
        <v>0.15</v>
      </c>
      <c r="Z205" s="2" t="str">
        <f>TRIM(CLEAN(tblOrders[[#This Row],[Notes]]))</f>
        <v>Gift wrap requested</v>
      </c>
      <c r="AA205" s="2" t="str">
        <f t="shared" si="35"/>
        <v>Standard</v>
      </c>
      <c r="AB205" s="2">
        <f>IF(OR(tblOrders[[#This Row],[Quantity_Clean]]="",tblOrders[[#This Row],[UnitPrice_Clean]]=""),0,tblOrders[[#This Row],[Quantity_Clean]]*tblOrders[[#This Row],[UnitPrice_Clean]])</f>
        <v>77.84</v>
      </c>
      <c r="AC205" s="2" t="str">
        <f>UPPER(TRIM(tblOrders[[#This Row],[OrderID]]))</f>
        <v>ORD-1013</v>
      </c>
      <c r="AD205" s="2">
        <f>VALUE(RIGHT(tblOrders[[#This Row],[OrderID]],4))</f>
        <v>1013</v>
      </c>
      <c r="AE205" s="2" t="str">
        <f>TEXT(tblOrders[[#This Row],[OrderDate_Clean]],"mmm-yyyy")</f>
        <v>Oct-2024</v>
      </c>
      <c r="AF205" s="3">
        <f>EOMONTH(tblOrders[[#This Row],[OrderDate_Clean]],0)</f>
        <v>45596</v>
      </c>
      <c r="AG205" s="2" t="s">
        <v>929</v>
      </c>
      <c r="AH205" s="2">
        <f>IF(tblOrders[[#This Row],[Discount]]="",0,IF(ISNUMBER(tblOrders[[#This Row],[Discount]]),tblOrders[[#This Row],[Discount]],VALUE(SUBSTITUTE(TRIM(tblOrders[[#This Row],[Discount]]),"%",""))/100))</f>
        <v>0.15</v>
      </c>
    </row>
    <row r="206" spans="1:34" x14ac:dyDescent="0.25">
      <c r="A206" s="2" t="s">
        <v>487</v>
      </c>
      <c r="B206" s="2" t="s">
        <v>488</v>
      </c>
      <c r="C206" s="2" t="s">
        <v>489</v>
      </c>
      <c r="D206" s="2" t="s">
        <v>194</v>
      </c>
      <c r="E206" s="2" t="s">
        <v>98</v>
      </c>
      <c r="F206" s="2" t="s">
        <v>184</v>
      </c>
      <c r="G206" s="2" t="s">
        <v>323</v>
      </c>
      <c r="H206" s="2" t="s">
        <v>68</v>
      </c>
      <c r="I206" s="2">
        <v>1</v>
      </c>
      <c r="J206" s="2" t="s">
        <v>490</v>
      </c>
      <c r="K206" s="2">
        <v>0.1</v>
      </c>
      <c r="L206" s="2" t="s">
        <v>281</v>
      </c>
      <c r="M206" s="2" t="s">
        <v>201</v>
      </c>
      <c r="N206" s="2" t="s">
        <v>71</v>
      </c>
      <c r="O206" s="2" t="s">
        <v>87</v>
      </c>
      <c r="P206" s="2" t="str">
        <f t="shared" si="27"/>
        <v>Sarah Clark</v>
      </c>
      <c r="Q206" s="2" t="str">
        <f>IF(OR(PROPER(TRIM(tblOrders[[#This Row],[Region]]))="Nort",PROPER(TRIM(tblOrders[[#This Row],[Region]]))="Northh"),"North",PROPER(TRIM(tblOrders[[#This Row],[Region]])))</f>
        <v>West</v>
      </c>
      <c r="R206" s="2" t="str">
        <f t="shared" si="28"/>
        <v>Stationery</v>
      </c>
      <c r="S206" s="2" t="str">
        <f t="shared" si="29"/>
        <v>Online</v>
      </c>
      <c r="T206" s="2" t="str">
        <f t="shared" si="30"/>
        <v>Credit Card</v>
      </c>
      <c r="U206" s="2" t="str">
        <f t="shared" si="31"/>
        <v>Pending</v>
      </c>
      <c r="V206" s="2">
        <f t="shared" si="32"/>
        <v>1</v>
      </c>
      <c r="W206" s="2">
        <f t="shared" si="33"/>
        <v>192.82</v>
      </c>
      <c r="X20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45413</v>
      </c>
      <c r="Y206" s="2">
        <f t="shared" si="34"/>
        <v>0.1</v>
      </c>
      <c r="Z206" s="2" t="str">
        <f>TRIM(CLEAN(tblOrders[[#This Row],[Notes]]))</f>
        <v>Damaged on arrival - replaced</v>
      </c>
      <c r="AA206" s="2" t="str">
        <f t="shared" si="35"/>
        <v>Standard</v>
      </c>
      <c r="AB206" s="2">
        <f>IF(OR(tblOrders[[#This Row],[Quantity_Clean]]="",tblOrders[[#This Row],[UnitPrice_Clean]]=""),0,tblOrders[[#This Row],[Quantity_Clean]]*tblOrders[[#This Row],[UnitPrice_Clean]])</f>
        <v>192.82</v>
      </c>
      <c r="AC206" s="2" t="str">
        <f>UPPER(TRIM(tblOrders[[#This Row],[OrderID]]))</f>
        <v>ORD-1225</v>
      </c>
      <c r="AD206" s="2">
        <f>VALUE(RIGHT(tblOrders[[#This Row],[OrderID]],4))</f>
        <v>1225</v>
      </c>
      <c r="AE206" s="2" t="str">
        <f>TEXT(tblOrders[[#This Row],[OrderDate_Clean]],"mmm-yyyy")</f>
        <v>May-2024</v>
      </c>
      <c r="AF206" s="3">
        <f>EOMONTH(tblOrders[[#This Row],[OrderDate_Clean]],0)</f>
        <v>45443</v>
      </c>
      <c r="AG206" s="2" t="s">
        <v>903</v>
      </c>
      <c r="AH206" s="2">
        <f>IF(tblOrders[[#This Row],[Discount]]="",0,IF(ISNUMBER(tblOrders[[#This Row],[Discount]]),tblOrders[[#This Row],[Discount]],VALUE(SUBSTITUTE(TRIM(tblOrders[[#This Row],[Discount]]),"%",""))/100))</f>
        <v>0.1</v>
      </c>
    </row>
    <row r="207" spans="1:34" x14ac:dyDescent="0.25">
      <c r="A207" s="2" t="s">
        <v>487</v>
      </c>
      <c r="B207" s="2" t="s">
        <v>488</v>
      </c>
      <c r="C207" s="2" t="s">
        <v>489</v>
      </c>
      <c r="D207" s="2" t="s">
        <v>194</v>
      </c>
      <c r="E207" s="2" t="s">
        <v>98</v>
      </c>
      <c r="F207" s="2" t="s">
        <v>184</v>
      </c>
      <c r="G207" s="2" t="s">
        <v>323</v>
      </c>
      <c r="H207" s="2" t="s">
        <v>68</v>
      </c>
      <c r="I207" s="2">
        <v>1</v>
      </c>
      <c r="J207" s="2" t="s">
        <v>490</v>
      </c>
      <c r="K207" s="2">
        <v>0.1</v>
      </c>
      <c r="L207" s="2" t="s">
        <v>281</v>
      </c>
      <c r="M207" s="2" t="s">
        <v>201</v>
      </c>
      <c r="N207" s="2" t="s">
        <v>71</v>
      </c>
      <c r="O207" s="2" t="s">
        <v>87</v>
      </c>
      <c r="P207" s="2" t="str">
        <f t="shared" si="27"/>
        <v>Sarah Clark</v>
      </c>
      <c r="Q207" s="2" t="str">
        <f>IF(OR(PROPER(TRIM(tblOrders[[#This Row],[Region]]))="Nort",PROPER(TRIM(tblOrders[[#This Row],[Region]]))="Northh"),"North",PROPER(TRIM(tblOrders[[#This Row],[Region]])))</f>
        <v>West</v>
      </c>
      <c r="R207" s="2" t="str">
        <f t="shared" si="28"/>
        <v>Stationery</v>
      </c>
      <c r="S207" s="2" t="str">
        <f t="shared" si="29"/>
        <v>Online</v>
      </c>
      <c r="T207" s="2" t="str">
        <f t="shared" si="30"/>
        <v>Credit Card</v>
      </c>
      <c r="U207" s="2" t="str">
        <f t="shared" si="31"/>
        <v>Pending</v>
      </c>
      <c r="V207" s="2">
        <f t="shared" si="32"/>
        <v>1</v>
      </c>
      <c r="W207" s="2">
        <f t="shared" si="33"/>
        <v>192.82</v>
      </c>
      <c r="X20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45413</v>
      </c>
      <c r="Y207" s="2">
        <f t="shared" si="34"/>
        <v>0.1</v>
      </c>
      <c r="Z207" s="2" t="str">
        <f>TRIM(CLEAN(tblOrders[[#This Row],[Notes]]))</f>
        <v>Damaged on arrival - replaced</v>
      </c>
      <c r="AA207" s="2" t="str">
        <f t="shared" si="35"/>
        <v>Standard</v>
      </c>
      <c r="AB207" s="2">
        <f>IF(OR(tblOrders[[#This Row],[Quantity_Clean]]="",tblOrders[[#This Row],[UnitPrice_Clean]]=""),0,tblOrders[[#This Row],[Quantity_Clean]]*tblOrders[[#This Row],[UnitPrice_Clean]])</f>
        <v>192.82</v>
      </c>
      <c r="AC207" s="2" t="str">
        <f>UPPER(TRIM(tblOrders[[#This Row],[OrderID]]))</f>
        <v>ORD-1225</v>
      </c>
      <c r="AD207" s="2">
        <f>VALUE(RIGHT(tblOrders[[#This Row],[OrderID]],4))</f>
        <v>1225</v>
      </c>
      <c r="AE207" s="2" t="str">
        <f>TEXT(tblOrders[[#This Row],[OrderDate_Clean]],"mmm-yyyy")</f>
        <v>May-2024</v>
      </c>
      <c r="AF207" s="3">
        <f>EOMONTH(tblOrders[[#This Row],[OrderDate_Clean]],0)</f>
        <v>45443</v>
      </c>
      <c r="AG207" s="2" t="s">
        <v>903</v>
      </c>
      <c r="AH207" s="2">
        <f>IF(tblOrders[[#This Row],[Discount]]="",0,IF(ISNUMBER(tblOrders[[#This Row],[Discount]]),tblOrders[[#This Row],[Discount]],VALUE(SUBSTITUTE(TRIM(tblOrders[[#This Row],[Discount]]),"%",""))/100))</f>
        <v>0.1</v>
      </c>
    </row>
    <row r="208" spans="1:34" x14ac:dyDescent="0.25">
      <c r="A208" s="2" t="s">
        <v>582</v>
      </c>
      <c r="B208" s="2" t="s">
        <v>583</v>
      </c>
      <c r="C208" s="2" t="s">
        <v>584</v>
      </c>
      <c r="D208" s="2" t="s">
        <v>44</v>
      </c>
      <c r="E208" s="2" t="s">
        <v>45</v>
      </c>
      <c r="F208" s="2" t="s">
        <v>106</v>
      </c>
      <c r="G208" s="2" t="s">
        <v>34</v>
      </c>
      <c r="H208" s="2" t="s">
        <v>22</v>
      </c>
      <c r="I208" s="2">
        <v>11</v>
      </c>
      <c r="J208" s="2" t="s">
        <v>585</v>
      </c>
      <c r="K208" s="2"/>
      <c r="L208" s="2" t="s">
        <v>37</v>
      </c>
      <c r="M208" s="2" t="s">
        <v>110</v>
      </c>
      <c r="N208" s="2" t="s">
        <v>50</v>
      </c>
      <c r="O208" s="2" t="s">
        <v>112</v>
      </c>
      <c r="P208" s="2" t="str">
        <f t="shared" si="27"/>
        <v>Laura Qureshi</v>
      </c>
      <c r="Q208" s="2" t="str">
        <f>IF(OR(PROPER(TRIM(tblOrders[[#This Row],[Region]]))="Nort",PROPER(TRIM(tblOrders[[#This Row],[Region]]))="Northh"),"North",PROPER(TRIM(tblOrders[[#This Row],[Region]])))</f>
        <v>South</v>
      </c>
      <c r="R208" s="2" t="str">
        <f t="shared" si="28"/>
        <v>Stationery</v>
      </c>
      <c r="S208" s="2" t="str">
        <f t="shared" si="29"/>
        <v>In-Store</v>
      </c>
      <c r="T208" s="2" t="str">
        <f t="shared" si="30"/>
        <v>Bank Transfer</v>
      </c>
      <c r="U208" s="2" t="str">
        <f t="shared" si="31"/>
        <v>Pending</v>
      </c>
      <c r="V208" s="2">
        <f t="shared" si="32"/>
        <v>11</v>
      </c>
      <c r="W208" s="2">
        <f t="shared" si="33"/>
        <v>148.87</v>
      </c>
      <c r="X20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45461</v>
      </c>
      <c r="Y208" s="2">
        <f t="shared" si="34"/>
        <v>0</v>
      </c>
      <c r="Z208" s="2" t="str">
        <f>TRIM(CLEAN(tblOrders[[#This Row],[Notes]]))</f>
        <v>Follow up needed</v>
      </c>
      <c r="AA208" s="2" t="str">
        <f t="shared" si="35"/>
        <v>High Value</v>
      </c>
      <c r="AB208" s="2">
        <f>IF(OR(tblOrders[[#This Row],[Quantity_Clean]]="",tblOrders[[#This Row],[UnitPrice_Clean]]=""),0,tblOrders[[#This Row],[Quantity_Clean]]*tblOrders[[#This Row],[UnitPrice_Clean]])</f>
        <v>1637.5700000000002</v>
      </c>
      <c r="AC208" s="2" t="str">
        <f>UPPER(TRIM(tblOrders[[#This Row],[OrderID]]))</f>
        <v>ORD-1204</v>
      </c>
      <c r="AD208" s="2">
        <f>VALUE(RIGHT(tblOrders[[#This Row],[OrderID]],4))</f>
        <v>1204</v>
      </c>
      <c r="AE208" s="2" t="str">
        <f>TEXT(tblOrders[[#This Row],[OrderDate_Clean]],"mmm-yyyy")</f>
        <v>Jun-2024</v>
      </c>
      <c r="AF208" s="3">
        <f>EOMONTH(tblOrders[[#This Row],[OrderDate_Clean]],0)</f>
        <v>45473</v>
      </c>
      <c r="AG208" s="2" t="s">
        <v>949</v>
      </c>
      <c r="AH208" s="2">
        <f>IF(tblOrders[[#This Row],[Discount]]="",0,IF(ISNUMBER(tblOrders[[#This Row],[Discount]]),tblOrders[[#This Row],[Discount]],VALUE(SUBSTITUTE(TRIM(tblOrders[[#This Row],[Discount]]),"%",""))/100))</f>
        <v>0</v>
      </c>
    </row>
    <row r="209" spans="1:34" x14ac:dyDescent="0.25">
      <c r="A209" s="2" t="s">
        <v>103</v>
      </c>
      <c r="B209" s="2" t="s">
        <v>104</v>
      </c>
      <c r="C209" s="2" t="s">
        <v>105</v>
      </c>
      <c r="D209" s="2" t="s">
        <v>75</v>
      </c>
      <c r="E209" s="2" t="s">
        <v>76</v>
      </c>
      <c r="F209" s="2" t="s">
        <v>106</v>
      </c>
      <c r="G209" s="2" t="s">
        <v>107</v>
      </c>
      <c r="H209" s="2" t="s">
        <v>108</v>
      </c>
      <c r="I209" s="2">
        <v>4</v>
      </c>
      <c r="J209" s="2" t="s">
        <v>109</v>
      </c>
      <c r="K209" s="2">
        <v>0.2</v>
      </c>
      <c r="L209" s="2" t="s">
        <v>24</v>
      </c>
      <c r="M209" s="2" t="s">
        <v>110</v>
      </c>
      <c r="N209" s="2" t="s">
        <v>111</v>
      </c>
      <c r="O209" s="2" t="s">
        <v>112</v>
      </c>
      <c r="P209" s="2" t="str">
        <f t="shared" si="27"/>
        <v>Chen Wilson</v>
      </c>
      <c r="Q209" s="2" t="str">
        <f>IF(OR(PROPER(TRIM(tblOrders[[#This Row],[Region]]))="Nort",PROPER(TRIM(tblOrders[[#This Row],[Region]]))="Northh"),"North",PROPER(TRIM(tblOrders[[#This Row],[Region]])))</f>
        <v>North</v>
      </c>
      <c r="R209" s="2" t="str">
        <f t="shared" si="28"/>
        <v>Stationery</v>
      </c>
      <c r="S209" s="2" t="str">
        <f t="shared" si="29"/>
        <v>In-Store</v>
      </c>
      <c r="T209" s="2" t="str">
        <f t="shared" si="30"/>
        <v>Credit Card</v>
      </c>
      <c r="U209" s="2" t="str">
        <f t="shared" si="31"/>
        <v>Pending</v>
      </c>
      <c r="V209" s="2">
        <f t="shared" si="32"/>
        <v>4</v>
      </c>
      <c r="W209" s="2">
        <f t="shared" si="33"/>
        <v>394.55</v>
      </c>
      <c r="X20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45411</v>
      </c>
      <c r="Y209" s="2">
        <f t="shared" si="34"/>
        <v>0.2</v>
      </c>
      <c r="Z209" s="2" t="str">
        <f>TRIM(CLEAN(tblOrders[[#This Row],[Notes]]))</f>
        <v>Follow up needed</v>
      </c>
      <c r="AA209" s="2" t="str">
        <f t="shared" si="35"/>
        <v>High Value</v>
      </c>
      <c r="AB209" s="2">
        <f>IF(OR(tblOrders[[#This Row],[Quantity_Clean]]="",tblOrders[[#This Row],[UnitPrice_Clean]]=""),0,tblOrders[[#This Row],[Quantity_Clean]]*tblOrders[[#This Row],[UnitPrice_Clean]])</f>
        <v>1578.2</v>
      </c>
      <c r="AC209" s="2" t="str">
        <f>UPPER(TRIM(tblOrders[[#This Row],[OrderID]]))</f>
        <v>ORD-1055</v>
      </c>
      <c r="AD209" s="2">
        <f>VALUE(RIGHT(tblOrders[[#This Row],[OrderID]],4))</f>
        <v>1055</v>
      </c>
      <c r="AE209" s="2" t="str">
        <f>TEXT(tblOrders[[#This Row],[OrderDate_Clean]],"mmm-yyyy")</f>
        <v>Apr-2024</v>
      </c>
      <c r="AF209" s="3">
        <f>EOMONTH(tblOrders[[#This Row],[OrderDate_Clean]],0)</f>
        <v>45412</v>
      </c>
      <c r="AG209" s="2" t="s">
        <v>880</v>
      </c>
      <c r="AH209" s="2">
        <f>IF(tblOrders[[#This Row],[Discount]]="",0,IF(ISNUMBER(tblOrders[[#This Row],[Discount]]),tblOrders[[#This Row],[Discount]],VALUE(SUBSTITUTE(TRIM(tblOrders[[#This Row],[Discount]]),"%",""))/100))</f>
        <v>0.2</v>
      </c>
    </row>
    <row r="210" spans="1:34" x14ac:dyDescent="0.25">
      <c r="A210" s="2" t="s">
        <v>848</v>
      </c>
      <c r="B210" s="2" t="s">
        <v>699</v>
      </c>
      <c r="C210" s="2" t="s">
        <v>849</v>
      </c>
      <c r="D210" s="2" t="s">
        <v>97</v>
      </c>
      <c r="E210" s="2" t="s">
        <v>65</v>
      </c>
      <c r="F210" s="2" t="s">
        <v>33</v>
      </c>
      <c r="G210" s="2" t="s">
        <v>34</v>
      </c>
      <c r="H210" s="2" t="s">
        <v>178</v>
      </c>
      <c r="I210" s="2" t="s">
        <v>360</v>
      </c>
      <c r="J210" s="2" t="s">
        <v>850</v>
      </c>
      <c r="K210" s="2">
        <v>0.05</v>
      </c>
      <c r="L210" s="2" t="s">
        <v>132</v>
      </c>
      <c r="M210" s="2" t="s">
        <v>60</v>
      </c>
      <c r="N210" s="2"/>
      <c r="O210" s="2" t="s">
        <v>87</v>
      </c>
      <c r="P210" s="2" t="str">
        <f t="shared" si="27"/>
        <v>Priya Smith</v>
      </c>
      <c r="Q210" s="2" t="str">
        <f>IF(OR(PROPER(TRIM(tblOrders[[#This Row],[Region]]))="Nort",PROPER(TRIM(tblOrders[[#This Row],[Region]]))="Northh"),"North",PROPER(TRIM(tblOrders[[#This Row],[Region]])))</f>
        <v>West</v>
      </c>
      <c r="R210" s="2" t="str">
        <f t="shared" si="28"/>
        <v>Stationery</v>
      </c>
      <c r="S210" s="2" t="str">
        <f t="shared" si="29"/>
        <v>Online</v>
      </c>
      <c r="T210" s="2" t="str">
        <f t="shared" si="30"/>
        <v>Cash</v>
      </c>
      <c r="U210" s="2" t="str">
        <f t="shared" si="31"/>
        <v>Completed</v>
      </c>
      <c r="V210" s="2">
        <f t="shared" si="32"/>
        <v>8</v>
      </c>
      <c r="W210" s="2">
        <f t="shared" si="33"/>
        <v>373.94</v>
      </c>
      <c r="X21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45635</v>
      </c>
      <c r="Y210" s="2">
        <f t="shared" si="34"/>
        <v>0.05</v>
      </c>
      <c r="Z210" s="2" t="str">
        <f>TRIM(CLEAN(tblOrders[[#This Row],[Notes]]))</f>
        <v>Damaged on arrival - replaced</v>
      </c>
      <c r="AA210" s="2" t="str">
        <f t="shared" si="35"/>
        <v>High Value</v>
      </c>
      <c r="AB210" s="2">
        <f>IF(OR(tblOrders[[#This Row],[Quantity_Clean]]="",tblOrders[[#This Row],[UnitPrice_Clean]]=""),0,tblOrders[[#This Row],[Quantity_Clean]]*tblOrders[[#This Row],[UnitPrice_Clean]])</f>
        <v>2991.52</v>
      </c>
      <c r="AC210" s="2" t="str">
        <f>UPPER(TRIM(tblOrders[[#This Row],[OrderID]]))</f>
        <v>ORD-1159</v>
      </c>
      <c r="AD210" s="2">
        <f>VALUE(RIGHT(tblOrders[[#This Row],[OrderID]],4))</f>
        <v>1159</v>
      </c>
      <c r="AE210" s="2" t="str">
        <f>TEXT(tblOrders[[#This Row],[OrderDate_Clean]],"mmm-yyyy")</f>
        <v>Dec-2024</v>
      </c>
      <c r="AF210" s="3">
        <f>EOMONTH(tblOrders[[#This Row],[OrderDate_Clean]],0)</f>
        <v>45657</v>
      </c>
      <c r="AG210" s="2" t="s">
        <v>915</v>
      </c>
      <c r="AH210" s="2">
        <f>IF(tblOrders[[#This Row],[Discount]]="",0,IF(ISNUMBER(tblOrders[[#This Row],[Discount]]),tblOrders[[#This Row],[Discount]],VALUE(SUBSTITUTE(TRIM(tblOrders[[#This Row],[Discount]]),"%",""))/100))</f>
        <v>0.05</v>
      </c>
    </row>
    <row r="211" spans="1:34" x14ac:dyDescent="0.25">
      <c r="A211" s="2" t="s">
        <v>548</v>
      </c>
      <c r="B211" s="2" t="s">
        <v>549</v>
      </c>
      <c r="C211" s="2" t="s">
        <v>550</v>
      </c>
      <c r="D211" s="2" t="s">
        <v>188</v>
      </c>
      <c r="E211" s="2" t="s">
        <v>199</v>
      </c>
      <c r="F211" s="2" t="s">
        <v>184</v>
      </c>
      <c r="G211" s="2" t="s">
        <v>34</v>
      </c>
      <c r="H211" s="2" t="s">
        <v>178</v>
      </c>
      <c r="I211" s="2">
        <v>5</v>
      </c>
      <c r="J211" s="2" t="s">
        <v>551</v>
      </c>
      <c r="K211" s="2" t="s">
        <v>347</v>
      </c>
      <c r="L211" s="2" t="s">
        <v>24</v>
      </c>
      <c r="M211" s="2" t="s">
        <v>60</v>
      </c>
      <c r="N211" s="2" t="s">
        <v>111</v>
      </c>
      <c r="O211" s="2" t="s">
        <v>112</v>
      </c>
      <c r="P211" s="2" t="str">
        <f t="shared" si="27"/>
        <v>Tom Wilson</v>
      </c>
      <c r="Q211" s="2" t="str">
        <f>IF(OR(PROPER(TRIM(tblOrders[[#This Row],[Region]]))="Nort",PROPER(TRIM(tblOrders[[#This Row],[Region]]))="Northh"),"North",PROPER(TRIM(tblOrders[[#This Row],[Region]])))</f>
        <v>North</v>
      </c>
      <c r="R211" s="2" t="str">
        <f t="shared" si="28"/>
        <v>Stationery</v>
      </c>
      <c r="S211" s="2" t="str">
        <f t="shared" si="29"/>
        <v>Online</v>
      </c>
      <c r="T211" s="2" t="str">
        <f t="shared" si="30"/>
        <v>Credit Card</v>
      </c>
      <c r="U211" s="2" t="str">
        <f t="shared" si="31"/>
        <v>Completed</v>
      </c>
      <c r="V211" s="2">
        <f t="shared" si="32"/>
        <v>5</v>
      </c>
      <c r="W211" s="2">
        <f t="shared" si="33"/>
        <v>353.5</v>
      </c>
      <c r="X21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45475</v>
      </c>
      <c r="Y211" s="2" t="str">
        <f t="shared" si="34"/>
        <v>15%</v>
      </c>
      <c r="Z211" s="2" t="str">
        <f>TRIM(CLEAN(tblOrders[[#This Row],[Notes]]))</f>
        <v>Follow up needed</v>
      </c>
      <c r="AA211" s="2" t="str">
        <f t="shared" si="35"/>
        <v>High Value</v>
      </c>
      <c r="AB211" s="2">
        <f>IF(OR(tblOrders[[#This Row],[Quantity_Clean]]="",tblOrders[[#This Row],[UnitPrice_Clean]]=""),0,tblOrders[[#This Row],[Quantity_Clean]]*tblOrders[[#This Row],[UnitPrice_Clean]])</f>
        <v>1767.5</v>
      </c>
      <c r="AC211" s="2" t="str">
        <f>UPPER(TRIM(tblOrders[[#This Row],[OrderID]]))</f>
        <v>ORD-1083</v>
      </c>
      <c r="AD211" s="2">
        <f>VALUE(RIGHT(tblOrders[[#This Row],[OrderID]],4))</f>
        <v>1083</v>
      </c>
      <c r="AE211" s="2" t="str">
        <f>TEXT(tblOrders[[#This Row],[OrderDate_Clean]],"mmm-yyyy")</f>
        <v>Jul-2024</v>
      </c>
      <c r="AF211" s="3">
        <f>EOMONTH(tblOrders[[#This Row],[OrderDate_Clean]],0)</f>
        <v>45504</v>
      </c>
      <c r="AG211" s="2" t="s">
        <v>919</v>
      </c>
      <c r="AH211" s="2">
        <f>IF(tblOrders[[#This Row],[Discount]]="",0,IF(ISNUMBER(tblOrders[[#This Row],[Discount]]),tblOrders[[#This Row],[Discount]],VALUE(SUBSTITUTE(TRIM(tblOrders[[#This Row],[Discount]]),"%",""))/100))</f>
        <v>0.15</v>
      </c>
    </row>
    <row r="212" spans="1:34" x14ac:dyDescent="0.25">
      <c r="A212" s="2" t="s">
        <v>563</v>
      </c>
      <c r="B212" s="2" t="s">
        <v>564</v>
      </c>
      <c r="C212" s="2" t="s">
        <v>565</v>
      </c>
      <c r="D212" s="2" t="s">
        <v>285</v>
      </c>
      <c r="E212" s="2" t="s">
        <v>199</v>
      </c>
      <c r="F212" s="2" t="s">
        <v>33</v>
      </c>
      <c r="G212" s="2" t="s">
        <v>107</v>
      </c>
      <c r="H212" s="2" t="s">
        <v>48</v>
      </c>
      <c r="I212" s="2">
        <v>5</v>
      </c>
      <c r="J212" s="2">
        <v>499.37</v>
      </c>
      <c r="K212" s="2">
        <v>0.1</v>
      </c>
      <c r="L212" s="2" t="s">
        <v>69</v>
      </c>
      <c r="M212" s="2" t="s">
        <v>25</v>
      </c>
      <c r="N212" s="2" t="s">
        <v>26</v>
      </c>
      <c r="O212" s="2" t="s">
        <v>87</v>
      </c>
      <c r="P212" s="2" t="str">
        <f t="shared" si="27"/>
        <v>Sofia Smith</v>
      </c>
      <c r="Q212" s="2" t="str">
        <f>IF(OR(PROPER(TRIM(tblOrders[[#This Row],[Region]]))="Nort",PROPER(TRIM(tblOrders[[#This Row],[Region]]))="Northh"),"North",PROPER(TRIM(tblOrders[[#This Row],[Region]])))</f>
        <v>North</v>
      </c>
      <c r="R212" s="2" t="str">
        <f t="shared" si="28"/>
        <v>Stationery</v>
      </c>
      <c r="S212" s="2" t="str">
        <f t="shared" si="29"/>
        <v>In-Store</v>
      </c>
      <c r="T212" s="2" t="str">
        <f t="shared" si="30"/>
        <v>Debit Card</v>
      </c>
      <c r="U212" s="2" t="str">
        <f t="shared" si="31"/>
        <v>Completed</v>
      </c>
      <c r="V212" s="2">
        <f t="shared" si="32"/>
        <v>5</v>
      </c>
      <c r="W212" s="2">
        <f t="shared" si="33"/>
        <v>499.37</v>
      </c>
      <c r="X21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45440</v>
      </c>
      <c r="Y212" s="2">
        <f t="shared" si="34"/>
        <v>0.1</v>
      </c>
      <c r="Z212" s="2" t="str">
        <f>TRIM(CLEAN(tblOrders[[#This Row],[Notes]]))</f>
        <v>Damaged on arrival - replaced</v>
      </c>
      <c r="AA212" s="2" t="str">
        <f t="shared" si="35"/>
        <v>High Value</v>
      </c>
      <c r="AB212" s="2">
        <f>IF(OR(tblOrders[[#This Row],[Quantity_Clean]]="",tblOrders[[#This Row],[UnitPrice_Clean]]=""),0,tblOrders[[#This Row],[Quantity_Clean]]*tblOrders[[#This Row],[UnitPrice_Clean]])</f>
        <v>2496.85</v>
      </c>
      <c r="AC212" s="2" t="str">
        <f>UPPER(TRIM(tblOrders[[#This Row],[OrderID]]))</f>
        <v>ORD-1207</v>
      </c>
      <c r="AD212" s="2">
        <f>VALUE(RIGHT(tblOrders[[#This Row],[OrderID]],4))</f>
        <v>1207</v>
      </c>
      <c r="AE212" s="2" t="str">
        <f>TEXT(tblOrders[[#This Row],[OrderDate_Clean]],"mmm-yyyy")</f>
        <v>May-2024</v>
      </c>
      <c r="AF212" s="3">
        <f>EOMONTH(tblOrders[[#This Row],[OrderDate_Clean]],0)</f>
        <v>45443</v>
      </c>
      <c r="AG212" s="2" t="s">
        <v>891</v>
      </c>
      <c r="AH212" s="2">
        <f>IF(tblOrders[[#This Row],[Discount]]="",0,IF(ISNUMBER(tblOrders[[#This Row],[Discount]]),tblOrders[[#This Row],[Discount]],VALUE(SUBSTITUTE(TRIM(tblOrders[[#This Row],[Discount]]),"%",""))/100))</f>
        <v>0.1</v>
      </c>
    </row>
    <row r="213" spans="1:34" x14ac:dyDescent="0.25">
      <c r="A213" s="2" t="s">
        <v>778</v>
      </c>
      <c r="B213" s="2" t="s">
        <v>739</v>
      </c>
      <c r="C213" s="2" t="s">
        <v>779</v>
      </c>
      <c r="D213" s="2" t="s">
        <v>162</v>
      </c>
      <c r="E213" s="2" t="s">
        <v>117</v>
      </c>
      <c r="F213" s="2" t="s">
        <v>33</v>
      </c>
      <c r="G213" s="2" t="s">
        <v>323</v>
      </c>
      <c r="H213" s="2" t="s">
        <v>178</v>
      </c>
      <c r="I213" s="2">
        <v>10</v>
      </c>
      <c r="J213" s="2">
        <v>458.79</v>
      </c>
      <c r="K213" s="2" t="s">
        <v>347</v>
      </c>
      <c r="L213" s="2" t="s">
        <v>281</v>
      </c>
      <c r="M213" s="2" t="s">
        <v>110</v>
      </c>
      <c r="N213" s="2"/>
      <c r="O213" s="2" t="s">
        <v>93</v>
      </c>
      <c r="P213" s="2" t="str">
        <f t="shared" si="27"/>
        <v>Nida Taylor</v>
      </c>
      <c r="Q213" s="2" t="str">
        <f>IF(OR(PROPER(TRIM(tblOrders[[#This Row],[Region]]))="Nort",PROPER(TRIM(tblOrders[[#This Row],[Region]]))="Northh"),"North",PROPER(TRIM(tblOrders[[#This Row],[Region]])))</f>
        <v>East</v>
      </c>
      <c r="R213" s="2" t="str">
        <f t="shared" si="28"/>
        <v>Stationery</v>
      </c>
      <c r="S213" s="2" t="str">
        <f t="shared" si="29"/>
        <v>Online</v>
      </c>
      <c r="T213" s="2" t="str">
        <f t="shared" si="30"/>
        <v>Credit Card</v>
      </c>
      <c r="U213" s="2" t="str">
        <f t="shared" si="31"/>
        <v>Pending</v>
      </c>
      <c r="V213" s="2">
        <f t="shared" si="32"/>
        <v>10</v>
      </c>
      <c r="W213" s="2">
        <f t="shared" si="33"/>
        <v>458.79</v>
      </c>
      <c r="X21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45335</v>
      </c>
      <c r="Y213" s="2" t="str">
        <f t="shared" si="34"/>
        <v>15%</v>
      </c>
      <c r="Z213" s="2" t="str">
        <f>TRIM(CLEAN(tblOrders[[#This Row],[Notes]]))</f>
        <v>Bulk order - business account</v>
      </c>
      <c r="AA213" s="2" t="str">
        <f t="shared" si="35"/>
        <v>High Value</v>
      </c>
      <c r="AB213" s="2">
        <f>IF(OR(tblOrders[[#This Row],[Quantity_Clean]]="",tblOrders[[#This Row],[UnitPrice_Clean]]=""),0,tblOrders[[#This Row],[Quantity_Clean]]*tblOrders[[#This Row],[UnitPrice_Clean]])</f>
        <v>4587.9000000000005</v>
      </c>
      <c r="AC213" s="2" t="str">
        <f>UPPER(TRIM(tblOrders[[#This Row],[OrderID]]))</f>
        <v>ORD-1070</v>
      </c>
      <c r="AD213" s="2">
        <f>VALUE(RIGHT(tblOrders[[#This Row],[OrderID]],4))</f>
        <v>1070</v>
      </c>
      <c r="AE213" s="2" t="str">
        <f>TEXT(tblOrders[[#This Row],[OrderDate_Clean]],"mmm-yyyy")</f>
        <v>Feb-2024</v>
      </c>
      <c r="AF213" s="3">
        <f>EOMONTH(tblOrders[[#This Row],[OrderDate_Clean]],0)</f>
        <v>45351</v>
      </c>
      <c r="AG213" s="2" t="s">
        <v>905</v>
      </c>
      <c r="AH213" s="2">
        <f>IF(tblOrders[[#This Row],[Discount]]="",0,IF(ISNUMBER(tblOrders[[#This Row],[Discount]]),tblOrders[[#This Row],[Discount]],VALUE(SUBSTITUTE(TRIM(tblOrders[[#This Row],[Discount]]),"%",""))/100))</f>
        <v>0.15</v>
      </c>
    </row>
    <row r="214" spans="1:34" x14ac:dyDescent="0.25">
      <c r="A214" s="2" t="s">
        <v>226</v>
      </c>
      <c r="B214" s="2" t="s">
        <v>227</v>
      </c>
      <c r="C214" s="2" t="s">
        <v>228</v>
      </c>
      <c r="D214" s="2" t="s">
        <v>162</v>
      </c>
      <c r="E214" s="2" t="s">
        <v>117</v>
      </c>
      <c r="F214" s="2" t="s">
        <v>33</v>
      </c>
      <c r="G214" s="2" t="s">
        <v>47</v>
      </c>
      <c r="H214" s="2" t="s">
        <v>195</v>
      </c>
      <c r="I214" s="2"/>
      <c r="J214" s="2">
        <v>449.47</v>
      </c>
      <c r="K214" s="2">
        <v>0</v>
      </c>
      <c r="L214" s="2" t="s">
        <v>24</v>
      </c>
      <c r="M214" s="2" t="s">
        <v>38</v>
      </c>
      <c r="N214" s="2"/>
      <c r="O214" s="2" t="s">
        <v>93</v>
      </c>
      <c r="P214" s="2" t="str">
        <f t="shared" si="27"/>
        <v>Laura Farooq</v>
      </c>
      <c r="Q214" s="2" t="str">
        <f>IF(OR(PROPER(TRIM(tblOrders[[#This Row],[Region]]))="Nort",PROPER(TRIM(tblOrders[[#This Row],[Region]]))="Northh"),"North",PROPER(TRIM(tblOrders[[#This Row],[Region]])))</f>
        <v>East</v>
      </c>
      <c r="R214" s="2" t="str">
        <f t="shared" si="28"/>
        <v>Stationery</v>
      </c>
      <c r="S214" s="2" t="str">
        <f t="shared" si="29"/>
        <v>In-Store</v>
      </c>
      <c r="T214" s="2" t="str">
        <f t="shared" si="30"/>
        <v>Credit Card</v>
      </c>
      <c r="U214" s="2" t="str">
        <f t="shared" si="31"/>
        <v>Cancelled</v>
      </c>
      <c r="V214" s="2" t="str">
        <f t="shared" si="32"/>
        <v/>
      </c>
      <c r="W214" s="2">
        <f t="shared" si="33"/>
        <v>449.47</v>
      </c>
      <c r="X21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45596</v>
      </c>
      <c r="Y214" s="2">
        <f t="shared" si="34"/>
        <v>0</v>
      </c>
      <c r="Z214" s="2" t="str">
        <f>TRIM(CLEAN(tblOrders[[#This Row],[Notes]]))</f>
        <v>Bulk order - business account</v>
      </c>
      <c r="AA214" s="2" t="str">
        <f t="shared" si="35"/>
        <v>Review</v>
      </c>
      <c r="AB214" s="2">
        <f>IF(OR(tblOrders[[#This Row],[Quantity_Clean]]="",tblOrders[[#This Row],[UnitPrice_Clean]]=""),0,tblOrders[[#This Row],[Quantity_Clean]]*tblOrders[[#This Row],[UnitPrice_Clean]])</f>
        <v>0</v>
      </c>
      <c r="AC214" s="2" t="str">
        <f>UPPER(TRIM(tblOrders[[#This Row],[OrderID]]))</f>
        <v>ORD-1140</v>
      </c>
      <c r="AD214" s="2">
        <f>VALUE(RIGHT(tblOrders[[#This Row],[OrderID]],4))</f>
        <v>1140</v>
      </c>
      <c r="AE214" s="2" t="str">
        <f>TEXT(tblOrders[[#This Row],[OrderDate_Clean]],"mmm-yyyy")</f>
        <v>Oct-2024</v>
      </c>
      <c r="AF214" s="3">
        <f>EOMONTH(tblOrders[[#This Row],[OrderDate_Clean]],0)</f>
        <v>45596</v>
      </c>
      <c r="AG214" s="2" t="s">
        <v>897</v>
      </c>
      <c r="AH214" s="2">
        <f>IF(tblOrders[[#This Row],[Discount]]="",0,IF(ISNUMBER(tblOrders[[#This Row],[Discount]]),tblOrders[[#This Row],[Discount]],VALUE(SUBSTITUTE(TRIM(tblOrders[[#This Row],[Discount]]),"%",""))/100))</f>
        <v>0</v>
      </c>
    </row>
    <row r="215" spans="1:34" x14ac:dyDescent="0.25">
      <c r="A215" s="2" t="s">
        <v>744</v>
      </c>
      <c r="B215" s="2" t="s">
        <v>745</v>
      </c>
      <c r="C215" s="2" t="s">
        <v>746</v>
      </c>
      <c r="D215" s="2" t="s">
        <v>152</v>
      </c>
      <c r="E215" s="2" t="s">
        <v>117</v>
      </c>
      <c r="F215" s="2" t="s">
        <v>106</v>
      </c>
      <c r="G215" s="2" t="s">
        <v>368</v>
      </c>
      <c r="H215" s="2" t="s">
        <v>48</v>
      </c>
      <c r="I215" s="2"/>
      <c r="J215" s="2">
        <v>432.15</v>
      </c>
      <c r="K215" s="2">
        <v>0.15</v>
      </c>
      <c r="L215" s="2" t="s">
        <v>281</v>
      </c>
      <c r="M215" s="2" t="s">
        <v>208</v>
      </c>
      <c r="N215" s="2" t="s">
        <v>39</v>
      </c>
      <c r="O215" s="2" t="s">
        <v>40</v>
      </c>
      <c r="P215" s="2" t="str">
        <f t="shared" si="27"/>
        <v>Liam Lewis</v>
      </c>
      <c r="Q215" s="2" t="str">
        <f>IF(OR(PROPER(TRIM(tblOrders[[#This Row],[Region]]))="Nort",PROPER(TRIM(tblOrders[[#This Row],[Region]]))="Northh"),"North",PROPER(TRIM(tblOrders[[#This Row],[Region]])))</f>
        <v>East</v>
      </c>
      <c r="R215" s="2" t="str">
        <f t="shared" si="28"/>
        <v>Stationery</v>
      </c>
      <c r="S215" s="2" t="str">
        <f t="shared" si="29"/>
        <v>In-Store</v>
      </c>
      <c r="T215" s="2" t="str">
        <f t="shared" si="30"/>
        <v>Credit Card</v>
      </c>
      <c r="U215" s="2" t="str">
        <f t="shared" si="31"/>
        <v>Completed</v>
      </c>
      <c r="V215" s="2" t="str">
        <f t="shared" si="32"/>
        <v/>
      </c>
      <c r="W215" s="2">
        <f t="shared" si="33"/>
        <v>432.15</v>
      </c>
      <c r="X21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45575</v>
      </c>
      <c r="Y215" s="2">
        <f t="shared" si="34"/>
        <v>0.15</v>
      </c>
      <c r="Z215" s="2" t="str">
        <f>TRIM(CLEAN(tblOrders[[#This Row],[Notes]]))</f>
        <v>VIP customer</v>
      </c>
      <c r="AA215" s="2" t="str">
        <f t="shared" si="35"/>
        <v>Review</v>
      </c>
      <c r="AB215" s="2">
        <f>IF(OR(tblOrders[[#This Row],[Quantity_Clean]]="",tblOrders[[#This Row],[UnitPrice_Clean]]=""),0,tblOrders[[#This Row],[Quantity_Clean]]*tblOrders[[#This Row],[UnitPrice_Clean]])</f>
        <v>0</v>
      </c>
      <c r="AC215" s="2" t="str">
        <f>UPPER(TRIM(tblOrders[[#This Row],[OrderID]]))</f>
        <v>ORD-1145</v>
      </c>
      <c r="AD215" s="2">
        <f>VALUE(RIGHT(tblOrders[[#This Row],[OrderID]],4))</f>
        <v>1145</v>
      </c>
      <c r="AE215" s="2" t="str">
        <f>TEXT(tblOrders[[#This Row],[OrderDate_Clean]],"mmm-yyyy")</f>
        <v>Oct-2024</v>
      </c>
      <c r="AF215" s="3">
        <f>EOMONTH(tblOrders[[#This Row],[OrderDate_Clean]],0)</f>
        <v>45596</v>
      </c>
      <c r="AG215" s="2" t="s">
        <v>885</v>
      </c>
      <c r="AH215" s="2">
        <f>IF(tblOrders[[#This Row],[Discount]]="",0,IF(ISNUMBER(tblOrders[[#This Row],[Discount]]),tblOrders[[#This Row],[Discount]],VALUE(SUBSTITUTE(TRIM(tblOrders[[#This Row],[Discount]]),"%",""))/100))</f>
        <v>0.15</v>
      </c>
    </row>
    <row r="216" spans="1:34" x14ac:dyDescent="0.25">
      <c r="A216" s="2" t="s">
        <v>28</v>
      </c>
      <c r="B216" s="2" t="s">
        <v>29</v>
      </c>
      <c r="C216" s="2" t="s">
        <v>30</v>
      </c>
      <c r="D216" s="2" t="s">
        <v>31</v>
      </c>
      <c r="E216" s="2" t="s">
        <v>32</v>
      </c>
      <c r="F216" s="2" t="s">
        <v>33</v>
      </c>
      <c r="G216" s="2" t="s">
        <v>34</v>
      </c>
      <c r="H216" s="2" t="s">
        <v>35</v>
      </c>
      <c r="I216" s="2" t="s">
        <v>36</v>
      </c>
      <c r="J216" s="2">
        <v>416.52</v>
      </c>
      <c r="K216" s="2">
        <v>0.05</v>
      </c>
      <c r="L216" s="2" t="s">
        <v>37</v>
      </c>
      <c r="M216" s="2" t="s">
        <v>38</v>
      </c>
      <c r="N216" s="2" t="s">
        <v>39</v>
      </c>
      <c r="O216" s="2" t="s">
        <v>40</v>
      </c>
      <c r="P216" s="2" t="str">
        <f t="shared" si="27"/>
        <v>Umar Farooq</v>
      </c>
      <c r="Q216" s="2" t="str">
        <f>IF(OR(PROPER(TRIM(tblOrders[[#This Row],[Region]]))="Nort",PROPER(TRIM(tblOrders[[#This Row],[Region]]))="Northh"),"North",PROPER(TRIM(tblOrders[[#This Row],[Region]])))</f>
        <v>North</v>
      </c>
      <c r="R216" s="2" t="str">
        <f t="shared" si="28"/>
        <v>Stationery</v>
      </c>
      <c r="S216" s="2" t="str">
        <f t="shared" si="29"/>
        <v>In-Store</v>
      </c>
      <c r="T216" s="2" t="str">
        <f t="shared" si="30"/>
        <v>Bank Transfer</v>
      </c>
      <c r="U216" s="2" t="str">
        <f t="shared" si="31"/>
        <v>Cancelled</v>
      </c>
      <c r="V216" s="2">
        <f t="shared" si="32"/>
        <v>3</v>
      </c>
      <c r="W216" s="2">
        <f t="shared" si="33"/>
        <v>416.52</v>
      </c>
      <c r="X21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45502</v>
      </c>
      <c r="Y216" s="2">
        <f t="shared" si="34"/>
        <v>0.05</v>
      </c>
      <c r="Z216" s="2" t="str">
        <f>TRIM(CLEAN(tblOrders[[#This Row],[Notes]]))</f>
        <v>VIP customer</v>
      </c>
      <c r="AA216" s="2" t="str">
        <f t="shared" si="35"/>
        <v>High Value</v>
      </c>
      <c r="AB216" s="2">
        <f>IF(OR(tblOrders[[#This Row],[Quantity_Clean]]="",tblOrders[[#This Row],[UnitPrice_Clean]]=""),0,tblOrders[[#This Row],[Quantity_Clean]]*tblOrders[[#This Row],[UnitPrice_Clean]])</f>
        <v>1249.56</v>
      </c>
      <c r="AC216" s="2" t="str">
        <f>UPPER(TRIM(tblOrders[[#This Row],[OrderID]]))</f>
        <v>ORD-1072</v>
      </c>
      <c r="AD216" s="2">
        <f>VALUE(RIGHT(tblOrders[[#This Row],[OrderID]],4))</f>
        <v>1072</v>
      </c>
      <c r="AE216" s="2" t="str">
        <f>TEXT(tblOrders[[#This Row],[OrderDate_Clean]],"mmm-yyyy")</f>
        <v>Jul-2024</v>
      </c>
      <c r="AF216" s="3">
        <f>EOMONTH(tblOrders[[#This Row],[OrderDate_Clean]],0)</f>
        <v>45504</v>
      </c>
      <c r="AG216" s="2" t="s">
        <v>911</v>
      </c>
      <c r="AH216" s="2">
        <f>IF(tblOrders[[#This Row],[Discount]]="",0,IF(ISNUMBER(tblOrders[[#This Row],[Discount]]),tblOrders[[#This Row],[Discount]],VALUE(SUBSTITUTE(TRIM(tblOrders[[#This Row],[Discount]]),"%",""))/100))</f>
        <v>0.05</v>
      </c>
    </row>
    <row r="217" spans="1:34" x14ac:dyDescent="0.25">
      <c r="A217" s="2" t="s">
        <v>506</v>
      </c>
      <c r="B217" s="2" t="s">
        <v>507</v>
      </c>
      <c r="C217" s="2" t="s">
        <v>508</v>
      </c>
      <c r="D217" s="2" t="s">
        <v>285</v>
      </c>
      <c r="E217" s="2" t="s">
        <v>76</v>
      </c>
      <c r="F217" s="2" t="s">
        <v>184</v>
      </c>
      <c r="G217" s="2" t="s">
        <v>47</v>
      </c>
      <c r="H217" s="2" t="s">
        <v>200</v>
      </c>
      <c r="I217" s="2">
        <v>2</v>
      </c>
      <c r="J217" s="2">
        <v>416.13</v>
      </c>
      <c r="K217" s="2" t="s">
        <v>85</v>
      </c>
      <c r="L217" s="2" t="s">
        <v>132</v>
      </c>
      <c r="M217" s="2" t="s">
        <v>110</v>
      </c>
      <c r="N217" s="2" t="s">
        <v>39</v>
      </c>
      <c r="O217" s="2"/>
      <c r="P217" s="2" t="str">
        <f t="shared" si="27"/>
        <v>Umar Malik</v>
      </c>
      <c r="Q217" s="2" t="str">
        <f>IF(OR(PROPER(TRIM(tblOrders[[#This Row],[Region]]))="Nort",PROPER(TRIM(tblOrders[[#This Row],[Region]]))="Northh"),"North",PROPER(TRIM(tblOrders[[#This Row],[Region]])))</f>
        <v>North</v>
      </c>
      <c r="R217" s="2" t="str">
        <f t="shared" si="28"/>
        <v>Stationery</v>
      </c>
      <c r="S217" s="2" t="str">
        <f t="shared" si="29"/>
        <v>Online</v>
      </c>
      <c r="T217" s="2" t="str">
        <f t="shared" si="30"/>
        <v>Cash</v>
      </c>
      <c r="U217" s="2" t="str">
        <f t="shared" si="31"/>
        <v>Pending</v>
      </c>
      <c r="V217" s="2">
        <f t="shared" si="32"/>
        <v>2</v>
      </c>
      <c r="W217" s="2">
        <f t="shared" si="33"/>
        <v>416.13</v>
      </c>
      <c r="X21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45581</v>
      </c>
      <c r="Y217" s="2" t="str">
        <f t="shared" si="34"/>
        <v>10%</v>
      </c>
      <c r="Z217" s="2" t="str">
        <f>TRIM(CLEAN(tblOrders[[#This Row],[Notes]]))</f>
        <v/>
      </c>
      <c r="AA217" s="2" t="str">
        <f t="shared" si="35"/>
        <v>Standard</v>
      </c>
      <c r="AB217" s="2">
        <f>IF(OR(tblOrders[[#This Row],[Quantity_Clean]]="",tblOrders[[#This Row],[UnitPrice_Clean]]=""),0,tblOrders[[#This Row],[Quantity_Clean]]*tblOrders[[#This Row],[UnitPrice_Clean]])</f>
        <v>832.26</v>
      </c>
      <c r="AC217" s="2" t="str">
        <f>UPPER(TRIM(tblOrders[[#This Row],[OrderID]]))</f>
        <v>ORD-1030</v>
      </c>
      <c r="AD217" s="2">
        <f>VALUE(RIGHT(tblOrders[[#This Row],[OrderID]],4))</f>
        <v>1030</v>
      </c>
      <c r="AE217" s="2" t="str">
        <f>TEXT(tblOrders[[#This Row],[OrderDate_Clean]],"mmm-yyyy")</f>
        <v>Oct-2024</v>
      </c>
      <c r="AF217" s="3">
        <f>EOMONTH(tblOrders[[#This Row],[OrderDate_Clean]],0)</f>
        <v>45596</v>
      </c>
      <c r="AG217" s="2" t="s">
        <v>941</v>
      </c>
      <c r="AH217" s="2">
        <f>IF(tblOrders[[#This Row],[Discount]]="",0,IF(ISNUMBER(tblOrders[[#This Row],[Discount]]),tblOrders[[#This Row],[Discount]],VALUE(SUBSTITUTE(TRIM(tblOrders[[#This Row],[Discount]]),"%",""))/100))</f>
        <v>0.1</v>
      </c>
    </row>
    <row r="218" spans="1:34" x14ac:dyDescent="0.25">
      <c r="A218" s="2" t="s">
        <v>331</v>
      </c>
      <c r="B218" s="2" t="s">
        <v>332</v>
      </c>
      <c r="C218" s="2" t="s">
        <v>333</v>
      </c>
      <c r="D218" s="2" t="s">
        <v>334</v>
      </c>
      <c r="E218" s="2" t="s">
        <v>125</v>
      </c>
      <c r="F218" s="2" t="s">
        <v>33</v>
      </c>
      <c r="G218" s="2" t="s">
        <v>323</v>
      </c>
      <c r="H218" s="2" t="s">
        <v>68</v>
      </c>
      <c r="I218" s="2">
        <v>4</v>
      </c>
      <c r="J218" s="2">
        <v>403.5</v>
      </c>
      <c r="K218" s="2"/>
      <c r="L218" s="2" t="s">
        <v>79</v>
      </c>
      <c r="M218" s="2" t="s">
        <v>70</v>
      </c>
      <c r="N218" s="2" t="s">
        <v>71</v>
      </c>
      <c r="O218" s="2" t="s">
        <v>51</v>
      </c>
      <c r="P218" s="2" t="str">
        <f t="shared" si="27"/>
        <v>Zara Malik</v>
      </c>
      <c r="Q218" s="2" t="str">
        <f>IF(OR(PROPER(TRIM(tblOrders[[#This Row],[Region]]))="Nort",PROPER(TRIM(tblOrders[[#This Row],[Region]]))="Northh"),"North",PROPER(TRIM(tblOrders[[#This Row],[Region]])))</f>
        <v>South</v>
      </c>
      <c r="R218" s="2" t="str">
        <f t="shared" si="28"/>
        <v>Stationery</v>
      </c>
      <c r="S218" s="2" t="str">
        <f t="shared" si="29"/>
        <v>Online</v>
      </c>
      <c r="T218" s="2" t="str">
        <f t="shared" si="30"/>
        <v>Cash</v>
      </c>
      <c r="U218" s="2" t="str">
        <f t="shared" si="31"/>
        <v>Refunded</v>
      </c>
      <c r="V218" s="2">
        <f t="shared" si="32"/>
        <v>4</v>
      </c>
      <c r="W218" s="2">
        <f t="shared" si="33"/>
        <v>403.5</v>
      </c>
      <c r="X21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45400</v>
      </c>
      <c r="Y218" s="2">
        <f t="shared" si="34"/>
        <v>0</v>
      </c>
      <c r="Z218" s="2" t="str">
        <f>TRIM(CLEAN(tblOrders[[#This Row],[Notes]]))</f>
        <v/>
      </c>
      <c r="AA218" s="2" t="str">
        <f t="shared" si="35"/>
        <v>High Value</v>
      </c>
      <c r="AB218" s="2">
        <f>IF(OR(tblOrders[[#This Row],[Quantity_Clean]]="",tblOrders[[#This Row],[UnitPrice_Clean]]=""),0,tblOrders[[#This Row],[Quantity_Clean]]*tblOrders[[#This Row],[UnitPrice_Clean]])</f>
        <v>1614</v>
      </c>
      <c r="AC218" s="2" t="str">
        <f>UPPER(TRIM(tblOrders[[#This Row],[OrderID]]))</f>
        <v>ORD-1004</v>
      </c>
      <c r="AD218" s="2">
        <f>VALUE(RIGHT(tblOrders[[#This Row],[OrderID]],4))</f>
        <v>1004</v>
      </c>
      <c r="AE218" s="2" t="str">
        <f>TEXT(tblOrders[[#This Row],[OrderDate_Clean]],"mmm-yyyy")</f>
        <v>Apr-2024</v>
      </c>
      <c r="AF218" s="3">
        <f>EOMONTH(tblOrders[[#This Row],[OrderDate_Clean]],0)</f>
        <v>45412</v>
      </c>
      <c r="AG218" s="2" t="s">
        <v>914</v>
      </c>
      <c r="AH218" s="2">
        <f>IF(tblOrders[[#This Row],[Discount]]="",0,IF(ISNUMBER(tblOrders[[#This Row],[Discount]]),tblOrders[[#This Row],[Discount]],VALUE(SUBSTITUTE(TRIM(tblOrders[[#This Row],[Discount]]),"%",""))/100))</f>
        <v>0</v>
      </c>
    </row>
    <row r="219" spans="1:34" x14ac:dyDescent="0.25">
      <c r="A219" s="2" t="s">
        <v>140</v>
      </c>
      <c r="B219" s="2" t="s">
        <v>141</v>
      </c>
      <c r="C219" s="2" t="s">
        <v>142</v>
      </c>
      <c r="D219" s="2" t="s">
        <v>97</v>
      </c>
      <c r="E219" s="2"/>
      <c r="F219" s="2" t="s">
        <v>33</v>
      </c>
      <c r="G219" s="2" t="s">
        <v>47</v>
      </c>
      <c r="H219" s="2" t="s">
        <v>22</v>
      </c>
      <c r="I219" s="2">
        <v>8</v>
      </c>
      <c r="J219" s="2">
        <v>379.18</v>
      </c>
      <c r="K219" s="2"/>
      <c r="L219" s="2" t="s">
        <v>143</v>
      </c>
      <c r="M219" s="2" t="s">
        <v>144</v>
      </c>
      <c r="N219" s="2" t="s">
        <v>39</v>
      </c>
      <c r="O219" s="2" t="s">
        <v>40</v>
      </c>
      <c r="P219" s="2" t="str">
        <f t="shared" si="27"/>
        <v>Olivia Taylor</v>
      </c>
      <c r="Q219" s="2" t="str">
        <f>IF(OR(PROPER(TRIM(tblOrders[[#This Row],[Region]]))="Nort",PROPER(TRIM(tblOrders[[#This Row],[Region]]))="Northh"),"North",PROPER(TRIM(tblOrders[[#This Row],[Region]])))</f>
        <v>West</v>
      </c>
      <c r="R219" s="2" t="str">
        <f t="shared" si="28"/>
        <v>Stationery</v>
      </c>
      <c r="S219" s="2" t="str">
        <f t="shared" si="29"/>
        <v>In-Store</v>
      </c>
      <c r="T219" s="2" t="str">
        <f t="shared" si="30"/>
        <v>Credit Card</v>
      </c>
      <c r="U219" s="2" t="str">
        <f t="shared" si="31"/>
        <v>Refunded</v>
      </c>
      <c r="V219" s="2">
        <f t="shared" si="32"/>
        <v>8</v>
      </c>
      <c r="W219" s="2">
        <f t="shared" si="33"/>
        <v>379.18</v>
      </c>
      <c r="X21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45625</v>
      </c>
      <c r="Y219" s="2">
        <f t="shared" si="34"/>
        <v>0</v>
      </c>
      <c r="Z219" s="2" t="str">
        <f>TRIM(CLEAN(tblOrders[[#This Row],[Notes]]))</f>
        <v>VIP customer</v>
      </c>
      <c r="AA219" s="2" t="str">
        <f t="shared" si="35"/>
        <v>High Value</v>
      </c>
      <c r="AB219" s="2">
        <f>IF(OR(tblOrders[[#This Row],[Quantity_Clean]]="",tblOrders[[#This Row],[UnitPrice_Clean]]=""),0,tblOrders[[#This Row],[Quantity_Clean]]*tblOrders[[#This Row],[UnitPrice_Clean]])</f>
        <v>3033.44</v>
      </c>
      <c r="AC219" s="2" t="str">
        <f>UPPER(TRIM(tblOrders[[#This Row],[OrderID]]))</f>
        <v>ORD-1098</v>
      </c>
      <c r="AD219" s="2">
        <f>VALUE(RIGHT(tblOrders[[#This Row],[OrderID]],4))</f>
        <v>1098</v>
      </c>
      <c r="AE219" s="2" t="str">
        <f>TEXT(tblOrders[[#This Row],[OrderDate_Clean]],"mmm-yyyy")</f>
        <v>Nov-2024</v>
      </c>
      <c r="AF219" s="3">
        <f>EOMONTH(tblOrders[[#This Row],[OrderDate_Clean]],0)</f>
        <v>45626</v>
      </c>
      <c r="AG219" s="2" t="s">
        <v>930</v>
      </c>
      <c r="AH219" s="2">
        <f>IF(tblOrders[[#This Row],[Discount]]="",0,IF(ISNUMBER(tblOrders[[#This Row],[Discount]]),tblOrders[[#This Row],[Discount]],VALUE(SUBSTITUTE(TRIM(tblOrders[[#This Row],[Discount]]),"%",""))/100))</f>
        <v>0</v>
      </c>
    </row>
    <row r="220" spans="1:34" x14ac:dyDescent="0.25">
      <c r="A220" s="2" t="s">
        <v>181</v>
      </c>
      <c r="B220" s="2" t="s">
        <v>182</v>
      </c>
      <c r="C220" s="2" t="s">
        <v>183</v>
      </c>
      <c r="D220" s="2" t="s">
        <v>44</v>
      </c>
      <c r="E220" s="2"/>
      <c r="F220" s="2" t="s">
        <v>184</v>
      </c>
      <c r="G220" s="2" t="s">
        <v>34</v>
      </c>
      <c r="H220" s="2" t="s">
        <v>48</v>
      </c>
      <c r="I220" s="2">
        <v>2</v>
      </c>
      <c r="J220" s="2">
        <v>375.41</v>
      </c>
      <c r="K220" s="2"/>
      <c r="L220" s="2" t="s">
        <v>69</v>
      </c>
      <c r="M220" s="2" t="s">
        <v>158</v>
      </c>
      <c r="N220" s="2" t="s">
        <v>26</v>
      </c>
      <c r="O220" s="2" t="s">
        <v>112</v>
      </c>
      <c r="P220" s="2" t="str">
        <f t="shared" si="27"/>
        <v>Hina Sheikh</v>
      </c>
      <c r="Q220" s="2" t="str">
        <f>IF(OR(PROPER(TRIM(tblOrders[[#This Row],[Region]]))="Nort",PROPER(TRIM(tblOrders[[#This Row],[Region]]))="Northh"),"North",PROPER(TRIM(tblOrders[[#This Row],[Region]])))</f>
        <v>South</v>
      </c>
      <c r="R220" s="2" t="str">
        <f t="shared" si="28"/>
        <v>Stationery</v>
      </c>
      <c r="S220" s="2" t="str">
        <f t="shared" si="29"/>
        <v>In-Store</v>
      </c>
      <c r="T220" s="2" t="str">
        <f t="shared" si="30"/>
        <v>Debit Card</v>
      </c>
      <c r="U220" s="2" t="str">
        <f t="shared" si="31"/>
        <v>Pending</v>
      </c>
      <c r="V220" s="2">
        <f t="shared" si="32"/>
        <v>2</v>
      </c>
      <c r="W220" s="2">
        <f t="shared" si="33"/>
        <v>375.41</v>
      </c>
      <c r="X22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45364</v>
      </c>
      <c r="Y220" s="2">
        <f t="shared" si="34"/>
        <v>0</v>
      </c>
      <c r="Z220" s="2" t="str">
        <f>TRIM(CLEAN(tblOrders[[#This Row],[Notes]]))</f>
        <v>Follow up needed</v>
      </c>
      <c r="AA220" s="2" t="str">
        <f t="shared" si="35"/>
        <v>Standard</v>
      </c>
      <c r="AB220" s="2">
        <f>IF(OR(tblOrders[[#This Row],[Quantity_Clean]]="",tblOrders[[#This Row],[UnitPrice_Clean]]=""),0,tblOrders[[#This Row],[Quantity_Clean]]*tblOrders[[#This Row],[UnitPrice_Clean]])</f>
        <v>750.82</v>
      </c>
      <c r="AC220" s="2" t="str">
        <f>UPPER(TRIM(tblOrders[[#This Row],[OrderID]]))</f>
        <v>ORD-1203</v>
      </c>
      <c r="AD220" s="2">
        <f>VALUE(RIGHT(tblOrders[[#This Row],[OrderID]],4))</f>
        <v>1203</v>
      </c>
      <c r="AE220" s="2" t="str">
        <f>TEXT(tblOrders[[#This Row],[OrderDate_Clean]],"mmm-yyyy")</f>
        <v>Mar-2024</v>
      </c>
      <c r="AF220" s="3">
        <f>EOMONTH(tblOrders[[#This Row],[OrderDate_Clean]],0)</f>
        <v>45382</v>
      </c>
      <c r="AG220" s="2" t="s">
        <v>934</v>
      </c>
      <c r="AH220" s="2">
        <f>IF(tblOrders[[#This Row],[Discount]]="",0,IF(ISNUMBER(tblOrders[[#This Row],[Discount]]),tblOrders[[#This Row],[Discount]],VALUE(SUBSTITUTE(TRIM(tblOrders[[#This Row],[Discount]]),"%",""))/100))</f>
        <v>0</v>
      </c>
    </row>
    <row r="221" spans="1:34" x14ac:dyDescent="0.25">
      <c r="A221" s="2" t="s">
        <v>667</v>
      </c>
      <c r="B221" s="2" t="s">
        <v>668</v>
      </c>
      <c r="C221" s="2" t="s">
        <v>669</v>
      </c>
      <c r="D221" s="2" t="s">
        <v>97</v>
      </c>
      <c r="E221" s="2" t="s">
        <v>98</v>
      </c>
      <c r="F221" s="2" t="s">
        <v>106</v>
      </c>
      <c r="G221" s="2" t="s">
        <v>47</v>
      </c>
      <c r="H221" s="2" t="s">
        <v>200</v>
      </c>
      <c r="I221" s="2" t="s">
        <v>190</v>
      </c>
      <c r="J221" s="2">
        <v>341.95</v>
      </c>
      <c r="K221" s="2">
        <v>0.05</v>
      </c>
      <c r="L221" s="2" t="s">
        <v>281</v>
      </c>
      <c r="M221" s="2" t="s">
        <v>25</v>
      </c>
      <c r="N221" s="2" t="s">
        <v>71</v>
      </c>
      <c r="O221" s="2" t="s">
        <v>87</v>
      </c>
      <c r="P221" s="2" t="str">
        <f t="shared" si="27"/>
        <v>James Lewis</v>
      </c>
      <c r="Q221" s="2" t="str">
        <f>IF(OR(PROPER(TRIM(tblOrders[[#This Row],[Region]]))="Nort",PROPER(TRIM(tblOrders[[#This Row],[Region]]))="Northh"),"North",PROPER(TRIM(tblOrders[[#This Row],[Region]])))</f>
        <v>West</v>
      </c>
      <c r="R221" s="2" t="str">
        <f t="shared" si="28"/>
        <v>Stationery</v>
      </c>
      <c r="S221" s="2" t="str">
        <f t="shared" si="29"/>
        <v>Online</v>
      </c>
      <c r="T221" s="2" t="str">
        <f t="shared" si="30"/>
        <v>Credit Card</v>
      </c>
      <c r="U221" s="2" t="str">
        <f t="shared" si="31"/>
        <v>Completed</v>
      </c>
      <c r="V221" s="2">
        <f t="shared" si="32"/>
        <v>9</v>
      </c>
      <c r="W221" s="2">
        <f t="shared" si="33"/>
        <v>341.95</v>
      </c>
      <c r="X22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45501</v>
      </c>
      <c r="Y221" s="2">
        <f t="shared" si="34"/>
        <v>0.05</v>
      </c>
      <c r="Z221" s="2" t="str">
        <f>TRIM(CLEAN(tblOrders[[#This Row],[Notes]]))</f>
        <v>Damaged on arrival - replaced</v>
      </c>
      <c r="AA221" s="2" t="str">
        <f t="shared" si="35"/>
        <v>High Value</v>
      </c>
      <c r="AB221" s="2">
        <f>IF(OR(tblOrders[[#This Row],[Quantity_Clean]]="",tblOrders[[#This Row],[UnitPrice_Clean]]=""),0,tblOrders[[#This Row],[Quantity_Clean]]*tblOrders[[#This Row],[UnitPrice_Clean]])</f>
        <v>3077.5499999999997</v>
      </c>
      <c r="AC221" s="2" t="str">
        <f>UPPER(TRIM(tblOrders[[#This Row],[OrderID]]))</f>
        <v>ORD-1176</v>
      </c>
      <c r="AD221" s="2">
        <f>VALUE(RIGHT(tblOrders[[#This Row],[OrderID]],4))</f>
        <v>1176</v>
      </c>
      <c r="AE221" s="2" t="str">
        <f>TEXT(tblOrders[[#This Row],[OrderDate_Clean]],"mmm-yyyy")</f>
        <v>Jul-2024</v>
      </c>
      <c r="AF221" s="3">
        <f>EOMONTH(tblOrders[[#This Row],[OrderDate_Clean]],0)</f>
        <v>45504</v>
      </c>
      <c r="AG221" s="2" t="s">
        <v>890</v>
      </c>
      <c r="AH221" s="2">
        <f>IF(tblOrders[[#This Row],[Discount]]="",0,IF(ISNUMBER(tblOrders[[#This Row],[Discount]]),tblOrders[[#This Row],[Discount]],VALUE(SUBSTITUTE(TRIM(tblOrders[[#This Row],[Discount]]),"%",""))/100))</f>
        <v>0.05</v>
      </c>
    </row>
    <row r="222" spans="1:34" x14ac:dyDescent="0.25">
      <c r="A222" s="2" t="s">
        <v>306</v>
      </c>
      <c r="B222" s="2" t="s">
        <v>307</v>
      </c>
      <c r="C222" s="2" t="s">
        <v>308</v>
      </c>
      <c r="D222" s="2" t="s">
        <v>224</v>
      </c>
      <c r="E222" s="2" t="s">
        <v>125</v>
      </c>
      <c r="F222" s="2" t="s">
        <v>106</v>
      </c>
      <c r="G222" s="2" t="s">
        <v>34</v>
      </c>
      <c r="H222" s="2" t="s">
        <v>68</v>
      </c>
      <c r="I222" s="2">
        <v>2</v>
      </c>
      <c r="J222" s="2">
        <v>335.77</v>
      </c>
      <c r="K222" s="2">
        <v>0.05</v>
      </c>
      <c r="L222" s="2" t="s">
        <v>180</v>
      </c>
      <c r="M222" s="2" t="s">
        <v>70</v>
      </c>
      <c r="N222" s="2" t="s">
        <v>111</v>
      </c>
      <c r="O222" s="2" t="s">
        <v>93</v>
      </c>
      <c r="P222" s="2" t="str">
        <f t="shared" si="27"/>
        <v>Priya Sheikh</v>
      </c>
      <c r="Q222" s="2" t="str">
        <f>IF(OR(PROPER(TRIM(tblOrders[[#This Row],[Region]]))="Nort",PROPER(TRIM(tblOrders[[#This Row],[Region]]))="Northh"),"North",PROPER(TRIM(tblOrders[[#This Row],[Region]])))</f>
        <v>South</v>
      </c>
      <c r="R222" s="2" t="str">
        <f t="shared" si="28"/>
        <v>Stationery</v>
      </c>
      <c r="S222" s="2" t="str">
        <f t="shared" si="29"/>
        <v>Online</v>
      </c>
      <c r="T222" s="2" t="str">
        <f t="shared" si="30"/>
        <v>Credit Card</v>
      </c>
      <c r="U222" s="2" t="str">
        <f t="shared" si="31"/>
        <v>Refunded</v>
      </c>
      <c r="V222" s="2">
        <f t="shared" si="32"/>
        <v>2</v>
      </c>
      <c r="W222" s="2">
        <f t="shared" si="33"/>
        <v>335.77</v>
      </c>
      <c r="X22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45296</v>
      </c>
      <c r="Y222" s="2">
        <f t="shared" si="34"/>
        <v>0.05</v>
      </c>
      <c r="Z222" s="2" t="str">
        <f>TRIM(CLEAN(tblOrders[[#This Row],[Notes]]))</f>
        <v>Bulk order - business account</v>
      </c>
      <c r="AA222" s="2" t="str">
        <f t="shared" si="35"/>
        <v>Standard</v>
      </c>
      <c r="AB222" s="2">
        <f>IF(OR(tblOrders[[#This Row],[Quantity_Clean]]="",tblOrders[[#This Row],[UnitPrice_Clean]]=""),0,tblOrders[[#This Row],[Quantity_Clean]]*tblOrders[[#This Row],[UnitPrice_Clean]])</f>
        <v>671.54</v>
      </c>
      <c r="AC222" s="2" t="str">
        <f>UPPER(TRIM(tblOrders[[#This Row],[OrderID]]))</f>
        <v>ORD-1113</v>
      </c>
      <c r="AD222" s="2">
        <f>VALUE(RIGHT(tblOrders[[#This Row],[OrderID]],4))</f>
        <v>1113</v>
      </c>
      <c r="AE222" s="2" t="str">
        <f>TEXT(tblOrders[[#This Row],[OrderDate_Clean]],"mmm-yyyy")</f>
        <v>Jan-2024</v>
      </c>
      <c r="AF222" s="3">
        <f>EOMONTH(tblOrders[[#This Row],[OrderDate_Clean]],0)</f>
        <v>45322</v>
      </c>
      <c r="AG222" s="2" t="s">
        <v>915</v>
      </c>
      <c r="AH222" s="2">
        <f>IF(tblOrders[[#This Row],[Discount]]="",0,IF(ISNUMBER(tblOrders[[#This Row],[Discount]]),tblOrders[[#This Row],[Discount]],VALUE(SUBSTITUTE(TRIM(tblOrders[[#This Row],[Discount]]),"%",""))/100))</f>
        <v>0.05</v>
      </c>
    </row>
    <row r="223" spans="1:34" x14ac:dyDescent="0.25">
      <c r="A223" s="2" t="s">
        <v>845</v>
      </c>
      <c r="B223" s="2" t="s">
        <v>846</v>
      </c>
      <c r="C223" s="2" t="s">
        <v>847</v>
      </c>
      <c r="D223" s="2" t="s">
        <v>55</v>
      </c>
      <c r="E223" s="2" t="s">
        <v>199</v>
      </c>
      <c r="F223" s="2" t="s">
        <v>106</v>
      </c>
      <c r="G223" s="2" t="s">
        <v>323</v>
      </c>
      <c r="H223" s="2" t="s">
        <v>68</v>
      </c>
      <c r="I223" s="2">
        <v>3</v>
      </c>
      <c r="J223" s="2">
        <v>327.5</v>
      </c>
      <c r="K223" s="2"/>
      <c r="L223" s="2" t="s">
        <v>79</v>
      </c>
      <c r="M223" s="2" t="s">
        <v>165</v>
      </c>
      <c r="N223" s="2"/>
      <c r="O223" s="2" t="s">
        <v>87</v>
      </c>
      <c r="P223" s="2" t="str">
        <f>PROPER(TRIM(C223))</f>
        <v>Zara Wilson</v>
      </c>
      <c r="Q223" s="2" t="str">
        <f>IF(OR(PROPER(TRIM(tblOrders[[#This Row],[Region]]))="Nort",PROPER(TRIM(tblOrders[[#This Row],[Region]]))="Northh"),"North",PROPER(TRIM(tblOrders[[#This Row],[Region]])))</f>
        <v>North</v>
      </c>
      <c r="R223" s="2" t="str">
        <f t="shared" si="28"/>
        <v>Stationery</v>
      </c>
      <c r="S223" s="2" t="str">
        <f t="shared" si="29"/>
        <v>Online</v>
      </c>
      <c r="T223" s="2" t="str">
        <f t="shared" si="30"/>
        <v>Cash</v>
      </c>
      <c r="U223" s="2" t="str">
        <f t="shared" si="31"/>
        <v>Cancelled</v>
      </c>
      <c r="V223" s="2">
        <f t="shared" si="32"/>
        <v>3</v>
      </c>
      <c r="W223" s="2">
        <f t="shared" si="33"/>
        <v>327.5</v>
      </c>
      <c r="X22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45543</v>
      </c>
      <c r="Y223" s="2">
        <f t="shared" si="34"/>
        <v>0</v>
      </c>
      <c r="Z223" s="2" t="str">
        <f>TRIM(CLEAN(tblOrders[[#This Row],[Notes]]))</f>
        <v>Damaged on arrival - replaced</v>
      </c>
      <c r="AA223" s="2" t="str">
        <f t="shared" si="35"/>
        <v>Standard</v>
      </c>
      <c r="AB223" s="2">
        <f>IF(OR(tblOrders[[#This Row],[Quantity_Clean]]="",tblOrders[[#This Row],[UnitPrice_Clean]]=""),0,tblOrders[[#This Row],[Quantity_Clean]]*tblOrders[[#This Row],[UnitPrice_Clean]])</f>
        <v>982.5</v>
      </c>
      <c r="AC223" s="2" t="str">
        <f>UPPER(TRIM(tblOrders[[#This Row],[OrderID]]))</f>
        <v>ORD-1040</v>
      </c>
      <c r="AD223" s="2">
        <f>VALUE(RIGHT(tblOrders[[#This Row],[OrderID]],4))</f>
        <v>1040</v>
      </c>
      <c r="AE223" s="2" t="str">
        <f>TEXT(tblOrders[[#This Row],[OrderDate_Clean]],"mmm-yyyy")</f>
        <v>Sep-2024</v>
      </c>
      <c r="AF223" s="3">
        <f>EOMONTH(tblOrders[[#This Row],[OrderDate_Clean]],0)</f>
        <v>45565</v>
      </c>
      <c r="AG223" s="2" t="s">
        <v>914</v>
      </c>
      <c r="AH223" s="2">
        <f>IF(tblOrders[[#This Row],[Discount]]="",0,IF(ISNUMBER(tblOrders[[#This Row],[Discount]]),tblOrders[[#This Row],[Discount]],VALUE(SUBSTITUTE(TRIM(tblOrders[[#This Row],[Discount]]),"%",""))/100))</f>
        <v>0</v>
      </c>
    </row>
    <row r="224" spans="1:34" x14ac:dyDescent="0.25">
      <c r="A224" s="2" t="s">
        <v>747</v>
      </c>
      <c r="B224" s="2" t="s">
        <v>748</v>
      </c>
      <c r="C224" s="2" t="s">
        <v>749</v>
      </c>
      <c r="D224" s="2" t="s">
        <v>75</v>
      </c>
      <c r="E224" s="2" t="s">
        <v>76</v>
      </c>
      <c r="F224" s="2" t="s">
        <v>184</v>
      </c>
      <c r="G224" s="2" t="s">
        <v>368</v>
      </c>
      <c r="H224" s="2" t="s">
        <v>178</v>
      </c>
      <c r="I224" s="2">
        <v>1</v>
      </c>
      <c r="J224" s="2">
        <v>320.89999999999998</v>
      </c>
      <c r="K224" s="2">
        <v>0</v>
      </c>
      <c r="L224" s="2" t="s">
        <v>260</v>
      </c>
      <c r="M224" s="2" t="s">
        <v>144</v>
      </c>
      <c r="N224" s="2" t="s">
        <v>50</v>
      </c>
      <c r="O224" s="2" t="s">
        <v>171</v>
      </c>
      <c r="P224" s="2" t="str">
        <f t="shared" si="27"/>
        <v>David Khan</v>
      </c>
      <c r="Q224" s="2" t="str">
        <f>IF(OR(PROPER(TRIM(tblOrders[[#This Row],[Region]]))="Nort",PROPER(TRIM(tblOrders[[#This Row],[Region]]))="Northh"),"North",PROPER(TRIM(tblOrders[[#This Row],[Region]])))</f>
        <v>North</v>
      </c>
      <c r="R224" s="2" t="str">
        <f t="shared" si="28"/>
        <v>Stationery</v>
      </c>
      <c r="S224" s="2" t="str">
        <f t="shared" si="29"/>
        <v>Online</v>
      </c>
      <c r="T224" s="2" t="str">
        <f t="shared" si="30"/>
        <v>Credit Card</v>
      </c>
      <c r="U224" s="2" t="str">
        <f t="shared" si="31"/>
        <v>Refunded</v>
      </c>
      <c r="V224" s="2">
        <f t="shared" si="32"/>
        <v>1</v>
      </c>
      <c r="W224" s="2">
        <f t="shared" si="33"/>
        <v>320.89999999999998</v>
      </c>
      <c r="X22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45533</v>
      </c>
      <c r="Y224" s="2">
        <f t="shared" si="34"/>
        <v>0</v>
      </c>
      <c r="Z224" s="2" t="str">
        <f>TRIM(CLEAN(tblOrders[[#This Row],[Notes]]))</f>
        <v>Leave at front desk</v>
      </c>
      <c r="AA224" s="2" t="str">
        <f t="shared" si="35"/>
        <v>Standard</v>
      </c>
      <c r="AB224" s="2">
        <f>IF(OR(tblOrders[[#This Row],[Quantity_Clean]]="",tblOrders[[#This Row],[UnitPrice_Clean]]=""),0,tblOrders[[#This Row],[Quantity_Clean]]*tblOrders[[#This Row],[UnitPrice_Clean]])</f>
        <v>320.89999999999998</v>
      </c>
      <c r="AC224" s="2" t="str">
        <f>UPPER(TRIM(tblOrders[[#This Row],[OrderID]]))</f>
        <v>ORD-1163</v>
      </c>
      <c r="AD224" s="2">
        <f>VALUE(RIGHT(tblOrders[[#This Row],[OrderID]],4))</f>
        <v>1163</v>
      </c>
      <c r="AE224" s="2" t="str">
        <f>TEXT(tblOrders[[#This Row],[OrderDate_Clean]],"mmm-yyyy")</f>
        <v>Aug-2024</v>
      </c>
      <c r="AF224" s="3">
        <f>EOMONTH(tblOrders[[#This Row],[OrderDate_Clean]],0)</f>
        <v>45535</v>
      </c>
      <c r="AG224" s="2" t="s">
        <v>946</v>
      </c>
      <c r="AH224" s="2">
        <f>IF(tblOrders[[#This Row],[Discount]]="",0,IF(ISNUMBER(tblOrders[[#This Row],[Discount]]),tblOrders[[#This Row],[Discount]],VALUE(SUBSTITUTE(TRIM(tblOrders[[#This Row],[Discount]]),"%",""))/100))</f>
        <v>0</v>
      </c>
    </row>
    <row r="225" spans="1:34" x14ac:dyDescent="0.25">
      <c r="A225" s="2" t="s">
        <v>658</v>
      </c>
      <c r="B225" s="2" t="s">
        <v>659</v>
      </c>
      <c r="C225" s="2" t="s">
        <v>660</v>
      </c>
      <c r="D225" s="2" t="s">
        <v>64</v>
      </c>
      <c r="E225" s="2" t="s">
        <v>65</v>
      </c>
      <c r="F225" s="2" t="s">
        <v>33</v>
      </c>
      <c r="G225" s="2" t="s">
        <v>34</v>
      </c>
      <c r="H225" s="2" t="s">
        <v>58</v>
      </c>
      <c r="I225" s="2" t="s">
        <v>360</v>
      </c>
      <c r="J225" s="2">
        <v>285.35000000000002</v>
      </c>
      <c r="K225" s="2">
        <v>0.05</v>
      </c>
      <c r="L225" s="2" t="s">
        <v>37</v>
      </c>
      <c r="M225" s="2" t="s">
        <v>70</v>
      </c>
      <c r="N225" s="2" t="s">
        <v>50</v>
      </c>
      <c r="O225" s="2" t="s">
        <v>40</v>
      </c>
      <c r="P225" s="2" t="str">
        <f t="shared" si="27"/>
        <v>Kevin Clark</v>
      </c>
      <c r="Q225" s="2" t="str">
        <f>IF(OR(PROPER(TRIM(tblOrders[[#This Row],[Region]]))="Nort",PROPER(TRIM(tblOrders[[#This Row],[Region]]))="Northh"),"North",PROPER(TRIM(tblOrders[[#This Row],[Region]])))</f>
        <v>West</v>
      </c>
      <c r="R225" s="2" t="str">
        <f t="shared" si="28"/>
        <v>Stationery</v>
      </c>
      <c r="S225" s="2" t="str">
        <f t="shared" si="29"/>
        <v>Online</v>
      </c>
      <c r="T225" s="2" t="str">
        <f t="shared" si="30"/>
        <v>Bank Transfer</v>
      </c>
      <c r="U225" s="2" t="str">
        <f t="shared" si="31"/>
        <v>Refunded</v>
      </c>
      <c r="V225" s="2">
        <f t="shared" si="32"/>
        <v>8</v>
      </c>
      <c r="W225" s="2">
        <f t="shared" si="33"/>
        <v>285.35000000000002</v>
      </c>
      <c r="X22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45475</v>
      </c>
      <c r="Y225" s="2">
        <f t="shared" si="34"/>
        <v>0.05</v>
      </c>
      <c r="Z225" s="2" t="str">
        <f>TRIM(CLEAN(tblOrders[[#This Row],[Notes]]))</f>
        <v>VIP customer</v>
      </c>
      <c r="AA225" s="2" t="str">
        <f t="shared" si="35"/>
        <v>High Value</v>
      </c>
      <c r="AB225" s="2">
        <f>IF(OR(tblOrders[[#This Row],[Quantity_Clean]]="",tblOrders[[#This Row],[UnitPrice_Clean]]=""),0,tblOrders[[#This Row],[Quantity_Clean]]*tblOrders[[#This Row],[UnitPrice_Clean]])</f>
        <v>2282.8000000000002</v>
      </c>
      <c r="AC225" s="2" t="str">
        <f>UPPER(TRIM(tblOrders[[#This Row],[OrderID]]))</f>
        <v>ORD-1208</v>
      </c>
      <c r="AD225" s="2">
        <f>VALUE(RIGHT(tblOrders[[#This Row],[OrderID]],4))</f>
        <v>1208</v>
      </c>
      <c r="AE225" s="2" t="str">
        <f>TEXT(tblOrders[[#This Row],[OrderDate_Clean]],"mmm-yyyy")</f>
        <v>Jul-2024</v>
      </c>
      <c r="AF225" s="3">
        <f>EOMONTH(tblOrders[[#This Row],[OrderDate_Clean]],0)</f>
        <v>45504</v>
      </c>
      <c r="AG225" s="2" t="s">
        <v>884</v>
      </c>
      <c r="AH225" s="2">
        <f>IF(tblOrders[[#This Row],[Discount]]="",0,IF(ISNUMBER(tblOrders[[#This Row],[Discount]]),tblOrders[[#This Row],[Discount]],VALUE(SUBSTITUTE(TRIM(tblOrders[[#This Row],[Discount]]),"%",""))/100))</f>
        <v>0.05</v>
      </c>
    </row>
    <row r="226" spans="1:34" x14ac:dyDescent="0.25">
      <c r="A226" s="2" t="s">
        <v>372</v>
      </c>
      <c r="B226" s="2" t="s">
        <v>373</v>
      </c>
      <c r="C226" s="2" t="s">
        <v>374</v>
      </c>
      <c r="D226" s="2" t="s">
        <v>44</v>
      </c>
      <c r="E226" s="2" t="s">
        <v>125</v>
      </c>
      <c r="F226" s="2" t="s">
        <v>106</v>
      </c>
      <c r="G226" s="2" t="s">
        <v>107</v>
      </c>
      <c r="H226" s="2" t="s">
        <v>200</v>
      </c>
      <c r="I226" s="2">
        <v>10</v>
      </c>
      <c r="J226" s="2">
        <v>281.63</v>
      </c>
      <c r="K226" s="2">
        <v>0.1</v>
      </c>
      <c r="L226" s="2" t="s">
        <v>260</v>
      </c>
      <c r="M226" s="2" t="s">
        <v>86</v>
      </c>
      <c r="N226" s="2" t="s">
        <v>111</v>
      </c>
      <c r="O226" s="2" t="s">
        <v>87</v>
      </c>
      <c r="P226" s="2" t="str">
        <f t="shared" si="27"/>
        <v>Michael Farooq</v>
      </c>
      <c r="Q226" s="2" t="str">
        <f>IF(OR(PROPER(TRIM(tblOrders[[#This Row],[Region]]))="Nort",PROPER(TRIM(tblOrders[[#This Row],[Region]]))="Northh"),"North",PROPER(TRIM(tblOrders[[#This Row],[Region]])))</f>
        <v>South</v>
      </c>
      <c r="R226" s="2" t="str">
        <f t="shared" si="28"/>
        <v>Stationery</v>
      </c>
      <c r="S226" s="2" t="str">
        <f t="shared" si="29"/>
        <v>Online</v>
      </c>
      <c r="T226" s="2" t="str">
        <f t="shared" si="30"/>
        <v>Credit Card</v>
      </c>
      <c r="U226" s="2" t="str">
        <f t="shared" si="31"/>
        <v>Completed</v>
      </c>
      <c r="V226" s="2">
        <f t="shared" si="32"/>
        <v>10</v>
      </c>
      <c r="W226" s="2">
        <f t="shared" si="33"/>
        <v>281.63</v>
      </c>
      <c r="X22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45389</v>
      </c>
      <c r="Y226" s="2">
        <f t="shared" si="34"/>
        <v>0.1</v>
      </c>
      <c r="Z226" s="2" t="str">
        <f>TRIM(CLEAN(tblOrders[[#This Row],[Notes]]))</f>
        <v>Damaged on arrival - replaced</v>
      </c>
      <c r="AA226" s="2" t="str">
        <f t="shared" si="35"/>
        <v>High Value</v>
      </c>
      <c r="AB226" s="2">
        <f>IF(OR(tblOrders[[#This Row],[Quantity_Clean]]="",tblOrders[[#This Row],[UnitPrice_Clean]]=""),0,tblOrders[[#This Row],[Quantity_Clean]]*tblOrders[[#This Row],[UnitPrice_Clean]])</f>
        <v>2816.3</v>
      </c>
      <c r="AC226" s="2" t="str">
        <f>UPPER(TRIM(tblOrders[[#This Row],[OrderID]]))</f>
        <v>ORD-1110</v>
      </c>
      <c r="AD226" s="2">
        <f>VALUE(RIGHT(tblOrders[[#This Row],[OrderID]],4))</f>
        <v>1110</v>
      </c>
      <c r="AE226" s="2" t="str">
        <f>TEXT(tblOrders[[#This Row],[OrderDate_Clean]],"mmm-yyyy")</f>
        <v>Apr-2024</v>
      </c>
      <c r="AF226" s="3">
        <f>EOMONTH(tblOrders[[#This Row],[OrderDate_Clean]],0)</f>
        <v>45412</v>
      </c>
      <c r="AG226" s="2" t="s">
        <v>908</v>
      </c>
      <c r="AH226" s="2">
        <f>IF(tblOrders[[#This Row],[Discount]]="",0,IF(ISNUMBER(tblOrders[[#This Row],[Discount]]),tblOrders[[#This Row],[Discount]],VALUE(SUBSTITUTE(TRIM(tblOrders[[#This Row],[Discount]]),"%",""))/100))</f>
        <v>0.1</v>
      </c>
    </row>
    <row r="227" spans="1:34" x14ac:dyDescent="0.25">
      <c r="A227" s="2" t="s">
        <v>418</v>
      </c>
      <c r="B227" s="2" t="s">
        <v>419</v>
      </c>
      <c r="C227" s="2" t="s">
        <v>420</v>
      </c>
      <c r="D227" s="2" t="s">
        <v>224</v>
      </c>
      <c r="E227" s="2" t="s">
        <v>45</v>
      </c>
      <c r="F227" s="2" t="s">
        <v>33</v>
      </c>
      <c r="G227" s="2" t="s">
        <v>323</v>
      </c>
      <c r="H227" s="2" t="s">
        <v>35</v>
      </c>
      <c r="I227" s="2" t="s">
        <v>169</v>
      </c>
      <c r="J227" s="2">
        <v>276.33</v>
      </c>
      <c r="K227" s="2" t="s">
        <v>347</v>
      </c>
      <c r="L227" s="2" t="s">
        <v>139</v>
      </c>
      <c r="M227" s="2" t="s">
        <v>25</v>
      </c>
      <c r="N227" s="2" t="s">
        <v>39</v>
      </c>
      <c r="O227" s="2" t="s">
        <v>27</v>
      </c>
      <c r="P227" s="2" t="str">
        <f t="shared" si="27"/>
        <v>Emily Ali</v>
      </c>
      <c r="Q227" s="2" t="str">
        <f>IF(OR(PROPER(TRIM(tblOrders[[#This Row],[Region]]))="Nort",PROPER(TRIM(tblOrders[[#This Row],[Region]]))="Northh"),"North",PROPER(TRIM(tblOrders[[#This Row],[Region]])))</f>
        <v>South</v>
      </c>
      <c r="R227" s="2" t="str">
        <f t="shared" si="28"/>
        <v>Stationery</v>
      </c>
      <c r="S227" s="2" t="str">
        <f t="shared" si="29"/>
        <v>In-Store</v>
      </c>
      <c r="T227" s="2" t="str">
        <f t="shared" si="30"/>
        <v>Debit Card</v>
      </c>
      <c r="U227" s="2" t="str">
        <f t="shared" si="31"/>
        <v>Completed</v>
      </c>
      <c r="V227" s="2">
        <f t="shared" si="32"/>
        <v>5</v>
      </c>
      <c r="W227" s="2">
        <f t="shared" si="33"/>
        <v>276.33</v>
      </c>
      <c r="X22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45298</v>
      </c>
      <c r="Y227" s="2" t="str">
        <f t="shared" si="34"/>
        <v>15%</v>
      </c>
      <c r="Z227" s="2" t="str">
        <f>TRIM(CLEAN(tblOrders[[#This Row],[Notes]]))</f>
        <v>Customer called twice</v>
      </c>
      <c r="AA227" s="2" t="str">
        <f t="shared" si="35"/>
        <v>High Value</v>
      </c>
      <c r="AB227" s="2">
        <f>IF(OR(tblOrders[[#This Row],[Quantity_Clean]]="",tblOrders[[#This Row],[UnitPrice_Clean]]=""),0,tblOrders[[#This Row],[Quantity_Clean]]*tblOrders[[#This Row],[UnitPrice_Clean]])</f>
        <v>1381.6499999999999</v>
      </c>
      <c r="AC227" s="2" t="str">
        <f>UPPER(TRIM(tblOrders[[#This Row],[OrderID]]))</f>
        <v>ORD-1182</v>
      </c>
      <c r="AD227" s="2">
        <f>VALUE(RIGHT(tblOrders[[#This Row],[OrderID]],4))</f>
        <v>1182</v>
      </c>
      <c r="AE227" s="2" t="str">
        <f>TEXT(tblOrders[[#This Row],[OrderDate_Clean]],"mmm-yyyy")</f>
        <v>Jan-2024</v>
      </c>
      <c r="AF227" s="3">
        <f>EOMONTH(tblOrders[[#This Row],[OrderDate_Clean]],0)</f>
        <v>45322</v>
      </c>
      <c r="AG227" s="2" t="s">
        <v>889</v>
      </c>
      <c r="AH227" s="2">
        <f>IF(tblOrders[[#This Row],[Discount]]="",0,IF(ISNUMBER(tblOrders[[#This Row],[Discount]]),tblOrders[[#This Row],[Discount]],VALUE(SUBSTITUTE(TRIM(tblOrders[[#This Row],[Discount]]),"%",""))/100))</f>
        <v>0.15</v>
      </c>
    </row>
    <row r="228" spans="1:34" x14ac:dyDescent="0.25">
      <c r="A228" s="2" t="s">
        <v>820</v>
      </c>
      <c r="B228" s="2" t="s">
        <v>821</v>
      </c>
      <c r="C228" s="2" t="s">
        <v>822</v>
      </c>
      <c r="D228" s="2" t="s">
        <v>212</v>
      </c>
      <c r="E228" s="2"/>
      <c r="F228" s="2" t="s">
        <v>184</v>
      </c>
      <c r="G228" s="2" t="s">
        <v>107</v>
      </c>
      <c r="H228" s="2" t="s">
        <v>68</v>
      </c>
      <c r="I228" s="2">
        <v>9</v>
      </c>
      <c r="J228" s="2">
        <v>270.19</v>
      </c>
      <c r="K228" s="2">
        <v>0.15</v>
      </c>
      <c r="L228" s="2" t="s">
        <v>237</v>
      </c>
      <c r="M228" s="2" t="s">
        <v>208</v>
      </c>
      <c r="N228" s="2" t="s">
        <v>39</v>
      </c>
      <c r="O228" s="2" t="s">
        <v>112</v>
      </c>
      <c r="P228" s="2" t="str">
        <f t="shared" si="27"/>
        <v>Daniel Sheikh</v>
      </c>
      <c r="Q228" s="2" t="str">
        <f>IF(OR(PROPER(TRIM(tblOrders[[#This Row],[Region]]))="Nort",PROPER(TRIM(tblOrders[[#This Row],[Region]]))="Northh"),"North",PROPER(TRIM(tblOrders[[#This Row],[Region]])))</f>
        <v>West</v>
      </c>
      <c r="R228" s="2" t="str">
        <f t="shared" si="28"/>
        <v>Stationery</v>
      </c>
      <c r="S228" s="2" t="str">
        <f t="shared" si="29"/>
        <v>Online</v>
      </c>
      <c r="T228" s="2" t="str">
        <f t="shared" si="30"/>
        <v>Bank Transfer</v>
      </c>
      <c r="U228" s="2" t="str">
        <f t="shared" si="31"/>
        <v>Completed</v>
      </c>
      <c r="V228" s="2">
        <f t="shared" si="32"/>
        <v>9</v>
      </c>
      <c r="W228" s="2">
        <f t="shared" si="33"/>
        <v>270.19</v>
      </c>
      <c r="X22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45341</v>
      </c>
      <c r="Y228" s="2">
        <f t="shared" si="34"/>
        <v>0.15</v>
      </c>
      <c r="Z228" s="2" t="str">
        <f>TRIM(CLEAN(tblOrders[[#This Row],[Notes]]))</f>
        <v>Follow up needed</v>
      </c>
      <c r="AA228" s="2" t="str">
        <f t="shared" si="35"/>
        <v>High Value</v>
      </c>
      <c r="AB228" s="2">
        <f>IF(OR(tblOrders[[#This Row],[Quantity_Clean]]="",tblOrders[[#This Row],[UnitPrice_Clean]]=""),0,tblOrders[[#This Row],[Quantity_Clean]]*tblOrders[[#This Row],[UnitPrice_Clean]])</f>
        <v>2431.71</v>
      </c>
      <c r="AC228" s="2" t="str">
        <f>UPPER(TRIM(tblOrders[[#This Row],[OrderID]]))</f>
        <v>ORD-1114</v>
      </c>
      <c r="AD228" s="2">
        <f>VALUE(RIGHT(tblOrders[[#This Row],[OrderID]],4))</f>
        <v>1114</v>
      </c>
      <c r="AE228" s="2" t="str">
        <f>TEXT(tblOrders[[#This Row],[OrderDate_Clean]],"mmm-yyyy")</f>
        <v>Feb-2024</v>
      </c>
      <c r="AF228" s="3">
        <f>EOMONTH(tblOrders[[#This Row],[OrderDate_Clean]],0)</f>
        <v>45351</v>
      </c>
      <c r="AG228" s="2" t="s">
        <v>893</v>
      </c>
      <c r="AH228" s="2">
        <f>IF(tblOrders[[#This Row],[Discount]]="",0,IF(ISNUMBER(tblOrders[[#This Row],[Discount]]),tblOrders[[#This Row],[Discount]],VALUE(SUBSTITUTE(TRIM(tblOrders[[#This Row],[Discount]]),"%",""))/100))</f>
        <v>0.15</v>
      </c>
    </row>
    <row r="229" spans="1:34" x14ac:dyDescent="0.25">
      <c r="A229" s="2" t="s">
        <v>500</v>
      </c>
      <c r="B229" s="2" t="s">
        <v>501</v>
      </c>
      <c r="C229" s="2" t="s">
        <v>502</v>
      </c>
      <c r="D229" s="2" t="s">
        <v>224</v>
      </c>
      <c r="E229" s="2"/>
      <c r="F229" s="2" t="s">
        <v>184</v>
      </c>
      <c r="G229" s="2" t="s">
        <v>323</v>
      </c>
      <c r="H229" s="2" t="s">
        <v>108</v>
      </c>
      <c r="I229" s="2">
        <v>7</v>
      </c>
      <c r="J229" s="2">
        <v>258.14999999999998</v>
      </c>
      <c r="K229" s="2" t="s">
        <v>85</v>
      </c>
      <c r="L229" s="2" t="s">
        <v>143</v>
      </c>
      <c r="M229" s="2" t="s">
        <v>70</v>
      </c>
      <c r="N229" s="2" t="s">
        <v>50</v>
      </c>
      <c r="O229" s="2" t="s">
        <v>93</v>
      </c>
      <c r="P229" s="2" t="str">
        <f t="shared" si="27"/>
        <v>John Ali</v>
      </c>
      <c r="Q229" s="2" t="str">
        <f>IF(OR(PROPER(TRIM(tblOrders[[#This Row],[Region]]))="Nort",PROPER(TRIM(tblOrders[[#This Row],[Region]]))="Northh"),"North",PROPER(TRIM(tblOrders[[#This Row],[Region]])))</f>
        <v>South</v>
      </c>
      <c r="R229" s="2" t="str">
        <f t="shared" si="28"/>
        <v>Stationery</v>
      </c>
      <c r="S229" s="2" t="str">
        <f t="shared" si="29"/>
        <v>In-Store</v>
      </c>
      <c r="T229" s="2" t="str">
        <f t="shared" si="30"/>
        <v>Credit Card</v>
      </c>
      <c r="U229" s="2" t="str">
        <f t="shared" si="31"/>
        <v>Refunded</v>
      </c>
      <c r="V229" s="2">
        <f t="shared" si="32"/>
        <v>7</v>
      </c>
      <c r="W229" s="2">
        <f t="shared" si="33"/>
        <v>258.14999999999998</v>
      </c>
      <c r="X22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45292</v>
      </c>
      <c r="Y229" s="2" t="str">
        <f t="shared" si="34"/>
        <v>10%</v>
      </c>
      <c r="Z229" s="2" t="str">
        <f>TRIM(CLEAN(tblOrders[[#This Row],[Notes]]))</f>
        <v>Bulk order - business account</v>
      </c>
      <c r="AA229" s="2" t="str">
        <f t="shared" si="35"/>
        <v>High Value</v>
      </c>
      <c r="AB229" s="2">
        <f>IF(OR(tblOrders[[#This Row],[Quantity_Clean]]="",tblOrders[[#This Row],[UnitPrice_Clean]]=""),0,tblOrders[[#This Row],[Quantity_Clean]]*tblOrders[[#This Row],[UnitPrice_Clean]])</f>
        <v>1807.0499999999997</v>
      </c>
      <c r="AC229" s="2" t="str">
        <f>UPPER(TRIM(tblOrders[[#This Row],[OrderID]]))</f>
        <v>ORD-1020</v>
      </c>
      <c r="AD229" s="2">
        <f>VALUE(RIGHT(tblOrders[[#This Row],[OrderID]],4))</f>
        <v>1020</v>
      </c>
      <c r="AE229" s="2" t="str">
        <f>TEXT(tblOrders[[#This Row],[OrderDate_Clean]],"mmm-yyyy")</f>
        <v>Jan-2024</v>
      </c>
      <c r="AF229" s="3">
        <f>EOMONTH(tblOrders[[#This Row],[OrderDate_Clean]],0)</f>
        <v>45322</v>
      </c>
      <c r="AG229" s="2" t="s">
        <v>931</v>
      </c>
      <c r="AH229" s="2">
        <f>IF(tblOrders[[#This Row],[Discount]]="",0,IF(ISNUMBER(tblOrders[[#This Row],[Discount]]),tblOrders[[#This Row],[Discount]],VALUE(SUBSTITUTE(TRIM(tblOrders[[#This Row],[Discount]]),"%",""))/100))</f>
        <v>0.1</v>
      </c>
    </row>
    <row r="230" spans="1:34" x14ac:dyDescent="0.25">
      <c r="A230" s="2" t="s">
        <v>623</v>
      </c>
      <c r="B230" s="2" t="s">
        <v>624</v>
      </c>
      <c r="C230" s="2" t="s">
        <v>625</v>
      </c>
      <c r="D230" s="2" t="s">
        <v>152</v>
      </c>
      <c r="E230" s="2" t="s">
        <v>117</v>
      </c>
      <c r="F230" s="2" t="s">
        <v>184</v>
      </c>
      <c r="G230" s="2" t="s">
        <v>323</v>
      </c>
      <c r="H230" s="2" t="s">
        <v>48</v>
      </c>
      <c r="I230" s="2" t="s">
        <v>364</v>
      </c>
      <c r="J230" s="2">
        <v>238.15</v>
      </c>
      <c r="K230" s="2"/>
      <c r="L230" s="2" t="s">
        <v>79</v>
      </c>
      <c r="M230" s="2" t="s">
        <v>60</v>
      </c>
      <c r="N230" s="2" t="s">
        <v>39</v>
      </c>
      <c r="O230" s="2" t="s">
        <v>126</v>
      </c>
      <c r="P230" s="2" t="str">
        <f t="shared" si="27"/>
        <v>Sofia Smith</v>
      </c>
      <c r="Q230" s="2" t="str">
        <f>IF(OR(PROPER(TRIM(tblOrders[[#This Row],[Region]]))="Nort",PROPER(TRIM(tblOrders[[#This Row],[Region]]))="Northh"),"North",PROPER(TRIM(tblOrders[[#This Row],[Region]])))</f>
        <v>East</v>
      </c>
      <c r="R230" s="2" t="str">
        <f t="shared" si="28"/>
        <v>Stationery</v>
      </c>
      <c r="S230" s="2" t="str">
        <f t="shared" si="29"/>
        <v>In-Store</v>
      </c>
      <c r="T230" s="2" t="str">
        <f t="shared" si="30"/>
        <v>Cash</v>
      </c>
      <c r="U230" s="2" t="str">
        <f t="shared" si="31"/>
        <v>Completed</v>
      </c>
      <c r="V230" s="2">
        <f t="shared" si="32"/>
        <v>11</v>
      </c>
      <c r="W230" s="2">
        <f t="shared" si="33"/>
        <v>238.15</v>
      </c>
      <c r="X23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45426</v>
      </c>
      <c r="Y230" s="2">
        <f t="shared" si="34"/>
        <v>0</v>
      </c>
      <c r="Z230" s="2" t="str">
        <f>TRIM(CLEAN(tblOrders[[#This Row],[Notes]]))</f>
        <v>Gift wrap requested</v>
      </c>
      <c r="AA230" s="2" t="str">
        <f t="shared" si="35"/>
        <v>High Value</v>
      </c>
      <c r="AB230" s="2">
        <f>IF(OR(tblOrders[[#This Row],[Quantity_Clean]]="",tblOrders[[#This Row],[UnitPrice_Clean]]=""),0,tblOrders[[#This Row],[Quantity_Clean]]*tblOrders[[#This Row],[UnitPrice_Clean]])</f>
        <v>2619.65</v>
      </c>
      <c r="AC230" s="2" t="str">
        <f>UPPER(TRIM(tblOrders[[#This Row],[OrderID]]))</f>
        <v>ORD-1141</v>
      </c>
      <c r="AD230" s="2">
        <f>VALUE(RIGHT(tblOrders[[#This Row],[OrderID]],4))</f>
        <v>1141</v>
      </c>
      <c r="AE230" s="2" t="str">
        <f>TEXT(tblOrders[[#This Row],[OrderDate_Clean]],"mmm-yyyy")</f>
        <v>May-2024</v>
      </c>
      <c r="AF230" s="3">
        <f>EOMONTH(tblOrders[[#This Row],[OrderDate_Clean]],0)</f>
        <v>45443</v>
      </c>
      <c r="AG230" s="2" t="s">
        <v>948</v>
      </c>
      <c r="AH230" s="2">
        <f>IF(tblOrders[[#This Row],[Discount]]="",0,IF(ISNUMBER(tblOrders[[#This Row],[Discount]]),tblOrders[[#This Row],[Discount]],VALUE(SUBSTITUTE(TRIM(tblOrders[[#This Row],[Discount]]),"%",""))/100))</f>
        <v>0</v>
      </c>
    </row>
    <row r="231" spans="1:34" x14ac:dyDescent="0.25">
      <c r="A231" s="2" t="s">
        <v>623</v>
      </c>
      <c r="B231" s="2" t="s">
        <v>624</v>
      </c>
      <c r="C231" s="2" t="s">
        <v>625</v>
      </c>
      <c r="D231" s="2" t="s">
        <v>152</v>
      </c>
      <c r="E231" s="2" t="s">
        <v>117</v>
      </c>
      <c r="F231" s="2" t="s">
        <v>184</v>
      </c>
      <c r="G231" s="2" t="s">
        <v>323</v>
      </c>
      <c r="H231" s="2" t="s">
        <v>48</v>
      </c>
      <c r="I231" s="2" t="s">
        <v>364</v>
      </c>
      <c r="J231" s="2">
        <v>238.15</v>
      </c>
      <c r="K231" s="2"/>
      <c r="L231" s="2" t="s">
        <v>79</v>
      </c>
      <c r="M231" s="2" t="s">
        <v>60</v>
      </c>
      <c r="N231" s="2" t="s">
        <v>39</v>
      </c>
      <c r="O231" s="2" t="s">
        <v>126</v>
      </c>
      <c r="P231" s="2" t="str">
        <f t="shared" si="27"/>
        <v>Sofia Smith</v>
      </c>
      <c r="Q231" s="2" t="str">
        <f>IF(OR(PROPER(TRIM(tblOrders[[#This Row],[Region]]))="Nort",PROPER(TRIM(tblOrders[[#This Row],[Region]]))="Northh"),"North",PROPER(TRIM(tblOrders[[#This Row],[Region]])))</f>
        <v>East</v>
      </c>
      <c r="R231" s="2" t="str">
        <f t="shared" si="28"/>
        <v>Stationery</v>
      </c>
      <c r="S231" s="2" t="str">
        <f t="shared" si="29"/>
        <v>In-Store</v>
      </c>
      <c r="T231" s="2" t="str">
        <f t="shared" si="30"/>
        <v>Cash</v>
      </c>
      <c r="U231" s="2" t="str">
        <f t="shared" si="31"/>
        <v>Completed</v>
      </c>
      <c r="V231" s="2">
        <f t="shared" si="32"/>
        <v>11</v>
      </c>
      <c r="W231" s="2">
        <f t="shared" si="33"/>
        <v>238.15</v>
      </c>
      <c r="X23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45426</v>
      </c>
      <c r="Y231" s="2">
        <f t="shared" si="34"/>
        <v>0</v>
      </c>
      <c r="Z231" s="2" t="str">
        <f>TRIM(CLEAN(tblOrders[[#This Row],[Notes]]))</f>
        <v>Gift wrap requested</v>
      </c>
      <c r="AA231" s="2" t="str">
        <f t="shared" si="35"/>
        <v>High Value</v>
      </c>
      <c r="AB231" s="2">
        <f>IF(OR(tblOrders[[#This Row],[Quantity_Clean]]="",tblOrders[[#This Row],[UnitPrice_Clean]]=""),0,tblOrders[[#This Row],[Quantity_Clean]]*tblOrders[[#This Row],[UnitPrice_Clean]])</f>
        <v>2619.65</v>
      </c>
      <c r="AC231" s="2" t="str">
        <f>UPPER(TRIM(tblOrders[[#This Row],[OrderID]]))</f>
        <v>ORD-1141</v>
      </c>
      <c r="AD231" s="2">
        <f>VALUE(RIGHT(tblOrders[[#This Row],[OrderID]],4))</f>
        <v>1141</v>
      </c>
      <c r="AE231" s="2" t="str">
        <f>TEXT(tblOrders[[#This Row],[OrderDate_Clean]],"mmm-yyyy")</f>
        <v>May-2024</v>
      </c>
      <c r="AF231" s="3">
        <f>EOMONTH(tblOrders[[#This Row],[OrderDate_Clean]],0)</f>
        <v>45443</v>
      </c>
      <c r="AG231" s="2" t="s">
        <v>948</v>
      </c>
      <c r="AH231" s="2">
        <f>IF(tblOrders[[#This Row],[Discount]]="",0,IF(ISNUMBER(tblOrders[[#This Row],[Discount]]),tblOrders[[#This Row],[Discount]],VALUE(SUBSTITUTE(TRIM(tblOrders[[#This Row],[Discount]]),"%",""))/100))</f>
        <v>0</v>
      </c>
    </row>
    <row r="232" spans="1:34" x14ac:dyDescent="0.25">
      <c r="A232" s="2" t="s">
        <v>484</v>
      </c>
      <c r="B232" s="2" t="s">
        <v>485</v>
      </c>
      <c r="C232" s="2" t="s">
        <v>486</v>
      </c>
      <c r="D232" s="2" t="s">
        <v>258</v>
      </c>
      <c r="E232" s="2" t="s">
        <v>45</v>
      </c>
      <c r="F232" s="2" t="s">
        <v>184</v>
      </c>
      <c r="G232" s="2" t="s">
        <v>323</v>
      </c>
      <c r="H232" s="2" t="s">
        <v>68</v>
      </c>
      <c r="I232" s="2">
        <v>12</v>
      </c>
      <c r="J232" s="2">
        <v>224.47</v>
      </c>
      <c r="K232" s="2">
        <v>0</v>
      </c>
      <c r="L232" s="2" t="s">
        <v>132</v>
      </c>
      <c r="M232" s="2" t="s">
        <v>170</v>
      </c>
      <c r="N232" s="2" t="s">
        <v>26</v>
      </c>
      <c r="O232" s="2" t="s">
        <v>126</v>
      </c>
      <c r="P232" s="2" t="str">
        <f t="shared" si="27"/>
        <v>Olivia Lewis</v>
      </c>
      <c r="Q232" s="2" t="str">
        <f>IF(OR(PROPER(TRIM(tblOrders[[#This Row],[Region]]))="Nort",PROPER(TRIM(tblOrders[[#This Row],[Region]]))="Northh"),"North",PROPER(TRIM(tblOrders[[#This Row],[Region]])))</f>
        <v>South</v>
      </c>
      <c r="R232" s="2" t="str">
        <f t="shared" si="28"/>
        <v>Stationery</v>
      </c>
      <c r="S232" s="2" t="str">
        <f t="shared" si="29"/>
        <v>Online</v>
      </c>
      <c r="T232" s="2" t="str">
        <f t="shared" si="30"/>
        <v>Cash</v>
      </c>
      <c r="U232" s="2" t="str">
        <f t="shared" si="31"/>
        <v>Cancelled</v>
      </c>
      <c r="V232" s="2">
        <f t="shared" si="32"/>
        <v>12</v>
      </c>
      <c r="W232" s="2">
        <f t="shared" si="33"/>
        <v>224.47</v>
      </c>
      <c r="X23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45622</v>
      </c>
      <c r="Y232" s="2">
        <f t="shared" si="34"/>
        <v>0</v>
      </c>
      <c r="Z232" s="2" t="str">
        <f>TRIM(CLEAN(tblOrders[[#This Row],[Notes]]))</f>
        <v>Gift wrap requested</v>
      </c>
      <c r="AA232" s="2" t="str">
        <f t="shared" si="35"/>
        <v>High Value</v>
      </c>
      <c r="AB232" s="2">
        <f>IF(OR(tblOrders[[#This Row],[Quantity_Clean]]="",tblOrders[[#This Row],[UnitPrice_Clean]]=""),0,tblOrders[[#This Row],[Quantity_Clean]]*tblOrders[[#This Row],[UnitPrice_Clean]])</f>
        <v>2693.64</v>
      </c>
      <c r="AC232" s="2" t="str">
        <f>UPPER(TRIM(tblOrders[[#This Row],[OrderID]]))</f>
        <v>ORD-1054</v>
      </c>
      <c r="AD232" s="2">
        <f>VALUE(RIGHT(tblOrders[[#This Row],[OrderID]],4))</f>
        <v>1054</v>
      </c>
      <c r="AE232" s="2" t="str">
        <f>TEXT(tblOrders[[#This Row],[OrderDate_Clean]],"mmm-yyyy")</f>
        <v>Nov-2024</v>
      </c>
      <c r="AF232" s="3">
        <f>EOMONTH(tblOrders[[#This Row],[OrderDate_Clean]],0)</f>
        <v>45626</v>
      </c>
      <c r="AG232" s="2" t="s">
        <v>930</v>
      </c>
      <c r="AH232" s="2">
        <f>IF(tblOrders[[#This Row],[Discount]]="",0,IF(ISNUMBER(tblOrders[[#This Row],[Discount]]),tblOrders[[#This Row],[Discount]],VALUE(SUBSTITUTE(TRIM(tblOrders[[#This Row],[Discount]]),"%",""))/100))</f>
        <v>0</v>
      </c>
    </row>
    <row r="233" spans="1:34" x14ac:dyDescent="0.25">
      <c r="A233" s="2" t="s">
        <v>783</v>
      </c>
      <c r="B233" s="2" t="s">
        <v>784</v>
      </c>
      <c r="C233" s="2" t="s">
        <v>785</v>
      </c>
      <c r="D233" s="2" t="s">
        <v>97</v>
      </c>
      <c r="E233" s="2" t="s">
        <v>65</v>
      </c>
      <c r="F233" s="2" t="s">
        <v>106</v>
      </c>
      <c r="G233" s="2" t="s">
        <v>34</v>
      </c>
      <c r="H233" s="2" t="s">
        <v>108</v>
      </c>
      <c r="I233" s="2"/>
      <c r="J233" s="2">
        <v>209.84</v>
      </c>
      <c r="K233" s="2">
        <v>0.2</v>
      </c>
      <c r="L233" s="2" t="s">
        <v>24</v>
      </c>
      <c r="M233" s="2" t="s">
        <v>110</v>
      </c>
      <c r="N233" s="2" t="s">
        <v>26</v>
      </c>
      <c r="O233" s="2" t="s">
        <v>112</v>
      </c>
      <c r="P233" s="2" t="str">
        <f t="shared" si="27"/>
        <v>Grace Farooq</v>
      </c>
      <c r="Q233" s="2" t="str">
        <f>IF(OR(PROPER(TRIM(tblOrders[[#This Row],[Region]]))="Nort",PROPER(TRIM(tblOrders[[#This Row],[Region]]))="Northh"),"North",PROPER(TRIM(tblOrders[[#This Row],[Region]])))</f>
        <v>West</v>
      </c>
      <c r="R233" s="2" t="str">
        <f t="shared" si="28"/>
        <v>Stationery</v>
      </c>
      <c r="S233" s="2" t="str">
        <f t="shared" si="29"/>
        <v>In-Store</v>
      </c>
      <c r="T233" s="2" t="str">
        <f t="shared" si="30"/>
        <v>Credit Card</v>
      </c>
      <c r="U233" s="2" t="str">
        <f t="shared" si="31"/>
        <v>Pending</v>
      </c>
      <c r="V233" s="2" t="str">
        <f t="shared" si="32"/>
        <v/>
      </c>
      <c r="W233" s="2">
        <f t="shared" si="33"/>
        <v>209.84</v>
      </c>
      <c r="X23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45378</v>
      </c>
      <c r="Y233" s="2">
        <f t="shared" si="34"/>
        <v>0.2</v>
      </c>
      <c r="Z233" s="2" t="str">
        <f>TRIM(CLEAN(tblOrders[[#This Row],[Notes]]))</f>
        <v>Follow up needed</v>
      </c>
      <c r="AA233" s="2" t="str">
        <f t="shared" si="35"/>
        <v>Review</v>
      </c>
      <c r="AB233" s="2">
        <f>IF(OR(tblOrders[[#This Row],[Quantity_Clean]]="",tblOrders[[#This Row],[UnitPrice_Clean]]=""),0,tblOrders[[#This Row],[Quantity_Clean]]*tblOrders[[#This Row],[UnitPrice_Clean]])</f>
        <v>0</v>
      </c>
      <c r="AC233" s="2" t="str">
        <f>UPPER(TRIM(tblOrders[[#This Row],[OrderID]]))</f>
        <v>ORD-1120</v>
      </c>
      <c r="AD233" s="2">
        <f>VALUE(RIGHT(tblOrders[[#This Row],[OrderID]],4))</f>
        <v>1120</v>
      </c>
      <c r="AE233" s="2" t="str">
        <f>TEXT(tblOrders[[#This Row],[OrderDate_Clean]],"mmm-yyyy")</f>
        <v>Mar-2024</v>
      </c>
      <c r="AF233" s="3">
        <f>EOMONTH(tblOrders[[#This Row],[OrderDate_Clean]],0)</f>
        <v>45382</v>
      </c>
      <c r="AG233" s="2" t="s">
        <v>881</v>
      </c>
      <c r="AH233" s="2">
        <f>IF(tblOrders[[#This Row],[Discount]]="",0,IF(ISNUMBER(tblOrders[[#This Row],[Discount]]),tblOrders[[#This Row],[Discount]],VALUE(SUBSTITUTE(TRIM(tblOrders[[#This Row],[Discount]]),"%",""))/100))</f>
        <v>0.2</v>
      </c>
    </row>
    <row r="234" spans="1:34" x14ac:dyDescent="0.25">
      <c r="A234" s="2" t="s">
        <v>365</v>
      </c>
      <c r="B234" s="2" t="s">
        <v>366</v>
      </c>
      <c r="C234" s="2" t="s">
        <v>367</v>
      </c>
      <c r="D234" s="2" t="s">
        <v>64</v>
      </c>
      <c r="E234" s="2" t="s">
        <v>98</v>
      </c>
      <c r="F234" s="2" t="s">
        <v>106</v>
      </c>
      <c r="G234" s="2" t="s">
        <v>368</v>
      </c>
      <c r="H234" s="2" t="s">
        <v>22</v>
      </c>
      <c r="I234" s="2">
        <v>4</v>
      </c>
      <c r="J234" s="2">
        <v>206.55</v>
      </c>
      <c r="K234" s="2">
        <v>0.1</v>
      </c>
      <c r="L234" s="2" t="s">
        <v>143</v>
      </c>
      <c r="M234" s="2" t="s">
        <v>201</v>
      </c>
      <c r="N234" s="2" t="s">
        <v>111</v>
      </c>
      <c r="O234" s="2" t="s">
        <v>93</v>
      </c>
      <c r="P234" s="2" t="str">
        <f t="shared" si="27"/>
        <v>David Raza</v>
      </c>
      <c r="Q234" s="2" t="str">
        <f>IF(OR(PROPER(TRIM(tblOrders[[#This Row],[Region]]))="Nort",PROPER(TRIM(tblOrders[[#This Row],[Region]]))="Northh"),"North",PROPER(TRIM(tblOrders[[#This Row],[Region]])))</f>
        <v>West</v>
      </c>
      <c r="R234" s="2" t="str">
        <f t="shared" si="28"/>
        <v>Stationery</v>
      </c>
      <c r="S234" s="2" t="str">
        <f t="shared" si="29"/>
        <v>In-Store</v>
      </c>
      <c r="T234" s="2" t="str">
        <f t="shared" si="30"/>
        <v>Credit Card</v>
      </c>
      <c r="U234" s="2" t="str">
        <f t="shared" si="31"/>
        <v>Pending</v>
      </c>
      <c r="V234" s="2">
        <f t="shared" si="32"/>
        <v>4</v>
      </c>
      <c r="W234" s="2">
        <f t="shared" si="33"/>
        <v>206.55</v>
      </c>
      <c r="X23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45325</v>
      </c>
      <c r="Y234" s="2">
        <f t="shared" si="34"/>
        <v>0.1</v>
      </c>
      <c r="Z234" s="2" t="str">
        <f>TRIM(CLEAN(tblOrders[[#This Row],[Notes]]))</f>
        <v>Bulk order - business account</v>
      </c>
      <c r="AA234" s="2" t="str">
        <f t="shared" si="35"/>
        <v>Standard</v>
      </c>
      <c r="AB234" s="2">
        <f>IF(OR(tblOrders[[#This Row],[Quantity_Clean]]="",tblOrders[[#This Row],[UnitPrice_Clean]]=""),0,tblOrders[[#This Row],[Quantity_Clean]]*tblOrders[[#This Row],[UnitPrice_Clean]])</f>
        <v>826.2</v>
      </c>
      <c r="AC234" s="2" t="str">
        <f>UPPER(TRIM(tblOrders[[#This Row],[OrderID]]))</f>
        <v>ORD-1169</v>
      </c>
      <c r="AD234" s="2">
        <f>VALUE(RIGHT(tblOrders[[#This Row],[OrderID]],4))</f>
        <v>1169</v>
      </c>
      <c r="AE234" s="2" t="str">
        <f>TEXT(tblOrders[[#This Row],[OrderDate_Clean]],"mmm-yyyy")</f>
        <v>Feb-2024</v>
      </c>
      <c r="AF234" s="3">
        <f>EOMONTH(tblOrders[[#This Row],[OrderDate_Clean]],0)</f>
        <v>45351</v>
      </c>
      <c r="AG234" s="2" t="s">
        <v>882</v>
      </c>
      <c r="AH234" s="2">
        <f>IF(tblOrders[[#This Row],[Discount]]="",0,IF(ISNUMBER(tblOrders[[#This Row],[Discount]]),tblOrders[[#This Row],[Discount]],VALUE(SUBSTITUTE(TRIM(tblOrders[[#This Row],[Discount]]),"%",""))/100))</f>
        <v>0.1</v>
      </c>
    </row>
    <row r="235" spans="1:34" x14ac:dyDescent="0.25">
      <c r="A235" s="2" t="s">
        <v>320</v>
      </c>
      <c r="B235" s="2" t="s">
        <v>321</v>
      </c>
      <c r="C235" s="2" t="s">
        <v>322</v>
      </c>
      <c r="D235" s="2" t="s">
        <v>55</v>
      </c>
      <c r="E235" s="2" t="s">
        <v>32</v>
      </c>
      <c r="F235" s="2" t="s">
        <v>33</v>
      </c>
      <c r="G235" s="2" t="s">
        <v>323</v>
      </c>
      <c r="H235" s="2" t="s">
        <v>35</v>
      </c>
      <c r="I235" s="2">
        <v>7</v>
      </c>
      <c r="J235" s="2">
        <v>205.2</v>
      </c>
      <c r="K235" s="2">
        <v>0</v>
      </c>
      <c r="L235" s="2" t="s">
        <v>102</v>
      </c>
      <c r="M235" s="2" t="s">
        <v>86</v>
      </c>
      <c r="N235" s="2"/>
      <c r="O235" s="2" t="s">
        <v>126</v>
      </c>
      <c r="P235" s="2" t="str">
        <f t="shared" si="27"/>
        <v>Sarah Johnson</v>
      </c>
      <c r="Q235" s="2" t="str">
        <f>IF(OR(PROPER(TRIM(tblOrders[[#This Row],[Region]]))="Nort",PROPER(TRIM(tblOrders[[#This Row],[Region]]))="Northh"),"North",PROPER(TRIM(tblOrders[[#This Row],[Region]])))</f>
        <v>North</v>
      </c>
      <c r="R235" s="2" t="str">
        <f t="shared" si="28"/>
        <v>Stationery</v>
      </c>
      <c r="S235" s="2" t="str">
        <f t="shared" si="29"/>
        <v>In-Store</v>
      </c>
      <c r="T235" s="2" t="str">
        <f t="shared" si="30"/>
        <v>Cash</v>
      </c>
      <c r="U235" s="2" t="str">
        <f t="shared" si="31"/>
        <v>Completed</v>
      </c>
      <c r="V235" s="2">
        <f t="shared" si="32"/>
        <v>7</v>
      </c>
      <c r="W235" s="2">
        <f t="shared" si="33"/>
        <v>205.2</v>
      </c>
      <c r="X23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45608</v>
      </c>
      <c r="Y235" s="2">
        <f t="shared" si="34"/>
        <v>0</v>
      </c>
      <c r="Z235" s="2" t="str">
        <f>TRIM(CLEAN(tblOrders[[#This Row],[Notes]]))</f>
        <v>Gift wrap requested</v>
      </c>
      <c r="AA235" s="2" t="str">
        <f t="shared" si="35"/>
        <v>High Value</v>
      </c>
      <c r="AB235" s="2">
        <f>IF(OR(tblOrders[[#This Row],[Quantity_Clean]]="",tblOrders[[#This Row],[UnitPrice_Clean]]=""),0,tblOrders[[#This Row],[Quantity_Clean]]*tblOrders[[#This Row],[UnitPrice_Clean]])</f>
        <v>1436.3999999999999</v>
      </c>
      <c r="AC235" s="2" t="str">
        <f>UPPER(TRIM(tblOrders[[#This Row],[OrderID]]))</f>
        <v>ORD-1201</v>
      </c>
      <c r="AD235" s="2">
        <f>VALUE(RIGHT(tblOrders[[#This Row],[OrderID]],4))</f>
        <v>1201</v>
      </c>
      <c r="AE235" s="2" t="str">
        <f>TEXT(tblOrders[[#This Row],[OrderDate_Clean]],"mmm-yyyy")</f>
        <v>Nov-2024</v>
      </c>
      <c r="AF235" s="3">
        <f>EOMONTH(tblOrders[[#This Row],[OrderDate_Clean]],0)</f>
        <v>45626</v>
      </c>
      <c r="AG235" s="2" t="s">
        <v>929</v>
      </c>
      <c r="AH235" s="2">
        <f>IF(tblOrders[[#This Row],[Discount]]="",0,IF(ISNUMBER(tblOrders[[#This Row],[Discount]]),tblOrders[[#This Row],[Discount]],VALUE(SUBSTITUTE(TRIM(tblOrders[[#This Row],[Discount]]),"%",""))/100))</f>
        <v>0</v>
      </c>
    </row>
    <row r="236" spans="1:34" x14ac:dyDescent="0.25">
      <c r="A236" s="2" t="s">
        <v>196</v>
      </c>
      <c r="B236" s="2" t="s">
        <v>197</v>
      </c>
      <c r="C236" s="2" t="s">
        <v>198</v>
      </c>
      <c r="D236" s="2" t="s">
        <v>75</v>
      </c>
      <c r="E236" s="2" t="s">
        <v>199</v>
      </c>
      <c r="F236" s="2" t="s">
        <v>184</v>
      </c>
      <c r="G236" s="2" t="s">
        <v>34</v>
      </c>
      <c r="H236" s="2" t="s">
        <v>200</v>
      </c>
      <c r="I236" s="2">
        <v>8</v>
      </c>
      <c r="J236" s="2">
        <v>200.43</v>
      </c>
      <c r="K236" s="2"/>
      <c r="L236" s="2" t="s">
        <v>79</v>
      </c>
      <c r="M236" s="2" t="s">
        <v>201</v>
      </c>
      <c r="N236" s="2" t="s">
        <v>26</v>
      </c>
      <c r="O236" s="2" t="s">
        <v>112</v>
      </c>
      <c r="P236" s="2" t="str">
        <f t="shared" si="27"/>
        <v>Olivia Lewis</v>
      </c>
      <c r="Q236" s="2" t="str">
        <f>IF(OR(PROPER(TRIM(tblOrders[[#This Row],[Region]]))="Nort",PROPER(TRIM(tblOrders[[#This Row],[Region]]))="Northh"),"North",PROPER(TRIM(tblOrders[[#This Row],[Region]])))</f>
        <v>North</v>
      </c>
      <c r="R236" s="2" t="str">
        <f t="shared" si="28"/>
        <v>Stationery</v>
      </c>
      <c r="S236" s="2" t="str">
        <f t="shared" si="29"/>
        <v>Online</v>
      </c>
      <c r="T236" s="2" t="str">
        <f t="shared" si="30"/>
        <v>Cash</v>
      </c>
      <c r="U236" s="2" t="str">
        <f t="shared" si="31"/>
        <v>Pending</v>
      </c>
      <c r="V236" s="2">
        <f t="shared" si="32"/>
        <v>8</v>
      </c>
      <c r="W236" s="2">
        <f t="shared" si="33"/>
        <v>200.43</v>
      </c>
      <c r="X236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45638</v>
      </c>
      <c r="Y236" s="2">
        <f t="shared" si="34"/>
        <v>0</v>
      </c>
      <c r="Z236" s="2" t="str">
        <f>TRIM(CLEAN(tblOrders[[#This Row],[Notes]]))</f>
        <v>Follow up needed</v>
      </c>
      <c r="AA236" s="2" t="str">
        <f t="shared" si="35"/>
        <v>High Value</v>
      </c>
      <c r="AB236" s="2">
        <f>IF(OR(tblOrders[[#This Row],[Quantity_Clean]]="",tblOrders[[#This Row],[UnitPrice_Clean]]=""),0,tblOrders[[#This Row],[Quantity_Clean]]*tblOrders[[#This Row],[UnitPrice_Clean]])</f>
        <v>1603.44</v>
      </c>
      <c r="AC236" s="2" t="str">
        <f>UPPER(TRIM(tblOrders[[#This Row],[OrderID]]))</f>
        <v>ORD-1165</v>
      </c>
      <c r="AD236" s="2">
        <f>VALUE(RIGHT(tblOrders[[#This Row],[OrderID]],4))</f>
        <v>1165</v>
      </c>
      <c r="AE236" s="2" t="str">
        <f>TEXT(tblOrders[[#This Row],[OrderDate_Clean]],"mmm-yyyy")</f>
        <v>Dec-2024</v>
      </c>
      <c r="AF236" s="3">
        <f>EOMONTH(tblOrders[[#This Row],[OrderDate_Clean]],0)</f>
        <v>45657</v>
      </c>
      <c r="AG236" s="2" t="s">
        <v>930</v>
      </c>
      <c r="AH236" s="2">
        <f>IF(tblOrders[[#This Row],[Discount]]="",0,IF(ISNUMBER(tblOrders[[#This Row],[Discount]]),tblOrders[[#This Row],[Discount]],VALUE(SUBSTITUTE(TRIM(tblOrders[[#This Row],[Discount]]),"%",""))/100))</f>
        <v>0</v>
      </c>
    </row>
    <row r="237" spans="1:34" x14ac:dyDescent="0.25">
      <c r="A237" s="2" t="s">
        <v>392</v>
      </c>
      <c r="B237" s="2" t="s">
        <v>393</v>
      </c>
      <c r="C237" s="2" t="s">
        <v>394</v>
      </c>
      <c r="D237" s="2" t="s">
        <v>44</v>
      </c>
      <c r="E237" s="2" t="s">
        <v>125</v>
      </c>
      <c r="F237" s="2" t="s">
        <v>184</v>
      </c>
      <c r="G237" s="2" t="s">
        <v>47</v>
      </c>
      <c r="H237" s="2" t="s">
        <v>68</v>
      </c>
      <c r="I237" s="2">
        <v>4</v>
      </c>
      <c r="J237" s="2">
        <v>197.79</v>
      </c>
      <c r="K237" s="2">
        <v>0</v>
      </c>
      <c r="L237" s="2" t="s">
        <v>237</v>
      </c>
      <c r="M237" s="2" t="s">
        <v>110</v>
      </c>
      <c r="N237" s="2" t="s">
        <v>50</v>
      </c>
      <c r="O237" s="2"/>
      <c r="P237" s="2" t="str">
        <f t="shared" si="27"/>
        <v>Bilal Brown</v>
      </c>
      <c r="Q237" s="2" t="str">
        <f>IF(OR(PROPER(TRIM(tblOrders[[#This Row],[Region]]))="Nort",PROPER(TRIM(tblOrders[[#This Row],[Region]]))="Northh"),"North",PROPER(TRIM(tblOrders[[#This Row],[Region]])))</f>
        <v>South</v>
      </c>
      <c r="R237" s="2" t="str">
        <f t="shared" si="28"/>
        <v>Stationery</v>
      </c>
      <c r="S237" s="2" t="str">
        <f t="shared" si="29"/>
        <v>Online</v>
      </c>
      <c r="T237" s="2" t="str">
        <f t="shared" si="30"/>
        <v>Bank Transfer</v>
      </c>
      <c r="U237" s="2" t="str">
        <f t="shared" si="31"/>
        <v>Pending</v>
      </c>
      <c r="V237" s="2">
        <f t="shared" si="32"/>
        <v>4</v>
      </c>
      <c r="W237" s="2">
        <f t="shared" si="33"/>
        <v>197.79</v>
      </c>
      <c r="X237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45536</v>
      </c>
      <c r="Y237" s="2">
        <f t="shared" si="34"/>
        <v>0</v>
      </c>
      <c r="Z237" s="2" t="str">
        <f>TRIM(CLEAN(tblOrders[[#This Row],[Notes]]))</f>
        <v/>
      </c>
      <c r="AA237" s="2" t="str">
        <f t="shared" si="35"/>
        <v>Standard</v>
      </c>
      <c r="AB237" s="2">
        <f>IF(OR(tblOrders[[#This Row],[Quantity_Clean]]="",tblOrders[[#This Row],[UnitPrice_Clean]]=""),0,tblOrders[[#This Row],[Quantity_Clean]]*tblOrders[[#This Row],[UnitPrice_Clean]])</f>
        <v>791.16</v>
      </c>
      <c r="AC237" s="2" t="str">
        <f>UPPER(TRIM(tblOrders[[#This Row],[OrderID]]))</f>
        <v>ORD-1026</v>
      </c>
      <c r="AD237" s="2">
        <f>VALUE(RIGHT(tblOrders[[#This Row],[OrderID]],4))</f>
        <v>1026</v>
      </c>
      <c r="AE237" s="2" t="str">
        <f>TEXT(tblOrders[[#This Row],[OrderDate_Clean]],"mmm-yyyy")</f>
        <v>Sep-2024</v>
      </c>
      <c r="AF237" s="3">
        <f>EOMONTH(tblOrders[[#This Row],[OrderDate_Clean]],0)</f>
        <v>45565</v>
      </c>
      <c r="AG237" s="2" t="s">
        <v>924</v>
      </c>
      <c r="AH237" s="2">
        <f>IF(tblOrders[[#This Row],[Discount]]="",0,IF(ISNUMBER(tblOrders[[#This Row],[Discount]]),tblOrders[[#This Row],[Discount]],VALUE(SUBSTITUTE(TRIM(tblOrders[[#This Row],[Discount]]),"%",""))/100))</f>
        <v>0</v>
      </c>
    </row>
    <row r="238" spans="1:34" x14ac:dyDescent="0.25">
      <c r="A238" s="2" t="s">
        <v>741</v>
      </c>
      <c r="B238" s="2" t="s">
        <v>742</v>
      </c>
      <c r="C238" s="2" t="s">
        <v>743</v>
      </c>
      <c r="D238" s="2" t="s">
        <v>334</v>
      </c>
      <c r="E238" s="2" t="s">
        <v>45</v>
      </c>
      <c r="F238" s="2" t="s">
        <v>184</v>
      </c>
      <c r="G238" s="2" t="s">
        <v>323</v>
      </c>
      <c r="H238" s="2" t="s">
        <v>58</v>
      </c>
      <c r="I238" s="2">
        <v>4</v>
      </c>
      <c r="J238" s="2">
        <v>193.02</v>
      </c>
      <c r="K238" s="2">
        <v>0.1</v>
      </c>
      <c r="L238" s="2" t="s">
        <v>260</v>
      </c>
      <c r="M238" s="2" t="s">
        <v>144</v>
      </c>
      <c r="N238" s="2" t="s">
        <v>50</v>
      </c>
      <c r="O238" s="2" t="s">
        <v>87</v>
      </c>
      <c r="P238" s="2" t="str">
        <f t="shared" si="27"/>
        <v>Robert Hussain</v>
      </c>
      <c r="Q238" s="2" t="str">
        <f>IF(OR(PROPER(TRIM(tblOrders[[#This Row],[Region]]))="Nort",PROPER(TRIM(tblOrders[[#This Row],[Region]]))="Northh"),"North",PROPER(TRIM(tblOrders[[#This Row],[Region]])))</f>
        <v>South</v>
      </c>
      <c r="R238" s="2" t="str">
        <f t="shared" si="28"/>
        <v>Stationery</v>
      </c>
      <c r="S238" s="2" t="str">
        <f t="shared" si="29"/>
        <v>Online</v>
      </c>
      <c r="T238" s="2" t="str">
        <f t="shared" si="30"/>
        <v>Credit Card</v>
      </c>
      <c r="U238" s="2" t="str">
        <f t="shared" si="31"/>
        <v>Refunded</v>
      </c>
      <c r="V238" s="2">
        <f t="shared" si="32"/>
        <v>4</v>
      </c>
      <c r="W238" s="2">
        <f t="shared" si="33"/>
        <v>193.02</v>
      </c>
      <c r="X238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45620</v>
      </c>
      <c r="Y238" s="2">
        <f t="shared" si="34"/>
        <v>0.1</v>
      </c>
      <c r="Z238" s="2" t="str">
        <f>TRIM(CLEAN(tblOrders[[#This Row],[Notes]]))</f>
        <v>Damaged on arrival - replaced</v>
      </c>
      <c r="AA238" s="2" t="str">
        <f t="shared" si="35"/>
        <v>Standard</v>
      </c>
      <c r="AB238" s="2">
        <f>IF(OR(tblOrders[[#This Row],[Quantity_Clean]]="",tblOrders[[#This Row],[UnitPrice_Clean]]=""),0,tblOrders[[#This Row],[Quantity_Clean]]*tblOrders[[#This Row],[UnitPrice_Clean]])</f>
        <v>772.08</v>
      </c>
      <c r="AC238" s="2" t="str">
        <f>UPPER(TRIM(tblOrders[[#This Row],[OrderID]]))</f>
        <v>ORD-1112</v>
      </c>
      <c r="AD238" s="2">
        <f>VALUE(RIGHT(tblOrders[[#This Row],[OrderID]],4))</f>
        <v>1112</v>
      </c>
      <c r="AE238" s="2" t="str">
        <f>TEXT(tblOrders[[#This Row],[OrderDate_Clean]],"mmm-yyyy")</f>
        <v>Nov-2024</v>
      </c>
      <c r="AF238" s="3">
        <f>EOMONTH(tblOrders[[#This Row],[OrderDate_Clean]],0)</f>
        <v>45626</v>
      </c>
      <c r="AG238" s="2" t="s">
        <v>888</v>
      </c>
      <c r="AH238" s="2">
        <f>IF(tblOrders[[#This Row],[Discount]]="",0,IF(ISNUMBER(tblOrders[[#This Row],[Discount]]),tblOrders[[#This Row],[Discount]],VALUE(SUBSTITUTE(TRIM(tblOrders[[#This Row],[Discount]]),"%",""))/100))</f>
        <v>0.1</v>
      </c>
    </row>
    <row r="239" spans="1:34" x14ac:dyDescent="0.25">
      <c r="A239" s="2" t="s">
        <v>312</v>
      </c>
      <c r="B239" s="2" t="s">
        <v>313</v>
      </c>
      <c r="C239" s="2" t="s">
        <v>314</v>
      </c>
      <c r="D239" s="2" t="s">
        <v>116</v>
      </c>
      <c r="E239" s="2" t="s">
        <v>19</v>
      </c>
      <c r="F239" s="2" t="s">
        <v>33</v>
      </c>
      <c r="G239" s="2" t="s">
        <v>34</v>
      </c>
      <c r="H239" s="2" t="s">
        <v>68</v>
      </c>
      <c r="I239" s="2">
        <v>7</v>
      </c>
      <c r="J239" s="2">
        <v>182.76</v>
      </c>
      <c r="K239" s="2">
        <v>0.2</v>
      </c>
      <c r="L239" s="2" t="s">
        <v>102</v>
      </c>
      <c r="M239" s="2" t="s">
        <v>170</v>
      </c>
      <c r="N239" s="2" t="s">
        <v>50</v>
      </c>
      <c r="O239" s="2" t="s">
        <v>126</v>
      </c>
      <c r="P239" s="2" t="str">
        <f t="shared" si="27"/>
        <v>Aisha Khan</v>
      </c>
      <c r="Q239" s="2" t="str">
        <f>IF(OR(PROPER(TRIM(tblOrders[[#This Row],[Region]]))="Nort",PROPER(TRIM(tblOrders[[#This Row],[Region]]))="Northh"),"North",PROPER(TRIM(tblOrders[[#This Row],[Region]])))</f>
        <v>East</v>
      </c>
      <c r="R239" s="2" t="str">
        <f t="shared" si="28"/>
        <v>Stationery</v>
      </c>
      <c r="S239" s="2" t="str">
        <f t="shared" si="29"/>
        <v>Online</v>
      </c>
      <c r="T239" s="2" t="str">
        <f t="shared" si="30"/>
        <v>Cash</v>
      </c>
      <c r="U239" s="2" t="str">
        <f t="shared" si="31"/>
        <v>Cancelled</v>
      </c>
      <c r="V239" s="2">
        <f t="shared" si="32"/>
        <v>7</v>
      </c>
      <c r="W239" s="2">
        <f t="shared" si="33"/>
        <v>182.76</v>
      </c>
      <c r="X239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45430</v>
      </c>
      <c r="Y239" s="2">
        <f t="shared" si="34"/>
        <v>0.2</v>
      </c>
      <c r="Z239" s="2" t="str">
        <f>TRIM(CLEAN(tblOrders[[#This Row],[Notes]]))</f>
        <v>Gift wrap requested</v>
      </c>
      <c r="AA239" s="2" t="str">
        <f t="shared" si="35"/>
        <v>High Value</v>
      </c>
      <c r="AB239" s="2">
        <f>IF(OR(tblOrders[[#This Row],[Quantity_Clean]]="",tblOrders[[#This Row],[UnitPrice_Clean]]=""),0,tblOrders[[#This Row],[Quantity_Clean]]*tblOrders[[#This Row],[UnitPrice_Clean]])</f>
        <v>1279.32</v>
      </c>
      <c r="AC239" s="2" t="str">
        <f>UPPER(TRIM(tblOrders[[#This Row],[OrderID]]))</f>
        <v>ORD-1154</v>
      </c>
      <c r="AD239" s="2">
        <f>VALUE(RIGHT(tblOrders[[#This Row],[OrderID]],4))</f>
        <v>1154</v>
      </c>
      <c r="AE239" s="2" t="str">
        <f>TEXT(tblOrders[[#This Row],[OrderDate_Clean]],"mmm-yyyy")</f>
        <v>May-2024</v>
      </c>
      <c r="AF239" s="3">
        <f>EOMONTH(tblOrders[[#This Row],[OrderDate_Clean]],0)</f>
        <v>45443</v>
      </c>
      <c r="AG239" s="2" t="s">
        <v>918</v>
      </c>
      <c r="AH239" s="2">
        <f>IF(tblOrders[[#This Row],[Discount]]="",0,IF(ISNUMBER(tblOrders[[#This Row],[Discount]]),tblOrders[[#This Row],[Discount]],VALUE(SUBSTITUTE(TRIM(tblOrders[[#This Row],[Discount]]),"%",""))/100))</f>
        <v>0.2</v>
      </c>
    </row>
    <row r="240" spans="1:34" x14ac:dyDescent="0.25">
      <c r="A240" s="2" t="s">
        <v>395</v>
      </c>
      <c r="B240" s="2" t="s">
        <v>396</v>
      </c>
      <c r="C240" s="2" t="s">
        <v>397</v>
      </c>
      <c r="D240" s="2" t="s">
        <v>258</v>
      </c>
      <c r="E240" s="2" t="s">
        <v>125</v>
      </c>
      <c r="F240" s="2" t="s">
        <v>33</v>
      </c>
      <c r="G240" s="2" t="s">
        <v>47</v>
      </c>
      <c r="H240" s="2" t="s">
        <v>48</v>
      </c>
      <c r="I240" s="2"/>
      <c r="J240" s="2">
        <v>175.49</v>
      </c>
      <c r="K240" s="2">
        <v>0.2</v>
      </c>
      <c r="L240" s="2" t="s">
        <v>139</v>
      </c>
      <c r="M240" s="2" t="s">
        <v>70</v>
      </c>
      <c r="N240" s="2" t="s">
        <v>50</v>
      </c>
      <c r="O240" s="2" t="s">
        <v>171</v>
      </c>
      <c r="P240" s="2" t="str">
        <f t="shared" si="27"/>
        <v>Laura Raza</v>
      </c>
      <c r="Q240" s="2" t="str">
        <f>IF(OR(PROPER(TRIM(tblOrders[[#This Row],[Region]]))="Nort",PROPER(TRIM(tblOrders[[#This Row],[Region]]))="Northh"),"North",PROPER(TRIM(tblOrders[[#This Row],[Region]])))</f>
        <v>South</v>
      </c>
      <c r="R240" s="2" t="str">
        <f t="shared" si="28"/>
        <v>Stationery</v>
      </c>
      <c r="S240" s="2" t="str">
        <f t="shared" si="29"/>
        <v>In-Store</v>
      </c>
      <c r="T240" s="2" t="str">
        <f t="shared" si="30"/>
        <v>Debit Card</v>
      </c>
      <c r="U240" s="2" t="str">
        <f t="shared" si="31"/>
        <v>Refunded</v>
      </c>
      <c r="V240" s="2" t="str">
        <f t="shared" si="32"/>
        <v/>
      </c>
      <c r="W240" s="2">
        <f t="shared" si="33"/>
        <v>175.49</v>
      </c>
      <c r="X240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45501</v>
      </c>
      <c r="Y240" s="2">
        <f t="shared" si="34"/>
        <v>0.2</v>
      </c>
      <c r="Z240" s="2" t="str">
        <f>TRIM(CLEAN(tblOrders[[#This Row],[Notes]]))</f>
        <v>Leave at front desk</v>
      </c>
      <c r="AA240" s="2" t="str">
        <f t="shared" si="35"/>
        <v>Review</v>
      </c>
      <c r="AB240" s="2">
        <f>IF(OR(tblOrders[[#This Row],[Quantity_Clean]]="",tblOrders[[#This Row],[UnitPrice_Clean]]=""),0,tblOrders[[#This Row],[Quantity_Clean]]*tblOrders[[#This Row],[UnitPrice_Clean]])</f>
        <v>0</v>
      </c>
      <c r="AC240" s="2" t="str">
        <f>UPPER(TRIM(tblOrders[[#This Row],[OrderID]]))</f>
        <v>ORD-1108</v>
      </c>
      <c r="AD240" s="2">
        <f>VALUE(RIGHT(tblOrders[[#This Row],[OrderID]],4))</f>
        <v>1108</v>
      </c>
      <c r="AE240" s="2" t="str">
        <f>TEXT(tblOrders[[#This Row],[OrderDate_Clean]],"mmm-yyyy")</f>
        <v>Jul-2024</v>
      </c>
      <c r="AF240" s="3">
        <f>EOMONTH(tblOrders[[#This Row],[OrderDate_Clean]],0)</f>
        <v>45504</v>
      </c>
      <c r="AG240" s="2" t="s">
        <v>897</v>
      </c>
      <c r="AH240" s="2">
        <f>IF(tblOrders[[#This Row],[Discount]]="",0,IF(ISNUMBER(tblOrders[[#This Row],[Discount]]),tblOrders[[#This Row],[Discount]],VALUE(SUBSTITUTE(TRIM(tblOrders[[#This Row],[Discount]]),"%",""))/100))</f>
        <v>0.2</v>
      </c>
    </row>
    <row r="241" spans="1:34" x14ac:dyDescent="0.25">
      <c r="A241" s="2" t="s">
        <v>383</v>
      </c>
      <c r="B241" s="2" t="s">
        <v>384</v>
      </c>
      <c r="C241" s="2" t="s">
        <v>385</v>
      </c>
      <c r="D241" s="2" t="s">
        <v>188</v>
      </c>
      <c r="E241" s="2" t="s">
        <v>199</v>
      </c>
      <c r="F241" s="2" t="s">
        <v>184</v>
      </c>
      <c r="G241" s="2" t="s">
        <v>47</v>
      </c>
      <c r="H241" s="2" t="s">
        <v>58</v>
      </c>
      <c r="I241" s="2">
        <v>2</v>
      </c>
      <c r="J241" s="2">
        <v>163.71</v>
      </c>
      <c r="K241" s="2"/>
      <c r="L241" s="2" t="s">
        <v>102</v>
      </c>
      <c r="M241" s="2" t="s">
        <v>25</v>
      </c>
      <c r="N241" s="2" t="s">
        <v>26</v>
      </c>
      <c r="O241" s="2" t="s">
        <v>51</v>
      </c>
      <c r="P241" s="2" t="str">
        <f t="shared" si="27"/>
        <v>David Farooq</v>
      </c>
      <c r="Q241" s="2" t="str">
        <f>IF(OR(PROPER(TRIM(tblOrders[[#This Row],[Region]]))="Nort",PROPER(TRIM(tblOrders[[#This Row],[Region]]))="Northh"),"North",PROPER(TRIM(tblOrders[[#This Row],[Region]])))</f>
        <v>North</v>
      </c>
      <c r="R241" s="2" t="str">
        <f t="shared" si="28"/>
        <v>Stationery</v>
      </c>
      <c r="S241" s="2" t="str">
        <f t="shared" si="29"/>
        <v>Online</v>
      </c>
      <c r="T241" s="2" t="str">
        <f t="shared" si="30"/>
        <v>Cash</v>
      </c>
      <c r="U241" s="2" t="str">
        <f t="shared" si="31"/>
        <v>Completed</v>
      </c>
      <c r="V241" s="2">
        <f t="shared" si="32"/>
        <v>2</v>
      </c>
      <c r="W241" s="2">
        <f t="shared" si="33"/>
        <v>163.71</v>
      </c>
      <c r="X241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45621</v>
      </c>
      <c r="Y241" s="2">
        <f t="shared" si="34"/>
        <v>0</v>
      </c>
      <c r="Z241" s="2" t="str">
        <f>TRIM(CLEAN(tblOrders[[#This Row],[Notes]]))</f>
        <v/>
      </c>
      <c r="AA241" s="2" t="str">
        <f t="shared" si="35"/>
        <v>Standard</v>
      </c>
      <c r="AB241" s="2">
        <f>IF(OR(tblOrders[[#This Row],[Quantity_Clean]]="",tblOrders[[#This Row],[UnitPrice_Clean]]=""),0,tblOrders[[#This Row],[Quantity_Clean]]*tblOrders[[#This Row],[UnitPrice_Clean]])</f>
        <v>327.42</v>
      </c>
      <c r="AC241" s="2" t="str">
        <f>UPPER(TRIM(tblOrders[[#This Row],[OrderID]]))</f>
        <v>ORD-1187</v>
      </c>
      <c r="AD241" s="2">
        <f>VALUE(RIGHT(tblOrders[[#This Row],[OrderID]],4))</f>
        <v>1187</v>
      </c>
      <c r="AE241" s="2" t="str">
        <f>TEXT(tblOrders[[#This Row],[OrderDate_Clean]],"mmm-yyyy")</f>
        <v>Nov-2024</v>
      </c>
      <c r="AF241" s="3">
        <f>EOMONTH(tblOrders[[#This Row],[OrderDate_Clean]],0)</f>
        <v>45626</v>
      </c>
      <c r="AG241" s="2" t="s">
        <v>882</v>
      </c>
      <c r="AH241" s="2">
        <f>IF(tblOrders[[#This Row],[Discount]]="",0,IF(ISNUMBER(tblOrders[[#This Row],[Discount]]),tblOrders[[#This Row],[Discount]],VALUE(SUBSTITUTE(TRIM(tblOrders[[#This Row],[Discount]]),"%",""))/100))</f>
        <v>0</v>
      </c>
    </row>
    <row r="242" spans="1:34" x14ac:dyDescent="0.25">
      <c r="A242" s="2" t="s">
        <v>780</v>
      </c>
      <c r="B242" s="2" t="s">
        <v>243</v>
      </c>
      <c r="C242" s="2" t="s">
        <v>781</v>
      </c>
      <c r="D242" s="2" t="s">
        <v>152</v>
      </c>
      <c r="E242" s="2" t="s">
        <v>19</v>
      </c>
      <c r="F242" s="2" t="s">
        <v>184</v>
      </c>
      <c r="G242" s="2" t="s">
        <v>368</v>
      </c>
      <c r="H242" s="2" t="s">
        <v>178</v>
      </c>
      <c r="I242" s="2" t="s">
        <v>782</v>
      </c>
      <c r="J242" s="2">
        <v>65.959999999999994</v>
      </c>
      <c r="K242" s="2">
        <v>0.15</v>
      </c>
      <c r="L242" s="2" t="s">
        <v>139</v>
      </c>
      <c r="M242" s="2" t="s">
        <v>144</v>
      </c>
      <c r="N242" s="2" t="s">
        <v>111</v>
      </c>
      <c r="O242" s="2" t="s">
        <v>27</v>
      </c>
      <c r="P242" s="2" t="str">
        <f t="shared" si="27"/>
        <v>Zara Malik</v>
      </c>
      <c r="Q242" s="2" t="str">
        <f>IF(OR(PROPER(TRIM(tblOrders[[#This Row],[Region]]))="Nort",PROPER(TRIM(tblOrders[[#This Row],[Region]]))="Northh"),"North",PROPER(TRIM(tblOrders[[#This Row],[Region]])))</f>
        <v>East</v>
      </c>
      <c r="R242" s="2" t="str">
        <f t="shared" si="28"/>
        <v>Stationery</v>
      </c>
      <c r="S242" s="2" t="str">
        <f t="shared" si="29"/>
        <v>Online</v>
      </c>
      <c r="T242" s="2" t="str">
        <f t="shared" si="30"/>
        <v>Debit Card</v>
      </c>
      <c r="U242" s="2" t="str">
        <f t="shared" si="31"/>
        <v>Refunded</v>
      </c>
      <c r="V242" s="2">
        <f t="shared" si="32"/>
        <v>2</v>
      </c>
      <c r="W242" s="2">
        <f t="shared" si="33"/>
        <v>65.959999999999994</v>
      </c>
      <c r="X242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45418</v>
      </c>
      <c r="Y242" s="2">
        <f t="shared" si="34"/>
        <v>0.15</v>
      </c>
      <c r="Z242" s="2" t="str">
        <f>TRIM(CLEAN(tblOrders[[#This Row],[Notes]]))</f>
        <v>Customer called twice</v>
      </c>
      <c r="AA242" s="2" t="str">
        <f t="shared" si="35"/>
        <v>Standard</v>
      </c>
      <c r="AB242" s="2">
        <f>IF(OR(tblOrders[[#This Row],[Quantity_Clean]]="",tblOrders[[#This Row],[UnitPrice_Clean]]=""),0,tblOrders[[#This Row],[Quantity_Clean]]*tblOrders[[#This Row],[UnitPrice_Clean]])</f>
        <v>131.91999999999999</v>
      </c>
      <c r="AC242" s="2" t="str">
        <f>UPPER(TRIM(tblOrders[[#This Row],[OrderID]]))</f>
        <v>ORD-1139</v>
      </c>
      <c r="AD242" s="2">
        <f>VALUE(RIGHT(tblOrders[[#This Row],[OrderID]],4))</f>
        <v>1139</v>
      </c>
      <c r="AE242" s="2" t="str">
        <f>TEXT(tblOrders[[#This Row],[OrderDate_Clean]],"mmm-yyyy")</f>
        <v>May-2024</v>
      </c>
      <c r="AF242" s="3">
        <f>EOMONTH(tblOrders[[#This Row],[OrderDate_Clean]],0)</f>
        <v>45443</v>
      </c>
      <c r="AG242" s="2" t="s">
        <v>909</v>
      </c>
      <c r="AH242" s="2">
        <f>IF(tblOrders[[#This Row],[Discount]]="",0,IF(ISNUMBER(tblOrders[[#This Row],[Discount]]),tblOrders[[#This Row],[Discount]],VALUE(SUBSTITUTE(TRIM(tblOrders[[#This Row],[Discount]]),"%",""))/100))</f>
        <v>0.15</v>
      </c>
    </row>
    <row r="243" spans="1:34" x14ac:dyDescent="0.25">
      <c r="A243" s="2" t="s">
        <v>828</v>
      </c>
      <c r="B243" s="2" t="s">
        <v>751</v>
      </c>
      <c r="C243" s="2" t="s">
        <v>829</v>
      </c>
      <c r="D243" s="2" t="s">
        <v>212</v>
      </c>
      <c r="E243" s="2" t="s">
        <v>65</v>
      </c>
      <c r="F243" s="2" t="s">
        <v>33</v>
      </c>
      <c r="G243" s="2" t="s">
        <v>34</v>
      </c>
      <c r="H243" s="2" t="s">
        <v>48</v>
      </c>
      <c r="I243" s="2">
        <v>11</v>
      </c>
      <c r="J243" s="2">
        <v>40.68</v>
      </c>
      <c r="K243" s="2"/>
      <c r="L243" s="2" t="s">
        <v>143</v>
      </c>
      <c r="M243" s="2" t="s">
        <v>38</v>
      </c>
      <c r="N243" s="2" t="s">
        <v>39</v>
      </c>
      <c r="O243" s="2" t="s">
        <v>51</v>
      </c>
      <c r="P243" s="2" t="str">
        <f t="shared" si="27"/>
        <v>Robert Ali</v>
      </c>
      <c r="Q243" s="2" t="str">
        <f>IF(OR(PROPER(TRIM(tblOrders[[#This Row],[Region]]))="Nort",PROPER(TRIM(tblOrders[[#This Row],[Region]]))="Northh"),"North",PROPER(TRIM(tblOrders[[#This Row],[Region]])))</f>
        <v>West</v>
      </c>
      <c r="R243" s="2" t="str">
        <f t="shared" si="28"/>
        <v>Stationery</v>
      </c>
      <c r="S243" s="2" t="str">
        <f t="shared" si="29"/>
        <v>In-Store</v>
      </c>
      <c r="T243" s="2" t="str">
        <f t="shared" si="30"/>
        <v>Credit Card</v>
      </c>
      <c r="U243" s="2" t="str">
        <f t="shared" si="31"/>
        <v>Cancelled</v>
      </c>
      <c r="V243" s="2">
        <f t="shared" si="32"/>
        <v>11</v>
      </c>
      <c r="W243" s="2">
        <f t="shared" si="33"/>
        <v>40.68</v>
      </c>
      <c r="X243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45452</v>
      </c>
      <c r="Y243" s="2">
        <f t="shared" si="34"/>
        <v>0</v>
      </c>
      <c r="Z243" s="2" t="str">
        <f>TRIM(CLEAN(tblOrders[[#This Row],[Notes]]))</f>
        <v/>
      </c>
      <c r="AA243" s="2" t="str">
        <f t="shared" si="35"/>
        <v>Standard</v>
      </c>
      <c r="AB243" s="2">
        <f>IF(OR(tblOrders[[#This Row],[Quantity_Clean]]="",tblOrders[[#This Row],[UnitPrice_Clean]]=""),0,tblOrders[[#This Row],[Quantity_Clean]]*tblOrders[[#This Row],[UnitPrice_Clean]])</f>
        <v>447.48</v>
      </c>
      <c r="AC243" s="2" t="str">
        <f>UPPER(TRIM(tblOrders[[#This Row],[OrderID]]))</f>
        <v>ORD-1064</v>
      </c>
      <c r="AD243" s="2">
        <f>VALUE(RIGHT(tblOrders[[#This Row],[OrderID]],4))</f>
        <v>1064</v>
      </c>
      <c r="AE243" s="2" t="str">
        <f>TEXT(tblOrders[[#This Row],[OrderDate_Clean]],"mmm-yyyy")</f>
        <v>Jun-2024</v>
      </c>
      <c r="AF243" s="3">
        <f>EOMONTH(tblOrders[[#This Row],[OrderDate_Clean]],0)</f>
        <v>45473</v>
      </c>
      <c r="AG243" s="2" t="s">
        <v>888</v>
      </c>
      <c r="AH243" s="2">
        <f>IF(tblOrders[[#This Row],[Discount]]="",0,IF(ISNUMBER(tblOrders[[#This Row],[Discount]]),tblOrders[[#This Row],[Discount]],VALUE(SUBSTITUTE(TRIM(tblOrders[[#This Row],[Discount]]),"%",""))/100))</f>
        <v>0</v>
      </c>
    </row>
    <row r="244" spans="1:34" x14ac:dyDescent="0.25">
      <c r="A244" s="2" t="s">
        <v>378</v>
      </c>
      <c r="B244" s="2" t="s">
        <v>379</v>
      </c>
      <c r="C244" s="2" t="s">
        <v>380</v>
      </c>
      <c r="D244" s="2" t="s">
        <v>152</v>
      </c>
      <c r="E244" s="2" t="s">
        <v>19</v>
      </c>
      <c r="F244" s="2" t="s">
        <v>33</v>
      </c>
      <c r="G244" s="2" t="s">
        <v>34</v>
      </c>
      <c r="H244" s="2" t="s">
        <v>58</v>
      </c>
      <c r="I244" s="2"/>
      <c r="J244" s="2"/>
      <c r="K244" s="2"/>
      <c r="L244" s="2" t="s">
        <v>260</v>
      </c>
      <c r="M244" s="2" t="s">
        <v>144</v>
      </c>
      <c r="N244" s="2" t="s">
        <v>50</v>
      </c>
      <c r="O244" s="2" t="s">
        <v>51</v>
      </c>
      <c r="P244" s="2" t="str">
        <f t="shared" si="27"/>
        <v>Daniel Smith</v>
      </c>
      <c r="Q244" s="2" t="str">
        <f>IF(OR(PROPER(TRIM(tblOrders[[#This Row],[Region]]))="Nort",PROPER(TRIM(tblOrders[[#This Row],[Region]]))="Northh"),"North",PROPER(TRIM(tblOrders[[#This Row],[Region]])))</f>
        <v>East</v>
      </c>
      <c r="R244" s="2" t="str">
        <f t="shared" si="28"/>
        <v>Stationery</v>
      </c>
      <c r="S244" s="2" t="str">
        <f t="shared" si="29"/>
        <v>Online</v>
      </c>
      <c r="T244" s="2" t="str">
        <f t="shared" si="30"/>
        <v>Credit Card</v>
      </c>
      <c r="U244" s="2" t="str">
        <f t="shared" si="31"/>
        <v>Refunded</v>
      </c>
      <c r="V244" s="2" t="str">
        <f t="shared" si="32"/>
        <v/>
      </c>
      <c r="W244" s="2" t="str">
        <f t="shared" si="33"/>
        <v/>
      </c>
      <c r="X244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45472</v>
      </c>
      <c r="Y244" s="2">
        <f t="shared" si="34"/>
        <v>0</v>
      </c>
      <c r="Z244" s="2" t="str">
        <f>TRIM(CLEAN(tblOrders[[#This Row],[Notes]]))</f>
        <v/>
      </c>
      <c r="AA244" s="2" t="str">
        <f t="shared" si="35"/>
        <v>Review</v>
      </c>
      <c r="AB244" s="2">
        <f>IF(OR(tblOrders[[#This Row],[Quantity_Clean]]="",tblOrders[[#This Row],[UnitPrice_Clean]]=""),0,tblOrders[[#This Row],[Quantity_Clean]]*tblOrders[[#This Row],[UnitPrice_Clean]])</f>
        <v>0</v>
      </c>
      <c r="AC244" s="2" t="str">
        <f>UPPER(TRIM(tblOrders[[#This Row],[OrderID]]))</f>
        <v>ORD-1219</v>
      </c>
      <c r="AD244" s="2">
        <f>VALUE(RIGHT(tblOrders[[#This Row],[OrderID]],4))</f>
        <v>1219</v>
      </c>
      <c r="AE244" s="2" t="str">
        <f>TEXT(tblOrders[[#This Row],[OrderDate_Clean]],"mmm-yyyy")</f>
        <v>Jun-2024</v>
      </c>
      <c r="AF244" s="3">
        <f>EOMONTH(tblOrders[[#This Row],[OrderDate_Clean]],0)</f>
        <v>45473</v>
      </c>
      <c r="AG244" s="2" t="s">
        <v>893</v>
      </c>
      <c r="AH244" s="2">
        <f>IF(tblOrders[[#This Row],[Discount]]="",0,IF(ISNUMBER(tblOrders[[#This Row],[Discount]]),tblOrders[[#This Row],[Discount]],VALUE(SUBSTITUTE(TRIM(tblOrders[[#This Row],[Discount]]),"%",""))/100))</f>
        <v>0</v>
      </c>
    </row>
    <row r="245" spans="1:34" x14ac:dyDescent="0.25">
      <c r="A245" s="2" t="s">
        <v>401</v>
      </c>
      <c r="B245" s="2" t="s">
        <v>402</v>
      </c>
      <c r="C245" s="2" t="s">
        <v>403</v>
      </c>
      <c r="D245" s="2" t="s">
        <v>212</v>
      </c>
      <c r="E245" s="2"/>
      <c r="F245" s="2" t="s">
        <v>33</v>
      </c>
      <c r="G245" s="2" t="s">
        <v>323</v>
      </c>
      <c r="H245" s="2" t="s">
        <v>68</v>
      </c>
      <c r="I245" s="2">
        <v>6</v>
      </c>
      <c r="J245" s="2"/>
      <c r="K245" s="2"/>
      <c r="L245" s="2" t="s">
        <v>37</v>
      </c>
      <c r="M245" s="2" t="s">
        <v>25</v>
      </c>
      <c r="N245" s="2" t="s">
        <v>111</v>
      </c>
      <c r="O245" s="2" t="s">
        <v>171</v>
      </c>
      <c r="P245" s="2" t="str">
        <f t="shared" si="27"/>
        <v>Tom Hussain</v>
      </c>
      <c r="Q245" s="2" t="str">
        <f>IF(OR(PROPER(TRIM(tblOrders[[#This Row],[Region]]))="Nort",PROPER(TRIM(tblOrders[[#This Row],[Region]]))="Northh"),"North",PROPER(TRIM(tblOrders[[#This Row],[Region]])))</f>
        <v>West</v>
      </c>
      <c r="R245" s="2" t="str">
        <f t="shared" si="28"/>
        <v>Stationery</v>
      </c>
      <c r="S245" s="2" t="str">
        <f t="shared" si="29"/>
        <v>Online</v>
      </c>
      <c r="T245" s="2" t="str">
        <f t="shared" si="30"/>
        <v>Bank Transfer</v>
      </c>
      <c r="U245" s="2" t="str">
        <f t="shared" si="31"/>
        <v>Completed</v>
      </c>
      <c r="V245" s="2">
        <f t="shared" si="32"/>
        <v>6</v>
      </c>
      <c r="W245" s="2" t="str">
        <f t="shared" si="33"/>
        <v/>
      </c>
      <c r="X245" s="3">
        <f>IFERROR(IF(ISNUMBER(tblOrders[[#This Row],[OrderDate]]),tblOrders[[#This Row],[OrderDate]],IFERROR(DATEVALUE(tblOrders[[#This Row],[OrderDate]]),DATE(IF(LEN(TRIM(tblOrders[[#This Row],[OrderDate]]))=8,2000+VALUE(RIGHT(TRIM(tblOrders[[#This Row],[OrderDate]]),2)),VALUE(RIGHT(TRIM(tblOrders[[#This Row],[OrderDate]]),4))),VALUE(MID(TRIM(tblOrders[[#This Row],[OrderDate]]),4,2)),VALUE(LEFT(TRIM(tblOrders[[#This Row],[OrderDate]]),2))))),"CHECK MANUALLY")</f>
        <v>45647</v>
      </c>
      <c r="Y245" s="2">
        <f t="shared" si="34"/>
        <v>0</v>
      </c>
      <c r="Z245" s="2" t="str">
        <f>TRIM(CLEAN(tblOrders[[#This Row],[Notes]]))</f>
        <v>Leave at front desk</v>
      </c>
      <c r="AA245" s="2" t="str">
        <f t="shared" si="35"/>
        <v>Review</v>
      </c>
      <c r="AB245" s="2">
        <f>IF(OR(tblOrders[[#This Row],[Quantity_Clean]]="",tblOrders[[#This Row],[UnitPrice_Clean]]=""),0,tblOrders[[#This Row],[Quantity_Clean]]*tblOrders[[#This Row],[UnitPrice_Clean]])</f>
        <v>0</v>
      </c>
      <c r="AC245" s="2" t="str">
        <f>UPPER(TRIM(tblOrders[[#This Row],[OrderID]]))</f>
        <v>ORD-1178</v>
      </c>
      <c r="AD245" s="2">
        <f>VALUE(RIGHT(tblOrders[[#This Row],[OrderID]],4))</f>
        <v>1178</v>
      </c>
      <c r="AE245" s="2" t="str">
        <f>TEXT(tblOrders[[#This Row],[OrderDate_Clean]],"mmm-yyyy")</f>
        <v>Dec-2024</v>
      </c>
      <c r="AF245" s="3">
        <f>EOMONTH(tblOrders[[#This Row],[OrderDate_Clean]],0)</f>
        <v>45657</v>
      </c>
      <c r="AG245" s="2" t="s">
        <v>950</v>
      </c>
      <c r="AH245" s="2">
        <f>IF(tblOrders[[#This Row],[Discount]]="",0,IF(ISNUMBER(tblOrders[[#This Row],[Discount]]),tblOrders[[#This Row],[Discount]],VALUE(SUBSTITUTE(TRIM(tblOrders[[#This Row],[Discount]]),"%",""))/100))</f>
        <v>0</v>
      </c>
    </row>
  </sheetData>
  <phoneticPr fontId="4" type="noConversion"/>
  <conditionalFormatting sqref="A2:A245">
    <cfRule type="duplicateValues" dxfId="0" priority="4"/>
  </conditionalFormatting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C686-E261-4D74-8B1B-23AFC75B7D13}">
  <dimension ref="A1:B7"/>
  <sheetViews>
    <sheetView workbookViewId="0">
      <selection activeCell="K13" sqref="K13"/>
    </sheetView>
  </sheetViews>
  <sheetFormatPr defaultRowHeight="15" x14ac:dyDescent="0.25"/>
  <cols>
    <col min="1" max="1" width="15.42578125" customWidth="1"/>
  </cols>
  <sheetData>
    <row r="1" spans="1:2" x14ac:dyDescent="0.25">
      <c r="A1">
        <f>COUNTA(tblOrders[OrderID])</f>
        <v>244</v>
      </c>
    </row>
    <row r="2" spans="1:2" x14ac:dyDescent="0.25">
      <c r="A2" t="s">
        <v>855</v>
      </c>
      <c r="B2">
        <f>COUNTBLANK(tblOrders[Quantity])</f>
        <v>20</v>
      </c>
    </row>
    <row r="3" spans="1:2" x14ac:dyDescent="0.25">
      <c r="A3" t="s">
        <v>856</v>
      </c>
      <c r="B3">
        <f>COUNTBLANK(tblOrders[UnitPrice])</f>
        <v>8</v>
      </c>
    </row>
    <row r="4" spans="1:2" x14ac:dyDescent="0.25">
      <c r="A4" t="s">
        <v>857</v>
      </c>
      <c r="B4">
        <f>COUNTBLANK(tblOrders[Discount])</f>
        <v>78</v>
      </c>
    </row>
    <row r="5" spans="1:2" x14ac:dyDescent="0.25">
      <c r="A5" t="s">
        <v>858</v>
      </c>
      <c r="B5">
        <f>COUNTBLANK(tblOrders[City])</f>
        <v>12</v>
      </c>
    </row>
    <row r="6" spans="1:2" x14ac:dyDescent="0.25">
      <c r="A6" t="s">
        <v>859</v>
      </c>
      <c r="B6">
        <f>COUNTBLANK(tblOrders[SalesRep])</f>
        <v>42</v>
      </c>
    </row>
    <row r="7" spans="1:2" x14ac:dyDescent="0.25">
      <c r="A7" t="s">
        <v>860</v>
      </c>
      <c r="B7">
        <f>COUNTBLANK(tblOrders[Notes])</f>
        <v>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2961B-AE97-46CD-B421-12E98ECF56EA}">
  <dimension ref="A1:AO279"/>
  <sheetViews>
    <sheetView topLeftCell="V140" workbookViewId="0">
      <selection activeCell="AI149" sqref="AI149"/>
    </sheetView>
  </sheetViews>
  <sheetFormatPr defaultRowHeight="15" x14ac:dyDescent="0.25"/>
  <cols>
    <col min="1" max="1" width="23.5703125" customWidth="1"/>
    <col min="2" max="2" width="16" customWidth="1"/>
    <col min="3" max="3" width="16.140625" customWidth="1"/>
    <col min="4" max="4" width="12" customWidth="1"/>
    <col min="6" max="6" width="16.7109375" customWidth="1"/>
    <col min="9" max="9" width="14.5703125" customWidth="1"/>
  </cols>
  <sheetData>
    <row r="1" spans="1:39" ht="15.75" customHeight="1" x14ac:dyDescent="0.25">
      <c r="A1" s="8" t="s">
        <v>6</v>
      </c>
      <c r="B1" s="8" t="s">
        <v>871</v>
      </c>
      <c r="D1" t="s">
        <v>107</v>
      </c>
    </row>
    <row r="2" spans="1:39" x14ac:dyDescent="0.25">
      <c r="A2" s="7" t="s">
        <v>84</v>
      </c>
      <c r="B2" s="6">
        <v>45</v>
      </c>
      <c r="D2" cm="1">
        <f t="array" ref="D2">_xlfn.XLOOKUP(D1,tblPriceList[[#All],[Product]],tblPriceList[[#All],[Standard Price]], "not found")</f>
        <v>12</v>
      </c>
      <c r="F2" t="s">
        <v>268</v>
      </c>
      <c r="G2">
        <f>VLOOKUP(F2,tblPriceList[],2,FALSE)</f>
        <v>32</v>
      </c>
    </row>
    <row r="3" spans="1:39" x14ac:dyDescent="0.25">
      <c r="A3" s="7" t="s">
        <v>330</v>
      </c>
      <c r="B3" s="6">
        <v>220</v>
      </c>
      <c r="D3">
        <f>VLOOKUP(D1,tblPriceList[#All],2,FALSE)</f>
        <v>12</v>
      </c>
      <c r="F3" t="s">
        <v>213</v>
      </c>
      <c r="G3">
        <f>VLOOKUP(F3,tblPriceList[],2,FALSE)</f>
        <v>18</v>
      </c>
    </row>
    <row r="4" spans="1:39" x14ac:dyDescent="0.25">
      <c r="A4" s="7" t="s">
        <v>213</v>
      </c>
      <c r="B4" s="6">
        <v>18</v>
      </c>
      <c r="D4">
        <f>IFERROR(VLOOKUP(D1,tblPriceList[],2,FALSE), "product not in the price list")</f>
        <v>12</v>
      </c>
      <c r="F4" t="s">
        <v>330</v>
      </c>
      <c r="G4">
        <f>VLOOKUP(F4,tblPriceList[],2,FALSE)</f>
        <v>220</v>
      </c>
    </row>
    <row r="5" spans="1:39" x14ac:dyDescent="0.25">
      <c r="A5" s="7" t="s">
        <v>268</v>
      </c>
      <c r="B5" s="6">
        <v>32</v>
      </c>
    </row>
    <row r="6" spans="1:39" ht="14.25" customHeight="1" x14ac:dyDescent="0.25">
      <c r="A6" s="7" t="s">
        <v>107</v>
      </c>
      <c r="B6" s="6">
        <v>12</v>
      </c>
    </row>
    <row r="8" spans="1:39" x14ac:dyDescent="0.25">
      <c r="H8">
        <f>COUNTIF(Orders_Raw!U2:U245,"Cancelled")</f>
        <v>64</v>
      </c>
    </row>
    <row r="9" spans="1:39" x14ac:dyDescent="0.25">
      <c r="A9">
        <f>VLOOKUP(A3,tblPriceList[],2,FALSE)</f>
        <v>220</v>
      </c>
    </row>
    <row r="10" spans="1:39" x14ac:dyDescent="0.25">
      <c r="A10" t="e">
        <f>VLOOKUP("Office Chai",A2:B6,2,FALSE)</f>
        <v>#N/A</v>
      </c>
      <c r="B10">
        <f>SUMIFS(Orders_Raw!AB2:AB245,Orders_Raw!Q2:Q245,"North",Orders_Raw!U2:U245,"Completed")</f>
        <v>24267.350000000002</v>
      </c>
      <c r="D10">
        <f>COUNTIFS(Orders_Raw!S2:S245,"Online",Orders_Raw!AA2:AA245,"High Value")</f>
        <v>53</v>
      </c>
      <c r="F10" cm="1">
        <f t="array" ref="F10:F15">_xlfn.UNIQUE(Orders_Raw!N2:N245)</f>
        <v>0</v>
      </c>
      <c r="H10" t="str" cm="1">
        <f t="array" ref="H10:AM73">_xlfn._xlws.FILTER(Orders_Raw!A2:AF245,Orders_Raw!U2:U245="Cancelled","No cancelled orders")</f>
        <v>ORD-1109</v>
      </c>
      <c r="I10" t="str">
        <v>10/02/2024</v>
      </c>
      <c r="J10" t="str">
        <v xml:space="preserve"> Chen Malik</v>
      </c>
      <c r="K10" t="str">
        <v>west</v>
      </c>
      <c r="L10" t="str">
        <v>Quetta</v>
      </c>
      <c r="M10" t="str">
        <v xml:space="preserve"> Furniture</v>
      </c>
      <c r="N10" t="str">
        <v>Office Chair</v>
      </c>
      <c r="O10" t="str">
        <v xml:space="preserve">In-store </v>
      </c>
      <c r="P10">
        <v>7</v>
      </c>
      <c r="Q10" t="str">
        <v>$280.86</v>
      </c>
      <c r="R10">
        <v>0</v>
      </c>
      <c r="S10" t="str">
        <v xml:space="preserve">Credit card </v>
      </c>
      <c r="T10" t="str">
        <v>cancelled</v>
      </c>
      <c r="U10">
        <v>0</v>
      </c>
      <c r="V10">
        <v>0</v>
      </c>
      <c r="W10" t="str">
        <v>Chen Malik</v>
      </c>
      <c r="X10" t="str">
        <v>West</v>
      </c>
      <c r="Y10" t="str">
        <v>Furniture</v>
      </c>
      <c r="Z10" t="str">
        <v>In-Store</v>
      </c>
      <c r="AA10" t="str">
        <v>Credit Card</v>
      </c>
      <c r="AB10" t="str">
        <v>Cancelled</v>
      </c>
      <c r="AC10">
        <v>7</v>
      </c>
      <c r="AD10">
        <v>280.86</v>
      </c>
      <c r="AE10">
        <v>45567</v>
      </c>
      <c r="AF10">
        <v>0</v>
      </c>
      <c r="AG10" t="str">
        <v/>
      </c>
      <c r="AH10" t="str">
        <v>High Value</v>
      </c>
      <c r="AI10">
        <v>1966.02</v>
      </c>
      <c r="AJ10" t="str">
        <v>ORD-1109</v>
      </c>
      <c r="AK10">
        <v>1109</v>
      </c>
      <c r="AL10" t="str">
        <v>Oct-2024</v>
      </c>
      <c r="AM10">
        <v>45596</v>
      </c>
    </row>
    <row r="11" spans="1:39" x14ac:dyDescent="0.25">
      <c r="A11" t="str">
        <f>VLOOKUP(A3,tblPriceList[],1,FALSE)</f>
        <v>Office Chair</v>
      </c>
      <c r="B11">
        <f>COUNTIFS(Orders_Raw!Q2:Q245,"North",Orders_Raw!U2:U245,"Completed")</f>
        <v>18</v>
      </c>
      <c r="F11" t="str">
        <v>C. Osei</v>
      </c>
      <c r="H11" t="str">
        <v>ORD-1212</v>
      </c>
      <c r="I11" t="str">
        <v>03/28/2024</v>
      </c>
      <c r="J11" t="str">
        <v>David Clark</v>
      </c>
      <c r="K11" t="str">
        <v>South</v>
      </c>
      <c r="L11" t="str">
        <v>Karachi</v>
      </c>
      <c r="M11" t="str">
        <v xml:space="preserve"> Furniture</v>
      </c>
      <c r="N11" t="str">
        <v>Sofa Set</v>
      </c>
      <c r="O11" t="str">
        <v>Online</v>
      </c>
      <c r="P11">
        <v>12</v>
      </c>
      <c r="Q11">
        <v>411.55</v>
      </c>
      <c r="R11">
        <v>0</v>
      </c>
      <c r="S11" t="str">
        <v>cash</v>
      </c>
      <c r="T11" t="str">
        <v>CANCELLED</v>
      </c>
      <c r="U11" t="str">
        <v>D. Iqbal</v>
      </c>
      <c r="V11" t="str">
        <v xml:space="preserve">  </v>
      </c>
      <c r="W11" t="str">
        <v>David Clark</v>
      </c>
      <c r="X11" t="str">
        <v>South</v>
      </c>
      <c r="Y11" t="str">
        <v>Furniture</v>
      </c>
      <c r="Z11" t="str">
        <v>Online</v>
      </c>
      <c r="AA11" t="str">
        <v>Cash</v>
      </c>
      <c r="AB11" t="str">
        <v>Cancelled</v>
      </c>
      <c r="AC11">
        <v>12</v>
      </c>
      <c r="AD11">
        <v>411.55</v>
      </c>
      <c r="AE11">
        <v>45379</v>
      </c>
      <c r="AF11">
        <v>0</v>
      </c>
      <c r="AG11" t="str">
        <v/>
      </c>
      <c r="AH11" t="str">
        <v>High Value</v>
      </c>
      <c r="AI11">
        <v>4938.6000000000004</v>
      </c>
      <c r="AJ11" t="str">
        <v>ORD-1212</v>
      </c>
      <c r="AK11">
        <v>1212</v>
      </c>
      <c r="AL11" t="str">
        <v>Mar-2024</v>
      </c>
      <c r="AM11">
        <v>45382</v>
      </c>
    </row>
    <row r="12" spans="1:39" x14ac:dyDescent="0.25">
      <c r="A12" t="e">
        <f>VLOOKUP("Office Chair",A2:B6,3,FALSE)</f>
        <v>#REF!</v>
      </c>
      <c r="F12" t="str">
        <v>B. Fernandes</v>
      </c>
      <c r="H12" t="str">
        <v>ORD-1095</v>
      </c>
      <c r="I12" t="str">
        <v>06-May-24</v>
      </c>
      <c r="J12" t="str">
        <v xml:space="preserve"> Kevin Garcia</v>
      </c>
      <c r="K12" t="str">
        <v xml:space="preserve"> East</v>
      </c>
      <c r="L12" t="str">
        <v>Sialkot</v>
      </c>
      <c r="M12" t="str">
        <v xml:space="preserve"> Furniture</v>
      </c>
      <c r="N12" t="str">
        <v>Sofa Set</v>
      </c>
      <c r="O12" t="str">
        <v>in-store</v>
      </c>
      <c r="P12">
        <v>9</v>
      </c>
      <c r="Q12">
        <v>387.13</v>
      </c>
      <c r="R12" t="str">
        <v>10%</v>
      </c>
      <c r="S12" t="str">
        <v>cash</v>
      </c>
      <c r="T12" t="str">
        <v>CANCELLED</v>
      </c>
      <c r="U12" t="str">
        <v>B. Fernandes</v>
      </c>
      <c r="V12" t="str">
        <v>Bulk order - business account</v>
      </c>
      <c r="W12" t="str">
        <v>Kevin Garcia</v>
      </c>
      <c r="X12" t="str">
        <v>East</v>
      </c>
      <c r="Y12" t="str">
        <v>Furniture</v>
      </c>
      <c r="Z12" t="str">
        <v>In-Store</v>
      </c>
      <c r="AA12" t="str">
        <v>Cash</v>
      </c>
      <c r="AB12" t="str">
        <v>Cancelled</v>
      </c>
      <c r="AC12">
        <v>9</v>
      </c>
      <c r="AD12">
        <v>387.13</v>
      </c>
      <c r="AE12">
        <v>45418</v>
      </c>
      <c r="AF12" t="str">
        <v>10%</v>
      </c>
      <c r="AG12" t="str">
        <v>Bulk order - business account</v>
      </c>
      <c r="AH12" t="str">
        <v>High Value</v>
      </c>
      <c r="AI12">
        <v>3484.17</v>
      </c>
      <c r="AJ12" t="str">
        <v>ORD-1095</v>
      </c>
      <c r="AK12">
        <v>1095</v>
      </c>
      <c r="AL12" t="str">
        <v>May-2024</v>
      </c>
      <c r="AM12">
        <v>45443</v>
      </c>
    </row>
    <row r="13" spans="1:39" x14ac:dyDescent="0.25">
      <c r="F13" t="str">
        <v>D. Iqbal</v>
      </c>
      <c r="H13" t="str">
        <v>ORD-1080</v>
      </c>
      <c r="I13" t="str">
        <v>2024-02-22</v>
      </c>
      <c r="J13" t="str">
        <v>EMILY SHEIKH</v>
      </c>
      <c r="K13" t="str">
        <v xml:space="preserve">West </v>
      </c>
      <c r="L13" t="str">
        <v>Peshawar</v>
      </c>
      <c r="M13" t="str">
        <v xml:space="preserve"> Furniture</v>
      </c>
      <c r="N13" t="str">
        <v>Filing Cabinet</v>
      </c>
      <c r="O13" t="str">
        <v>in-store</v>
      </c>
      <c r="P13">
        <v>9</v>
      </c>
      <c r="Q13">
        <v>45.89</v>
      </c>
      <c r="R13">
        <v>0.05</v>
      </c>
      <c r="S13" t="str">
        <v>Cash</v>
      </c>
      <c r="T13" t="str">
        <v>Cancelled</v>
      </c>
      <c r="U13" t="str">
        <v>C. Osei</v>
      </c>
      <c r="V13">
        <v>0</v>
      </c>
      <c r="W13" t="str">
        <v>Emily Sheikh</v>
      </c>
      <c r="X13" t="str">
        <v>West</v>
      </c>
      <c r="Y13" t="str">
        <v>Furniture</v>
      </c>
      <c r="Z13" t="str">
        <v>In-Store</v>
      </c>
      <c r="AA13" t="str">
        <v>Cash</v>
      </c>
      <c r="AB13" t="str">
        <v>Cancelled</v>
      </c>
      <c r="AC13">
        <v>9</v>
      </c>
      <c r="AD13">
        <v>45.89</v>
      </c>
      <c r="AE13">
        <v>45344</v>
      </c>
      <c r="AF13">
        <v>0.05</v>
      </c>
      <c r="AG13" t="str">
        <v/>
      </c>
      <c r="AH13" t="str">
        <v>Standard</v>
      </c>
      <c r="AI13">
        <v>413.01</v>
      </c>
      <c r="AJ13" t="str">
        <v>ORD-1080</v>
      </c>
      <c r="AK13">
        <v>1080</v>
      </c>
      <c r="AL13" t="str">
        <v>Feb-2024</v>
      </c>
      <c r="AM13">
        <v>45351</v>
      </c>
    </row>
    <row r="14" spans="1:39" x14ac:dyDescent="0.25">
      <c r="F14" t="str">
        <v>A. Malik</v>
      </c>
      <c r="H14" t="str">
        <v>ORD-1084</v>
      </c>
      <c r="I14" t="str">
        <v>July 03, 2024</v>
      </c>
      <c r="J14" t="str">
        <v>Sofia Lee</v>
      </c>
      <c r="K14" t="str">
        <v>EAST</v>
      </c>
      <c r="L14" t="str">
        <v>Multan</v>
      </c>
      <c r="M14" t="str">
        <v>Cloth ing</v>
      </c>
      <c r="N14" t="str">
        <v>Denim Jacket</v>
      </c>
      <c r="O14" t="str">
        <v>ONLINE</v>
      </c>
      <c r="P14">
        <v>6</v>
      </c>
      <c r="Q14" t="str">
        <v xml:space="preserve"> 65.07 </v>
      </c>
      <c r="R14">
        <v>0</v>
      </c>
      <c r="S14" t="str">
        <v>bank transfer</v>
      </c>
      <c r="T14" t="str">
        <v>CANCELLED</v>
      </c>
      <c r="U14" t="str">
        <v>A. Malik</v>
      </c>
      <c r="V14">
        <v>0</v>
      </c>
      <c r="W14" t="str">
        <v>Sofia Lee</v>
      </c>
      <c r="X14" t="str">
        <v>East</v>
      </c>
      <c r="Y14" t="str">
        <v>Clothing</v>
      </c>
      <c r="Z14" t="str">
        <v>Online</v>
      </c>
      <c r="AA14" t="str">
        <v>Bank Transfer</v>
      </c>
      <c r="AB14" t="str">
        <v>Cancelled</v>
      </c>
      <c r="AC14">
        <v>6</v>
      </c>
      <c r="AD14">
        <v>65.069999999999993</v>
      </c>
      <c r="AE14">
        <v>45476</v>
      </c>
      <c r="AF14">
        <v>0</v>
      </c>
      <c r="AG14" t="str">
        <v/>
      </c>
      <c r="AH14" t="str">
        <v>Standard</v>
      </c>
      <c r="AI14">
        <v>390.41999999999996</v>
      </c>
      <c r="AJ14" t="str">
        <v>ORD-1084</v>
      </c>
      <c r="AK14">
        <v>1084</v>
      </c>
      <c r="AL14" t="str">
        <v>Jul-2024</v>
      </c>
      <c r="AM14">
        <v>45504</v>
      </c>
    </row>
    <row r="15" spans="1:39" x14ac:dyDescent="0.25">
      <c r="F15" t="str">
        <v>E. Tanaka</v>
      </c>
      <c r="H15" t="str">
        <v>ORD-1179</v>
      </c>
      <c r="I15" t="str">
        <v>25/03/2024</v>
      </c>
      <c r="J15" t="str">
        <v>DAVID ALI</v>
      </c>
      <c r="K15" t="str">
        <v>east</v>
      </c>
      <c r="L15" t="str">
        <v>Multan</v>
      </c>
      <c r="M15" t="str">
        <v>Cloth ing</v>
      </c>
      <c r="N15" t="str">
        <v>Running Shoes</v>
      </c>
      <c r="O15" t="str">
        <v xml:space="preserve">In-store </v>
      </c>
      <c r="P15">
        <v>10</v>
      </c>
      <c r="Q15">
        <v>219.66</v>
      </c>
      <c r="R15">
        <v>0</v>
      </c>
      <c r="S15" t="str">
        <v>Debit card</v>
      </c>
      <c r="T15" t="str">
        <v>cancelled</v>
      </c>
      <c r="U15" t="str">
        <v>B. Fernandes</v>
      </c>
      <c r="V15" t="str">
        <v>Gift wrap requested</v>
      </c>
      <c r="W15" t="str">
        <v>David Ali</v>
      </c>
      <c r="X15" t="str">
        <v>East</v>
      </c>
      <c r="Y15" t="str">
        <v>Clothing</v>
      </c>
      <c r="Z15" t="str">
        <v>In-Store</v>
      </c>
      <c r="AA15" t="str">
        <v>Debit Card</v>
      </c>
      <c r="AB15" t="str">
        <v>Cancelled</v>
      </c>
      <c r="AC15">
        <v>10</v>
      </c>
      <c r="AD15">
        <v>219.66</v>
      </c>
      <c r="AE15">
        <v>45376</v>
      </c>
      <c r="AF15">
        <v>0</v>
      </c>
      <c r="AG15" t="str">
        <v>Gift wrap requested</v>
      </c>
      <c r="AH15" t="str">
        <v>High Value</v>
      </c>
      <c r="AI15">
        <v>2196.6</v>
      </c>
      <c r="AJ15" t="str">
        <v>ORD-1179</v>
      </c>
      <c r="AK15">
        <v>1179</v>
      </c>
      <c r="AL15" t="str">
        <v>Mar-2024</v>
      </c>
      <c r="AM15">
        <v>45382</v>
      </c>
    </row>
    <row r="16" spans="1:39" x14ac:dyDescent="0.25">
      <c r="H16" t="str">
        <v>ORD-1157</v>
      </c>
      <c r="I16" t="str">
        <v>05/12/2024</v>
      </c>
      <c r="J16" t="str">
        <v>Robert  Qureshi</v>
      </c>
      <c r="K16" t="str">
        <v>SOUTH</v>
      </c>
      <c r="L16" t="str">
        <v>Karachi</v>
      </c>
      <c r="M16" t="str">
        <v>Clothing</v>
      </c>
      <c r="N16" t="str">
        <v>Cotton T-Shirt</v>
      </c>
      <c r="O16" t="str">
        <v>ONLINE</v>
      </c>
      <c r="P16">
        <v>10</v>
      </c>
      <c r="Q16" t="str">
        <v>$75.12</v>
      </c>
      <c r="R16">
        <v>0.1</v>
      </c>
      <c r="S16" t="str">
        <v>credit card</v>
      </c>
      <c r="T16" t="str">
        <v>cancelled</v>
      </c>
      <c r="U16">
        <v>0</v>
      </c>
      <c r="V16" t="str">
        <v xml:space="preserve">  Customer called twice </v>
      </c>
      <c r="W16" t="str">
        <v>Robert Qureshi</v>
      </c>
      <c r="X16" t="str">
        <v>South</v>
      </c>
      <c r="Y16" t="str">
        <v>Clothing</v>
      </c>
      <c r="Z16" t="str">
        <v>Online</v>
      </c>
      <c r="AA16" t="str">
        <v>Credit Card</v>
      </c>
      <c r="AB16" t="str">
        <v>Cancelled</v>
      </c>
      <c r="AC16">
        <v>10</v>
      </c>
      <c r="AD16">
        <v>75.12</v>
      </c>
      <c r="AE16">
        <v>45424</v>
      </c>
      <c r="AF16">
        <v>0.1</v>
      </c>
      <c r="AG16" t="str">
        <v>Customer called twice</v>
      </c>
      <c r="AH16" t="str">
        <v>Standard</v>
      </c>
      <c r="AI16">
        <v>751.2</v>
      </c>
      <c r="AJ16" t="str">
        <v>ORD-1157</v>
      </c>
      <c r="AK16">
        <v>1157</v>
      </c>
      <c r="AL16" t="str">
        <v>May-2024</v>
      </c>
      <c r="AM16">
        <v>45443</v>
      </c>
    </row>
    <row r="17" spans="1:39" x14ac:dyDescent="0.25">
      <c r="H17" t="str">
        <v>ORD-1093</v>
      </c>
      <c r="I17" t="str">
        <v>December 01, 2024</v>
      </c>
      <c r="J17" t="str">
        <v xml:space="preserve">Chen Qureshi </v>
      </c>
      <c r="K17" t="str">
        <v>EAST</v>
      </c>
      <c r="L17" t="str">
        <v>Sialkot</v>
      </c>
      <c r="M17" t="str">
        <v>CLOTHING</v>
      </c>
      <c r="N17" t="str">
        <v>Cotton T-Shirt</v>
      </c>
      <c r="O17" t="str">
        <v>in-store</v>
      </c>
      <c r="P17">
        <v>6</v>
      </c>
      <c r="Q17">
        <v>490.05</v>
      </c>
      <c r="R17">
        <v>0</v>
      </c>
      <c r="S17" t="str">
        <v>cash</v>
      </c>
      <c r="T17" t="str">
        <v>CANCELLED</v>
      </c>
      <c r="U17" t="str">
        <v>C. Osei</v>
      </c>
      <c r="V17" t="str">
        <v>VIP customer</v>
      </c>
      <c r="W17" t="str">
        <v>Chen Qureshi</v>
      </c>
      <c r="X17" t="str">
        <v>East</v>
      </c>
      <c r="Y17" t="str">
        <v>Clothing</v>
      </c>
      <c r="Z17" t="str">
        <v>In-Store</v>
      </c>
      <c r="AA17" t="str">
        <v>Cash</v>
      </c>
      <c r="AB17" t="str">
        <v>Cancelled</v>
      </c>
      <c r="AC17">
        <v>6</v>
      </c>
      <c r="AD17">
        <v>490.05</v>
      </c>
      <c r="AE17">
        <v>45627</v>
      </c>
      <c r="AF17">
        <v>0</v>
      </c>
      <c r="AG17" t="str">
        <v>VIP customer</v>
      </c>
      <c r="AH17" t="str">
        <v>High Value</v>
      </c>
      <c r="AI17">
        <v>2940.3</v>
      </c>
      <c r="AJ17" t="str">
        <v>ORD-1093</v>
      </c>
      <c r="AK17">
        <v>1093</v>
      </c>
      <c r="AL17" t="str">
        <v>Dec-2024</v>
      </c>
      <c r="AM17">
        <v>45657</v>
      </c>
    </row>
    <row r="18" spans="1:39" x14ac:dyDescent="0.25">
      <c r="C18" t="s">
        <v>1140</v>
      </c>
      <c r="D18" t="s">
        <v>1141</v>
      </c>
      <c r="H18" t="str">
        <v>ORD-1102</v>
      </c>
      <c r="I18" t="str">
        <v>08/10/2024</v>
      </c>
      <c r="J18" t="str">
        <v>HINA ALI</v>
      </c>
      <c r="K18" t="str">
        <v>east</v>
      </c>
      <c r="L18" t="str">
        <v>Sialkot</v>
      </c>
      <c r="M18" t="str">
        <v>Clothing</v>
      </c>
      <c r="N18" t="str">
        <v>Formal Shirt</v>
      </c>
      <c r="O18" t="str">
        <v>in-store</v>
      </c>
      <c r="P18">
        <v>10</v>
      </c>
      <c r="Q18">
        <v>478.89</v>
      </c>
      <c r="R18">
        <v>0.2</v>
      </c>
      <c r="S18" t="str">
        <v>Debit Card</v>
      </c>
      <c r="T18" t="str">
        <v>Canceled</v>
      </c>
      <c r="U18">
        <v>0</v>
      </c>
      <c r="V18" t="str">
        <v>Bulk order - business account</v>
      </c>
      <c r="W18" t="str">
        <v>Hina Ali</v>
      </c>
      <c r="X18" t="str">
        <v>East</v>
      </c>
      <c r="Y18" t="str">
        <v>Clothing</v>
      </c>
      <c r="Z18" t="str">
        <v>In-Store</v>
      </c>
      <c r="AA18" t="str">
        <v>Debit Card</v>
      </c>
      <c r="AB18" t="str">
        <v>Cancelled</v>
      </c>
      <c r="AC18">
        <v>10</v>
      </c>
      <c r="AD18">
        <v>478.89</v>
      </c>
      <c r="AE18">
        <v>45514</v>
      </c>
      <c r="AF18">
        <v>0.2</v>
      </c>
      <c r="AG18" t="str">
        <v>Bulk order - business account</v>
      </c>
      <c r="AH18" t="str">
        <v>High Value</v>
      </c>
      <c r="AI18">
        <v>4788.8999999999996</v>
      </c>
      <c r="AJ18" t="str">
        <v>ORD-1102</v>
      </c>
      <c r="AK18">
        <v>1102</v>
      </c>
      <c r="AL18" t="str">
        <v>Aug-2024</v>
      </c>
      <c r="AM18">
        <v>45535</v>
      </c>
    </row>
    <row r="19" spans="1:39" x14ac:dyDescent="0.25">
      <c r="C19" s="5">
        <v>45296</v>
      </c>
      <c r="D19" s="5">
        <f>_xlfn.MAXIFS(tblOrders[OrderDate_Clean],tblOrders[CustomerName_Clean],TRIM(D18))</f>
        <v>45296</v>
      </c>
      <c r="E19">
        <f>COUNTIF(tblOrders[CustomerName_Clean],D18)</f>
        <v>1</v>
      </c>
      <c r="H19" t="str">
        <v>ORD-1102</v>
      </c>
      <c r="I19" t="str">
        <v>08/10/2024</v>
      </c>
      <c r="J19" t="str">
        <v>HINA ALI</v>
      </c>
      <c r="K19" t="str">
        <v>east</v>
      </c>
      <c r="L19" t="str">
        <v>Sialkot</v>
      </c>
      <c r="M19" t="str">
        <v>Clothing</v>
      </c>
      <c r="N19" t="str">
        <v>Formal Shirt</v>
      </c>
      <c r="O19" t="str">
        <v>in-store</v>
      </c>
      <c r="P19">
        <v>10</v>
      </c>
      <c r="Q19">
        <v>478.89</v>
      </c>
      <c r="R19">
        <v>0.2</v>
      </c>
      <c r="S19" t="str">
        <v>Debit Card</v>
      </c>
      <c r="T19" t="str">
        <v>Canceled</v>
      </c>
      <c r="U19">
        <v>0</v>
      </c>
      <c r="V19" t="str">
        <v>Bulk order - business account</v>
      </c>
      <c r="W19" t="str">
        <v>Hina Ali</v>
      </c>
      <c r="X19" t="str">
        <v>East</v>
      </c>
      <c r="Y19" t="str">
        <v>Clothing</v>
      </c>
      <c r="Z19" t="str">
        <v>In-Store</v>
      </c>
      <c r="AA19" t="str">
        <v>Debit Card</v>
      </c>
      <c r="AB19" t="str">
        <v>Cancelled</v>
      </c>
      <c r="AC19">
        <v>10</v>
      </c>
      <c r="AD19">
        <v>478.89</v>
      </c>
      <c r="AE19">
        <v>45514</v>
      </c>
      <c r="AF19">
        <v>0.2</v>
      </c>
      <c r="AG19" t="str">
        <v>Bulk order - business account</v>
      </c>
      <c r="AH19" t="str">
        <v>High Value</v>
      </c>
      <c r="AI19">
        <v>4788.8999999999996</v>
      </c>
      <c r="AJ19" t="str">
        <v>ORD-1102</v>
      </c>
      <c r="AK19">
        <v>1102</v>
      </c>
      <c r="AL19" t="str">
        <v>Aug-2024</v>
      </c>
      <c r="AM19">
        <v>45535</v>
      </c>
    </row>
    <row r="20" spans="1:39" x14ac:dyDescent="0.25">
      <c r="A20" t="str" cm="1">
        <f t="array" ref="A20:A83">_xlfn._xlws.FILTER(Orders_Raw!A2:A245,Orders_Raw!U2:U245="Cancelled","No cancelled orders")</f>
        <v>ORD-1109</v>
      </c>
      <c r="H20" t="str">
        <v>ORD-1102</v>
      </c>
      <c r="I20" t="str">
        <v>08/10/2024</v>
      </c>
      <c r="J20" t="str">
        <v>HINA ALI</v>
      </c>
      <c r="K20" t="str">
        <v>east</v>
      </c>
      <c r="L20" t="str">
        <v>Sialkot</v>
      </c>
      <c r="M20" t="str">
        <v>Clothing</v>
      </c>
      <c r="N20" t="str">
        <v>Formal Shirt</v>
      </c>
      <c r="O20" t="str">
        <v>in-store</v>
      </c>
      <c r="P20">
        <v>10</v>
      </c>
      <c r="Q20">
        <v>478.89</v>
      </c>
      <c r="R20">
        <v>0.2</v>
      </c>
      <c r="S20" t="str">
        <v>Debit Card</v>
      </c>
      <c r="T20" t="str">
        <v>Canceled</v>
      </c>
      <c r="U20">
        <v>0</v>
      </c>
      <c r="V20" t="str">
        <v>Bulk order - business account</v>
      </c>
      <c r="W20" t="str">
        <v>Hina Ali</v>
      </c>
      <c r="X20" t="str">
        <v>East</v>
      </c>
      <c r="Y20" t="str">
        <v>Clothing</v>
      </c>
      <c r="Z20" t="str">
        <v>In-Store</v>
      </c>
      <c r="AA20" t="str">
        <v>Debit Card</v>
      </c>
      <c r="AB20" t="str">
        <v>Cancelled</v>
      </c>
      <c r="AC20">
        <v>10</v>
      </c>
      <c r="AD20">
        <v>478.89</v>
      </c>
      <c r="AE20">
        <v>45514</v>
      </c>
      <c r="AF20">
        <v>0.2</v>
      </c>
      <c r="AG20" t="str">
        <v>Bulk order - business account</v>
      </c>
      <c r="AH20" t="str">
        <v>High Value</v>
      </c>
      <c r="AI20">
        <v>4788.8999999999996</v>
      </c>
      <c r="AJ20" t="str">
        <v>ORD-1102</v>
      </c>
      <c r="AK20">
        <v>1102</v>
      </c>
      <c r="AL20" t="str">
        <v>Aug-2024</v>
      </c>
      <c r="AM20">
        <v>45535</v>
      </c>
    </row>
    <row r="21" spans="1:39" ht="45" x14ac:dyDescent="0.25">
      <c r="A21" t="str">
        <v>ORD-1212</v>
      </c>
      <c r="C21" s="14" t="s">
        <v>1142</v>
      </c>
      <c r="D21">
        <f>SUMIFS(Orders_Raw!AB2:AB245,Orders_Raw!Q2:Q245,"West",Orders_Raw!S2:S245,"In-Store",Orders_Raw!U2:U245,"Completed")</f>
        <v>13852.49</v>
      </c>
      <c r="H21" t="str">
        <v>ORD-1051</v>
      </c>
      <c r="I21" t="str">
        <v>31-May-24</v>
      </c>
      <c r="J21" t="str">
        <v>Nida Lee</v>
      </c>
      <c r="K21" t="str">
        <v>east</v>
      </c>
      <c r="L21" t="str">
        <v>Multan</v>
      </c>
      <c r="M21" t="str">
        <v>CLOTHING</v>
      </c>
      <c r="N21" t="str">
        <v>Denim Jacket</v>
      </c>
      <c r="O21" t="str">
        <v xml:space="preserve">Online </v>
      </c>
      <c r="P21">
        <v>3</v>
      </c>
      <c r="Q21">
        <v>438.85</v>
      </c>
      <c r="R21">
        <v>0.1</v>
      </c>
      <c r="S21" t="str">
        <v>CREDIT CARD</v>
      </c>
      <c r="T21" t="str">
        <v>Cancelled</v>
      </c>
      <c r="U21" t="str">
        <v>D. Iqbal</v>
      </c>
      <c r="V21" t="str">
        <v xml:space="preserve">  Customer called twice </v>
      </c>
      <c r="W21" t="str">
        <v>Nida Lee</v>
      </c>
      <c r="X21" t="str">
        <v>East</v>
      </c>
      <c r="Y21" t="str">
        <v>Clothing</v>
      </c>
      <c r="Z21" t="str">
        <v>Online</v>
      </c>
      <c r="AA21" t="str">
        <v>Credit Card</v>
      </c>
      <c r="AB21" t="str">
        <v>Cancelled</v>
      </c>
      <c r="AC21">
        <v>3</v>
      </c>
      <c r="AD21">
        <v>438.85</v>
      </c>
      <c r="AE21">
        <v>45443</v>
      </c>
      <c r="AF21">
        <v>0.1</v>
      </c>
      <c r="AG21" t="str">
        <v>Customer called twice</v>
      </c>
      <c r="AH21" t="str">
        <v>High Value</v>
      </c>
      <c r="AI21">
        <v>1316.5500000000002</v>
      </c>
      <c r="AJ21" t="str">
        <v>ORD-1051</v>
      </c>
      <c r="AK21">
        <v>1051</v>
      </c>
      <c r="AL21" t="str">
        <v>May-2024</v>
      </c>
      <c r="AM21">
        <v>45443</v>
      </c>
    </row>
    <row r="22" spans="1:39" x14ac:dyDescent="0.25">
      <c r="A22" t="str">
        <v>ORD-1095</v>
      </c>
      <c r="H22" t="str">
        <v>ORD-1028</v>
      </c>
      <c r="I22" t="str">
        <v>2024-10-03</v>
      </c>
      <c r="J22" t="str">
        <v>Michael  Hussain</v>
      </c>
      <c r="K22" t="str">
        <v>west</v>
      </c>
      <c r="L22" t="str">
        <v>Quetta</v>
      </c>
      <c r="M22" t="str">
        <v>clothing</v>
      </c>
      <c r="N22" t="str">
        <v>Running Shoes</v>
      </c>
      <c r="O22" t="str">
        <v>in-store</v>
      </c>
      <c r="P22">
        <v>6</v>
      </c>
      <c r="Q22">
        <v>192.67</v>
      </c>
      <c r="R22">
        <v>0.1</v>
      </c>
      <c r="S22" t="str">
        <v>credit card</v>
      </c>
      <c r="T22" t="str">
        <v>CANCELLED</v>
      </c>
      <c r="U22" t="str">
        <v>A. Malik</v>
      </c>
      <c r="V22">
        <v>0</v>
      </c>
      <c r="W22" t="str">
        <v>Michael Hussain</v>
      </c>
      <c r="X22" t="str">
        <v>West</v>
      </c>
      <c r="Y22" t="str">
        <v>Clothing</v>
      </c>
      <c r="Z22" t="str">
        <v>In-Store</v>
      </c>
      <c r="AA22" t="str">
        <v>Credit Card</v>
      </c>
      <c r="AB22" t="str">
        <v>Cancelled</v>
      </c>
      <c r="AC22">
        <v>6</v>
      </c>
      <c r="AD22">
        <v>192.67</v>
      </c>
      <c r="AE22">
        <v>45568</v>
      </c>
      <c r="AF22">
        <v>0.1</v>
      </c>
      <c r="AG22" t="str">
        <v/>
      </c>
      <c r="AH22" t="str">
        <v>High Value</v>
      </c>
      <c r="AI22">
        <v>1156.02</v>
      </c>
      <c r="AJ22" t="str">
        <v>ORD-1028</v>
      </c>
      <c r="AK22">
        <v>1028</v>
      </c>
      <c r="AL22" t="str">
        <v>Oct-2024</v>
      </c>
      <c r="AM22">
        <v>45596</v>
      </c>
    </row>
    <row r="23" spans="1:39" ht="30" x14ac:dyDescent="0.25">
      <c r="A23" t="str">
        <v>ORD-1080</v>
      </c>
      <c r="C23" s="14" t="s">
        <v>1143</v>
      </c>
      <c r="D23">
        <f>COUNTIFS(Orders_Raw!AH2:AH245,"&gt;0.15")</f>
        <v>26</v>
      </c>
      <c r="H23" t="str">
        <v>ORD-1014</v>
      </c>
      <c r="I23" t="str">
        <v>2024-10-15</v>
      </c>
      <c r="J23" t="str">
        <v>ZARA JOHNSON</v>
      </c>
      <c r="K23" t="str">
        <v>EAST</v>
      </c>
      <c r="L23" t="str">
        <v>Multan</v>
      </c>
      <c r="M23" t="str">
        <v>clothing</v>
      </c>
      <c r="N23" t="str">
        <v>Formal Shirt</v>
      </c>
      <c r="O23" t="str">
        <v>In Store</v>
      </c>
      <c r="P23">
        <v>3</v>
      </c>
      <c r="Q23">
        <v>153.5</v>
      </c>
      <c r="R23">
        <v>0</v>
      </c>
      <c r="S23" t="str">
        <v>Credit Card</v>
      </c>
      <c r="T23" t="str">
        <v>CANCELLED</v>
      </c>
      <c r="U23" t="str">
        <v>E. Tanaka</v>
      </c>
      <c r="V23" t="str">
        <v xml:space="preserve">  Customer called twice </v>
      </c>
      <c r="W23" t="str">
        <v>Zara Johnson</v>
      </c>
      <c r="X23" t="str">
        <v>East</v>
      </c>
      <c r="Y23" t="str">
        <v>Clothing</v>
      </c>
      <c r="Z23" t="str">
        <v>In-Store</v>
      </c>
      <c r="AA23" t="str">
        <v>Credit Card</v>
      </c>
      <c r="AB23" t="str">
        <v>Cancelled</v>
      </c>
      <c r="AC23">
        <v>3</v>
      </c>
      <c r="AD23">
        <v>153.5</v>
      </c>
      <c r="AE23">
        <v>45580</v>
      </c>
      <c r="AF23">
        <v>0</v>
      </c>
      <c r="AG23" t="str">
        <v>Customer called twice</v>
      </c>
      <c r="AH23" t="str">
        <v>Standard</v>
      </c>
      <c r="AI23">
        <v>460.5</v>
      </c>
      <c r="AJ23" t="str">
        <v>ORD-1014</v>
      </c>
      <c r="AK23">
        <v>1014</v>
      </c>
      <c r="AL23" t="str">
        <v>Oct-2024</v>
      </c>
      <c r="AM23">
        <v>45596</v>
      </c>
    </row>
    <row r="24" spans="1:39" x14ac:dyDescent="0.25">
      <c r="A24" t="str">
        <v>ORD-1084</v>
      </c>
      <c r="H24" t="str">
        <v>ORD-1014</v>
      </c>
      <c r="I24" t="str">
        <v>2024-10-15</v>
      </c>
      <c r="J24" t="str">
        <v>ZARA JOHNSON</v>
      </c>
      <c r="K24" t="str">
        <v>EAST</v>
      </c>
      <c r="L24" t="str">
        <v>Multan</v>
      </c>
      <c r="M24" t="str">
        <v>clothing</v>
      </c>
      <c r="N24" t="str">
        <v>Formal Shirt</v>
      </c>
      <c r="O24" t="str">
        <v>In Store</v>
      </c>
      <c r="P24">
        <v>3</v>
      </c>
      <c r="Q24">
        <v>153.5</v>
      </c>
      <c r="R24">
        <v>0</v>
      </c>
      <c r="S24" t="str">
        <v>Credit Card</v>
      </c>
      <c r="T24" t="str">
        <v>CANCELLED</v>
      </c>
      <c r="U24" t="str">
        <v>E. Tanaka</v>
      </c>
      <c r="V24" t="str">
        <v xml:space="preserve">  Customer called twice </v>
      </c>
      <c r="W24" t="str">
        <v>Zara Johnson</v>
      </c>
      <c r="X24" t="str">
        <v>East</v>
      </c>
      <c r="Y24" t="str">
        <v>Clothing</v>
      </c>
      <c r="Z24" t="str">
        <v>In-Store</v>
      </c>
      <c r="AA24" t="str">
        <v>Credit Card</v>
      </c>
      <c r="AB24" t="str">
        <v>Cancelled</v>
      </c>
      <c r="AC24">
        <v>3</v>
      </c>
      <c r="AD24">
        <v>153.5</v>
      </c>
      <c r="AE24">
        <v>45580</v>
      </c>
      <c r="AF24">
        <v>0</v>
      </c>
      <c r="AG24" t="str">
        <v>Customer called twice</v>
      </c>
      <c r="AH24" t="str">
        <v>Standard</v>
      </c>
      <c r="AI24">
        <v>460.5</v>
      </c>
      <c r="AJ24" t="str">
        <v>ORD-1014</v>
      </c>
      <c r="AK24">
        <v>1014</v>
      </c>
      <c r="AL24" t="str">
        <v>Oct-2024</v>
      </c>
      <c r="AM24">
        <v>45596</v>
      </c>
    </row>
    <row r="25" spans="1:39" x14ac:dyDescent="0.25">
      <c r="A25" t="str">
        <v>ORD-1179</v>
      </c>
      <c r="H25" t="str">
        <v>ORD-1074</v>
      </c>
      <c r="I25" t="str">
        <v>2024-07-31</v>
      </c>
      <c r="J25" t="str">
        <v>tom iqbal</v>
      </c>
      <c r="K25" t="str">
        <v xml:space="preserve">North </v>
      </c>
      <c r="L25" t="str">
        <v>Faisalabad</v>
      </c>
      <c r="M25" t="str">
        <v>Clothing</v>
      </c>
      <c r="N25" t="str">
        <v>Denim Jacket</v>
      </c>
      <c r="O25" t="str">
        <v>In-Store</v>
      </c>
      <c r="P25">
        <v>8</v>
      </c>
      <c r="Q25">
        <v>77.94</v>
      </c>
      <c r="R25">
        <v>0.05</v>
      </c>
      <c r="S25" t="str">
        <v>Debit card</v>
      </c>
      <c r="T25" t="str">
        <v>cancelled</v>
      </c>
      <c r="U25" t="str">
        <v>A. Malik</v>
      </c>
      <c r="V25" t="str">
        <v xml:space="preserve">  </v>
      </c>
      <c r="W25" t="str">
        <v>Tom Iqbal</v>
      </c>
      <c r="X25" t="str">
        <v>North</v>
      </c>
      <c r="Y25" t="str">
        <v>Clothing</v>
      </c>
      <c r="Z25" t="str">
        <v>In-Store</v>
      </c>
      <c r="AA25" t="str">
        <v>Debit Card</v>
      </c>
      <c r="AB25" t="str">
        <v>Cancelled</v>
      </c>
      <c r="AC25">
        <v>8</v>
      </c>
      <c r="AD25">
        <v>77.94</v>
      </c>
      <c r="AE25">
        <v>45504</v>
      </c>
      <c r="AF25">
        <v>0.05</v>
      </c>
      <c r="AG25" t="str">
        <v/>
      </c>
      <c r="AH25" t="str">
        <v>Standard</v>
      </c>
      <c r="AI25">
        <v>623.52</v>
      </c>
      <c r="AJ25" t="str">
        <v>ORD-1074</v>
      </c>
      <c r="AK25">
        <v>1074</v>
      </c>
      <c r="AL25" t="str">
        <v>Jul-2024</v>
      </c>
      <c r="AM25">
        <v>45504</v>
      </c>
    </row>
    <row r="26" spans="1:39" x14ac:dyDescent="0.25">
      <c r="A26" t="str">
        <v>ORD-1157</v>
      </c>
      <c r="H26" t="str">
        <v>ORD-1065</v>
      </c>
      <c r="I26" t="str">
        <v>10/02/2024</v>
      </c>
      <c r="J26" t="str">
        <v xml:space="preserve">Noah Anderson </v>
      </c>
      <c r="K26" t="str">
        <v>WEST</v>
      </c>
      <c r="L26" t="str">
        <v>Quetta</v>
      </c>
      <c r="M26" t="str">
        <v>clothing</v>
      </c>
      <c r="N26" t="str">
        <v>Winter Coat</v>
      </c>
      <c r="O26" t="str">
        <v>instore</v>
      </c>
      <c r="P26">
        <v>12</v>
      </c>
      <c r="Q26">
        <v>48.62</v>
      </c>
      <c r="R26">
        <v>0</v>
      </c>
      <c r="S26" t="str">
        <v>cash</v>
      </c>
      <c r="T26" t="str">
        <v>Canceled</v>
      </c>
      <c r="U26" t="str">
        <v>E. Tanaka</v>
      </c>
      <c r="V26" t="str">
        <v xml:space="preserve">Leave at front desk  </v>
      </c>
      <c r="W26" t="str">
        <v>Noah Anderson</v>
      </c>
      <c r="X26" t="str">
        <v>West</v>
      </c>
      <c r="Y26" t="str">
        <v>Clothing</v>
      </c>
      <c r="Z26" t="str">
        <v>In-Store</v>
      </c>
      <c r="AA26" t="str">
        <v>Cash</v>
      </c>
      <c r="AB26" t="str">
        <v>Cancelled</v>
      </c>
      <c r="AC26">
        <v>12</v>
      </c>
      <c r="AD26">
        <v>48.62</v>
      </c>
      <c r="AE26">
        <v>45567</v>
      </c>
      <c r="AF26">
        <v>0</v>
      </c>
      <c r="AG26" t="str">
        <v>Leave at front desk</v>
      </c>
      <c r="AH26" t="str">
        <v>Standard</v>
      </c>
      <c r="AI26">
        <v>583.43999999999994</v>
      </c>
      <c r="AJ26" t="str">
        <v>ORD-1065</v>
      </c>
      <c r="AK26">
        <v>1065</v>
      </c>
      <c r="AL26" t="str">
        <v>Oct-2024</v>
      </c>
      <c r="AM26">
        <v>45596</v>
      </c>
    </row>
    <row r="27" spans="1:39" x14ac:dyDescent="0.25">
      <c r="A27" t="str">
        <v>ORD-1093</v>
      </c>
      <c r="H27" t="str">
        <v>ORD-1144</v>
      </c>
      <c r="I27" t="str">
        <v>2024-07-03</v>
      </c>
      <c r="J27" t="str">
        <v xml:space="preserve">Kevin Clark </v>
      </c>
      <c r="K27" t="str">
        <v>east</v>
      </c>
      <c r="L27" t="str">
        <v>Sialkot</v>
      </c>
      <c r="M27" t="str">
        <v>Clothing</v>
      </c>
      <c r="N27" t="str">
        <v>Cotton T-Shirt</v>
      </c>
      <c r="O27" t="str">
        <v>in-store</v>
      </c>
      <c r="P27">
        <v>7</v>
      </c>
      <c r="Q27">
        <v>36.619999999999997</v>
      </c>
      <c r="R27" t="str">
        <v>0%</v>
      </c>
      <c r="S27" t="str">
        <v>Debit card</v>
      </c>
      <c r="T27" t="str">
        <v>CANCELLED</v>
      </c>
      <c r="U27" t="str">
        <v>E. Tanaka</v>
      </c>
      <c r="V27" t="str">
        <v>Damaged on arrival - replaced</v>
      </c>
      <c r="W27" t="str">
        <v>Kevin Clark</v>
      </c>
      <c r="X27" t="str">
        <v>East</v>
      </c>
      <c r="Y27" t="str">
        <v>Clothing</v>
      </c>
      <c r="Z27" t="str">
        <v>In-Store</v>
      </c>
      <c r="AA27" t="str">
        <v>Debit Card</v>
      </c>
      <c r="AB27" t="str">
        <v>Cancelled</v>
      </c>
      <c r="AC27">
        <v>7</v>
      </c>
      <c r="AD27">
        <v>36.619999999999997</v>
      </c>
      <c r="AE27">
        <v>45476</v>
      </c>
      <c r="AF27" t="str">
        <v>0%</v>
      </c>
      <c r="AG27" t="str">
        <v>Damaged on arrival - replaced</v>
      </c>
      <c r="AH27" t="str">
        <v>Standard</v>
      </c>
      <c r="AI27">
        <v>256.33999999999997</v>
      </c>
      <c r="AJ27" t="str">
        <v>ORD-1144</v>
      </c>
      <c r="AK27">
        <v>1144</v>
      </c>
      <c r="AL27" t="str">
        <v>Jul-2024</v>
      </c>
      <c r="AM27">
        <v>45504</v>
      </c>
    </row>
    <row r="28" spans="1:39" x14ac:dyDescent="0.25">
      <c r="A28" t="str">
        <v>ORD-1102</v>
      </c>
      <c r="H28" t="str">
        <v>ORD-1168</v>
      </c>
      <c r="I28" t="str">
        <v>2024-12-16</v>
      </c>
      <c r="J28" t="str">
        <v>sarah malik</v>
      </c>
      <c r="K28" t="str">
        <v>west</v>
      </c>
      <c r="L28">
        <v>0</v>
      </c>
      <c r="M28" t="str">
        <v>clothing</v>
      </c>
      <c r="N28" t="str">
        <v>Cotton T-Shirt</v>
      </c>
      <c r="O28" t="str">
        <v>instore</v>
      </c>
      <c r="P28">
        <v>5</v>
      </c>
      <c r="Q28">
        <v>15.02</v>
      </c>
      <c r="R28">
        <v>0</v>
      </c>
      <c r="S28" t="str">
        <v>CC</v>
      </c>
      <c r="T28" t="str">
        <v>CANCELLED</v>
      </c>
      <c r="U28">
        <v>0</v>
      </c>
      <c r="V28" t="str">
        <v>VIP customer</v>
      </c>
      <c r="W28" t="str">
        <v>Sarah Malik</v>
      </c>
      <c r="X28" t="str">
        <v>West</v>
      </c>
      <c r="Y28" t="str">
        <v>Clothing</v>
      </c>
      <c r="Z28" t="str">
        <v>In-Store</v>
      </c>
      <c r="AA28" t="str">
        <v>Credit Card</v>
      </c>
      <c r="AB28" t="str">
        <v>Cancelled</v>
      </c>
      <c r="AC28">
        <v>5</v>
      </c>
      <c r="AD28">
        <v>15.02</v>
      </c>
      <c r="AE28">
        <v>45642</v>
      </c>
      <c r="AF28">
        <v>0</v>
      </c>
      <c r="AG28" t="str">
        <v>VIP customer</v>
      </c>
      <c r="AH28" t="str">
        <v>Standard</v>
      </c>
      <c r="AI28">
        <v>75.099999999999994</v>
      </c>
      <c r="AJ28" t="str">
        <v>ORD-1168</v>
      </c>
      <c r="AK28">
        <v>1168</v>
      </c>
      <c r="AL28" t="str">
        <v>Dec-2024</v>
      </c>
      <c r="AM28">
        <v>45657</v>
      </c>
    </row>
    <row r="29" spans="1:39" x14ac:dyDescent="0.25">
      <c r="A29" t="str">
        <v>ORD-1102</v>
      </c>
      <c r="H29" t="str">
        <v>ORD-1213</v>
      </c>
      <c r="I29" t="str">
        <v>2024-11-06</v>
      </c>
      <c r="J29" t="str">
        <v xml:space="preserve"> Zara Brown</v>
      </c>
      <c r="K29" t="str">
        <v xml:space="preserve"> South</v>
      </c>
      <c r="L29" t="str">
        <v>Hyderabad</v>
      </c>
      <c r="M29" t="str">
        <v>CLOTHING</v>
      </c>
      <c r="N29" t="str">
        <v>Winter Coat</v>
      </c>
      <c r="O29" t="str">
        <v>online</v>
      </c>
      <c r="P29">
        <v>4</v>
      </c>
      <c r="Q29">
        <v>0</v>
      </c>
      <c r="R29">
        <v>0.2</v>
      </c>
      <c r="S29" t="str">
        <v xml:space="preserve">Cash </v>
      </c>
      <c r="T29" t="str">
        <v>Canceled</v>
      </c>
      <c r="U29" t="str">
        <v>B. Fernandes</v>
      </c>
      <c r="V29" t="str">
        <v xml:space="preserve">Follow up needed	</v>
      </c>
      <c r="W29" t="str">
        <v>Zara Brown</v>
      </c>
      <c r="X29" t="str">
        <v>South</v>
      </c>
      <c r="Y29" t="str">
        <v>Clothing</v>
      </c>
      <c r="Z29" t="str">
        <v>Online</v>
      </c>
      <c r="AA29" t="str">
        <v>Cash</v>
      </c>
      <c r="AB29" t="str">
        <v>Cancelled</v>
      </c>
      <c r="AC29">
        <v>4</v>
      </c>
      <c r="AD29" t="str">
        <v/>
      </c>
      <c r="AE29">
        <v>45602</v>
      </c>
      <c r="AF29">
        <v>0.2</v>
      </c>
      <c r="AG29" t="str">
        <v>Follow up needed</v>
      </c>
      <c r="AH29" t="str">
        <v>Review</v>
      </c>
      <c r="AI29">
        <v>0</v>
      </c>
      <c r="AJ29" t="str">
        <v>ORD-1213</v>
      </c>
      <c r="AK29">
        <v>1213</v>
      </c>
      <c r="AL29" t="str">
        <v>Nov-2024</v>
      </c>
      <c r="AM29">
        <v>45626</v>
      </c>
    </row>
    <row r="30" spans="1:39" x14ac:dyDescent="0.25">
      <c r="A30" t="str">
        <v>ORD-1102</v>
      </c>
      <c r="H30" t="str">
        <v>ORD-1202</v>
      </c>
      <c r="I30" t="str">
        <v>05/31/2024</v>
      </c>
      <c r="J30" t="str">
        <v>bilal johnson</v>
      </c>
      <c r="K30" t="str">
        <v>NORTH</v>
      </c>
      <c r="L30" t="str">
        <v>Faisalabad</v>
      </c>
      <c r="M30" t="str">
        <v>ELECTRONICS</v>
      </c>
      <c r="N30" t="str">
        <v>LED Monitor</v>
      </c>
      <c r="O30" t="str">
        <v>In Store</v>
      </c>
      <c r="P30">
        <v>7</v>
      </c>
      <c r="Q30" t="str">
        <v>$20.26</v>
      </c>
      <c r="R30">
        <v>0</v>
      </c>
      <c r="S30" t="str">
        <v>Bank Transfer</v>
      </c>
      <c r="T30" t="str">
        <v>Canceled</v>
      </c>
      <c r="U30" t="str">
        <v>E. Tanaka</v>
      </c>
      <c r="V30" t="str">
        <v xml:space="preserve">Leave at front desk  </v>
      </c>
      <c r="W30" t="str">
        <v>Bilal Johnson</v>
      </c>
      <c r="X30" t="str">
        <v>North</v>
      </c>
      <c r="Y30" t="str">
        <v>Electronics</v>
      </c>
      <c r="Z30" t="str">
        <v>In-Store</v>
      </c>
      <c r="AA30" t="str">
        <v>Bank Transfer</v>
      </c>
      <c r="AB30" t="str">
        <v>Cancelled</v>
      </c>
      <c r="AC30">
        <v>7</v>
      </c>
      <c r="AD30">
        <v>20.260000000000002</v>
      </c>
      <c r="AE30">
        <v>45443</v>
      </c>
      <c r="AF30">
        <v>0</v>
      </c>
      <c r="AG30" t="str">
        <v>Leave at front desk</v>
      </c>
      <c r="AH30" t="str">
        <v>Standard</v>
      </c>
      <c r="AI30">
        <v>141.82000000000002</v>
      </c>
      <c r="AJ30" t="str">
        <v>ORD-1202</v>
      </c>
      <c r="AK30">
        <v>1202</v>
      </c>
      <c r="AL30" t="str">
        <v>May-2024</v>
      </c>
      <c r="AM30">
        <v>45443</v>
      </c>
    </row>
    <row r="31" spans="1:39" x14ac:dyDescent="0.25">
      <c r="A31" t="str">
        <v>ORD-1051</v>
      </c>
      <c r="H31" t="str">
        <v>ORD-1126</v>
      </c>
      <c r="I31" t="str">
        <v>22/12/2024</v>
      </c>
      <c r="J31" t="str">
        <v>David Sheikh</v>
      </c>
      <c r="K31" t="str">
        <v>West</v>
      </c>
      <c r="L31" t="str">
        <v>Peshawar</v>
      </c>
      <c r="M31" t="str">
        <v>Electronics</v>
      </c>
      <c r="N31" t="str">
        <v>USB-C Cable</v>
      </c>
      <c r="O31" t="str">
        <v>in-store</v>
      </c>
      <c r="P31">
        <v>5</v>
      </c>
      <c r="Q31">
        <v>393.21</v>
      </c>
      <c r="R31">
        <v>0</v>
      </c>
      <c r="S31" t="str">
        <v>credit card</v>
      </c>
      <c r="T31" t="str">
        <v>CANCELLED</v>
      </c>
      <c r="U31">
        <v>0</v>
      </c>
      <c r="V31">
        <v>0</v>
      </c>
      <c r="W31" t="str">
        <v>David Sheikh</v>
      </c>
      <c r="X31" t="str">
        <v>West</v>
      </c>
      <c r="Y31" t="str">
        <v>Electronics</v>
      </c>
      <c r="Z31" t="str">
        <v>In-Store</v>
      </c>
      <c r="AA31" t="str">
        <v>Credit Card</v>
      </c>
      <c r="AB31" t="str">
        <v>Cancelled</v>
      </c>
      <c r="AC31">
        <v>5</v>
      </c>
      <c r="AD31">
        <v>393.21</v>
      </c>
      <c r="AE31">
        <v>45648</v>
      </c>
      <c r="AF31">
        <v>0</v>
      </c>
      <c r="AG31" t="str">
        <v/>
      </c>
      <c r="AH31" t="str">
        <v>High Value</v>
      </c>
      <c r="AI31">
        <v>1966.05</v>
      </c>
      <c r="AJ31" t="str">
        <v>ORD-1126</v>
      </c>
      <c r="AK31">
        <v>1126</v>
      </c>
      <c r="AL31" t="str">
        <v>Dec-2024</v>
      </c>
      <c r="AM31">
        <v>45657</v>
      </c>
    </row>
    <row r="32" spans="1:39" x14ac:dyDescent="0.25">
      <c r="A32" t="str">
        <v>ORD-1028</v>
      </c>
      <c r="H32" t="str">
        <v>ORD-1079</v>
      </c>
      <c r="I32" t="str">
        <v>01-Dec-24</v>
      </c>
      <c r="J32" t="str">
        <v>Bilal Lee</v>
      </c>
      <c r="K32" t="str">
        <v>east</v>
      </c>
      <c r="L32" t="str">
        <v>Multan</v>
      </c>
      <c r="M32" t="str">
        <v>ELECTRONICS</v>
      </c>
      <c r="N32" t="str">
        <v>Bluetooth Speaker</v>
      </c>
      <c r="O32" t="str">
        <v xml:space="preserve">In-store </v>
      </c>
      <c r="P32">
        <v>7</v>
      </c>
      <c r="Q32">
        <v>273.8</v>
      </c>
      <c r="R32">
        <v>0.05</v>
      </c>
      <c r="S32" t="str">
        <v>CC</v>
      </c>
      <c r="T32" t="str">
        <v>cancelled</v>
      </c>
      <c r="U32" t="str">
        <v>A. Malik</v>
      </c>
      <c r="V32" t="str">
        <v xml:space="preserve">Leave at front desk  </v>
      </c>
      <c r="W32" t="str">
        <v>Bilal Lee</v>
      </c>
      <c r="X32" t="str">
        <v>East</v>
      </c>
      <c r="Y32" t="str">
        <v>Electronics</v>
      </c>
      <c r="Z32" t="str">
        <v>In-Store</v>
      </c>
      <c r="AA32" t="str">
        <v>Credit Card</v>
      </c>
      <c r="AB32" t="str">
        <v>Cancelled</v>
      </c>
      <c r="AC32">
        <v>7</v>
      </c>
      <c r="AD32">
        <v>273.8</v>
      </c>
      <c r="AE32">
        <v>45627</v>
      </c>
      <c r="AF32">
        <v>0.05</v>
      </c>
      <c r="AG32" t="str">
        <v>Leave at front desk</v>
      </c>
      <c r="AH32" t="str">
        <v>High Value</v>
      </c>
      <c r="AI32">
        <v>1916.6000000000001</v>
      </c>
      <c r="AJ32" t="str">
        <v>ORD-1079</v>
      </c>
      <c r="AK32">
        <v>1079</v>
      </c>
      <c r="AL32" t="str">
        <v>Dec-2024</v>
      </c>
      <c r="AM32">
        <v>45657</v>
      </c>
    </row>
    <row r="33" spans="1:39" x14ac:dyDescent="0.25">
      <c r="A33" t="str">
        <v>ORD-1014</v>
      </c>
      <c r="H33" t="str">
        <v>ORD-1196</v>
      </c>
      <c r="I33" t="str">
        <v>18/06/2024</v>
      </c>
      <c r="J33" t="str">
        <v>SANA  QURESHI</v>
      </c>
      <c r="K33" t="str">
        <v>SOUTH</v>
      </c>
      <c r="L33" t="str">
        <v>Hyderabad</v>
      </c>
      <c r="M33" t="str">
        <v>electronics</v>
      </c>
      <c r="N33" t="str">
        <v>USB-C Cable</v>
      </c>
      <c r="O33" t="str">
        <v xml:space="preserve">In-store </v>
      </c>
      <c r="P33">
        <v>2</v>
      </c>
      <c r="Q33">
        <v>217.11</v>
      </c>
      <c r="R33">
        <v>0</v>
      </c>
      <c r="S33" t="str">
        <v>cash</v>
      </c>
      <c r="T33" t="str">
        <v>Cancelled</v>
      </c>
      <c r="U33" t="str">
        <v>A. Malik</v>
      </c>
      <c r="V33" t="str">
        <v xml:space="preserve">Follow up needed	</v>
      </c>
      <c r="W33" t="str">
        <v>Sana Qureshi</v>
      </c>
      <c r="X33" t="str">
        <v>South</v>
      </c>
      <c r="Y33" t="str">
        <v>Electronics</v>
      </c>
      <c r="Z33" t="str">
        <v>In-Store</v>
      </c>
      <c r="AA33" t="str">
        <v>Cash</v>
      </c>
      <c r="AB33" t="str">
        <v>Cancelled</v>
      </c>
      <c r="AC33">
        <v>2</v>
      </c>
      <c r="AD33">
        <v>217.11</v>
      </c>
      <c r="AE33">
        <v>45461</v>
      </c>
      <c r="AF33">
        <v>0</v>
      </c>
      <c r="AG33" t="str">
        <v>Follow up needed</v>
      </c>
      <c r="AH33" t="str">
        <v>Standard</v>
      </c>
      <c r="AI33">
        <v>434.22</v>
      </c>
      <c r="AJ33" t="str">
        <v>ORD-1196</v>
      </c>
      <c r="AK33">
        <v>1196</v>
      </c>
      <c r="AL33" t="str">
        <v>Jun-2024</v>
      </c>
      <c r="AM33">
        <v>45473</v>
      </c>
    </row>
    <row r="34" spans="1:39" x14ac:dyDescent="0.25">
      <c r="A34" t="str">
        <v>ORD-1014</v>
      </c>
      <c r="H34" t="str">
        <v>ORD-1196</v>
      </c>
      <c r="I34" t="str">
        <v>18/06/2024</v>
      </c>
      <c r="J34" t="str">
        <v>Sana  Qureshi</v>
      </c>
      <c r="K34" t="str">
        <v>SOUTH</v>
      </c>
      <c r="L34" t="str">
        <v>Hyderabad</v>
      </c>
      <c r="M34" t="str">
        <v>electronics</v>
      </c>
      <c r="N34" t="str">
        <v>USB-C Cable</v>
      </c>
      <c r="O34" t="str">
        <v xml:space="preserve">In-store </v>
      </c>
      <c r="P34">
        <v>2</v>
      </c>
      <c r="Q34">
        <v>217.11</v>
      </c>
      <c r="R34">
        <v>0</v>
      </c>
      <c r="S34" t="str">
        <v>cash</v>
      </c>
      <c r="T34" t="str">
        <v>Cancelled</v>
      </c>
      <c r="U34" t="str">
        <v>A. Malik</v>
      </c>
      <c r="V34" t="str">
        <v xml:space="preserve">Follow up needed	</v>
      </c>
      <c r="W34" t="str">
        <v>Sana Qureshi</v>
      </c>
      <c r="X34" t="str">
        <v>South</v>
      </c>
      <c r="Y34" t="str">
        <v>Electronics</v>
      </c>
      <c r="Z34" t="str">
        <v>In-Store</v>
      </c>
      <c r="AA34" t="str">
        <v>Cash</v>
      </c>
      <c r="AB34" t="str">
        <v>Cancelled</v>
      </c>
      <c r="AC34">
        <v>2</v>
      </c>
      <c r="AD34">
        <v>217.11</v>
      </c>
      <c r="AE34">
        <v>45461</v>
      </c>
      <c r="AF34">
        <v>0</v>
      </c>
      <c r="AG34" t="str">
        <v>Follow up needed</v>
      </c>
      <c r="AH34" t="str">
        <v>Standard</v>
      </c>
      <c r="AI34">
        <v>434.22</v>
      </c>
      <c r="AJ34" t="str">
        <v>ORD-1196</v>
      </c>
      <c r="AK34">
        <v>1196</v>
      </c>
      <c r="AL34" t="str">
        <v>Jun-2024</v>
      </c>
      <c r="AM34">
        <v>45473</v>
      </c>
    </row>
    <row r="35" spans="1:39" x14ac:dyDescent="0.25">
      <c r="A35" t="str">
        <v>ORD-1074</v>
      </c>
      <c r="H35" t="str">
        <v>ORD-1003</v>
      </c>
      <c r="I35" t="str">
        <v>09-Dec-24</v>
      </c>
      <c r="J35" t="str">
        <v>Yusuf Anderson</v>
      </c>
      <c r="K35" t="str">
        <v>EAST</v>
      </c>
      <c r="L35" t="str">
        <v>Multan</v>
      </c>
      <c r="M35" t="str">
        <v>electronics</v>
      </c>
      <c r="N35" t="str">
        <v>Bluetooth Speaker</v>
      </c>
      <c r="O35" t="str">
        <v>online</v>
      </c>
      <c r="P35">
        <v>4</v>
      </c>
      <c r="Q35">
        <v>193.16</v>
      </c>
      <c r="R35">
        <v>0.05</v>
      </c>
      <c r="S35" t="str">
        <v>Debit Card</v>
      </c>
      <c r="T35" t="str">
        <v>cancelled</v>
      </c>
      <c r="U35" t="str">
        <v>B. Fernandes</v>
      </c>
      <c r="V35" t="str">
        <v xml:space="preserve">  Customer called twice </v>
      </c>
      <c r="W35" t="str">
        <v>Yusuf Anderson</v>
      </c>
      <c r="X35" t="str">
        <v>East</v>
      </c>
      <c r="Y35" t="str">
        <v>Electronics</v>
      </c>
      <c r="Z35" t="str">
        <v>Online</v>
      </c>
      <c r="AA35" t="str">
        <v>Debit Card</v>
      </c>
      <c r="AB35" t="str">
        <v>Cancelled</v>
      </c>
      <c r="AC35">
        <v>4</v>
      </c>
      <c r="AD35">
        <v>193.16</v>
      </c>
      <c r="AE35">
        <v>45635</v>
      </c>
      <c r="AF35">
        <v>0.05</v>
      </c>
      <c r="AG35" t="str">
        <v>Customer called twice</v>
      </c>
      <c r="AH35" t="str">
        <v>Standard</v>
      </c>
      <c r="AI35">
        <v>772.64</v>
      </c>
      <c r="AJ35" t="str">
        <v>ORD-1003</v>
      </c>
      <c r="AK35">
        <v>1003</v>
      </c>
      <c r="AL35" t="str">
        <v>Dec-2024</v>
      </c>
      <c r="AM35">
        <v>45657</v>
      </c>
    </row>
    <row r="36" spans="1:39" x14ac:dyDescent="0.25">
      <c r="A36" t="str">
        <v>ORD-1065</v>
      </c>
      <c r="H36" t="str">
        <v>ORD-1118</v>
      </c>
      <c r="I36" t="str">
        <v>April 05, 2024</v>
      </c>
      <c r="J36" t="str">
        <v xml:space="preserve"> Nida Johnson</v>
      </c>
      <c r="K36" t="str">
        <v>East</v>
      </c>
      <c r="L36" t="str">
        <v>Multan</v>
      </c>
      <c r="M36" t="str">
        <v>ELECTRONICS</v>
      </c>
      <c r="N36" t="str">
        <v>Power Bank</v>
      </c>
      <c r="O36" t="str">
        <v>In Store</v>
      </c>
      <c r="P36">
        <v>0</v>
      </c>
      <c r="Q36">
        <v>140.30000000000001</v>
      </c>
      <c r="R36">
        <v>0.1</v>
      </c>
      <c r="S36" t="str">
        <v>Cash</v>
      </c>
      <c r="T36" t="str">
        <v>Canceled</v>
      </c>
      <c r="U36" t="str">
        <v>D. Iqbal</v>
      </c>
      <c r="V36" t="str">
        <v xml:space="preserve">  </v>
      </c>
      <c r="W36" t="str">
        <v>Nida Johnson</v>
      </c>
      <c r="X36" t="str">
        <v>East</v>
      </c>
      <c r="Y36" t="str">
        <v>Electronics</v>
      </c>
      <c r="Z36" t="str">
        <v>In-Store</v>
      </c>
      <c r="AA36" t="str">
        <v>Cash</v>
      </c>
      <c r="AB36" t="str">
        <v>Cancelled</v>
      </c>
      <c r="AC36" t="str">
        <v/>
      </c>
      <c r="AD36">
        <v>140.30000000000001</v>
      </c>
      <c r="AE36">
        <v>45387</v>
      </c>
      <c r="AF36">
        <v>0.1</v>
      </c>
      <c r="AG36" t="str">
        <v/>
      </c>
      <c r="AH36" t="str">
        <v>Review</v>
      </c>
      <c r="AI36">
        <v>0</v>
      </c>
      <c r="AJ36" t="str">
        <v>ORD-1118</v>
      </c>
      <c r="AK36">
        <v>1118</v>
      </c>
      <c r="AL36" t="str">
        <v>Apr-2024</v>
      </c>
      <c r="AM36">
        <v>45412</v>
      </c>
    </row>
    <row r="37" spans="1:39" x14ac:dyDescent="0.25">
      <c r="A37" t="str">
        <v>ORD-1144</v>
      </c>
      <c r="H37" t="str">
        <v>ORD-1107</v>
      </c>
      <c r="I37" t="str">
        <v>21-Oct-24</v>
      </c>
      <c r="J37" t="str">
        <v>Laura Garcia</v>
      </c>
      <c r="K37" t="str">
        <v xml:space="preserve"> North</v>
      </c>
      <c r="L37" t="str">
        <v>Islamabad</v>
      </c>
      <c r="M37" t="str">
        <v>electronics</v>
      </c>
      <c r="N37" t="str">
        <v>Wireless Mouse</v>
      </c>
      <c r="O37" t="str">
        <v>In Store</v>
      </c>
      <c r="P37">
        <v>8</v>
      </c>
      <c r="Q37">
        <v>112.55</v>
      </c>
      <c r="R37">
        <v>0</v>
      </c>
      <c r="S37" t="str">
        <v>Cash</v>
      </c>
      <c r="T37" t="str">
        <v>Cancelled</v>
      </c>
      <c r="U37" t="str">
        <v>B. Fernandes</v>
      </c>
      <c r="V37">
        <v>0</v>
      </c>
      <c r="W37" t="str">
        <v>Laura Garcia</v>
      </c>
      <c r="X37" t="str">
        <v>North</v>
      </c>
      <c r="Y37" t="str">
        <v>Electronics</v>
      </c>
      <c r="Z37" t="str">
        <v>In-Store</v>
      </c>
      <c r="AA37" t="str">
        <v>Cash</v>
      </c>
      <c r="AB37" t="str">
        <v>Cancelled</v>
      </c>
      <c r="AC37">
        <v>8</v>
      </c>
      <c r="AD37">
        <v>112.55</v>
      </c>
      <c r="AE37">
        <v>45586</v>
      </c>
      <c r="AF37">
        <v>0</v>
      </c>
      <c r="AG37" t="str">
        <v/>
      </c>
      <c r="AH37" t="str">
        <v>Standard</v>
      </c>
      <c r="AI37">
        <v>900.4</v>
      </c>
      <c r="AJ37" t="str">
        <v>ORD-1107</v>
      </c>
      <c r="AK37">
        <v>1107</v>
      </c>
      <c r="AL37" t="str">
        <v>Oct-2024</v>
      </c>
      <c r="AM37">
        <v>45596</v>
      </c>
    </row>
    <row r="38" spans="1:39" x14ac:dyDescent="0.25">
      <c r="A38" t="str">
        <v>ORD-1168</v>
      </c>
      <c r="H38" t="str">
        <v>ORD-1063</v>
      </c>
      <c r="I38" t="str">
        <v>11-Mar-24</v>
      </c>
      <c r="J38" t="str">
        <v>ZARA LEE</v>
      </c>
      <c r="K38" t="str">
        <v>east</v>
      </c>
      <c r="L38" t="str">
        <v>Multan</v>
      </c>
      <c r="M38" t="str">
        <v>ELECTRONICS</v>
      </c>
      <c r="N38" t="str">
        <v>Power Bank</v>
      </c>
      <c r="O38" t="str">
        <v>instore</v>
      </c>
      <c r="P38">
        <v>9</v>
      </c>
      <c r="Q38">
        <v>27.48</v>
      </c>
      <c r="R38" t="str">
        <v>0%</v>
      </c>
      <c r="S38" t="str">
        <v xml:space="preserve">Credit card </v>
      </c>
      <c r="T38" t="str">
        <v>Cancelled</v>
      </c>
      <c r="U38" t="str">
        <v>B. Fernandes</v>
      </c>
      <c r="V38" t="str">
        <v xml:space="preserve">Leave at front desk  </v>
      </c>
      <c r="W38" t="str">
        <v>Zara Lee</v>
      </c>
      <c r="X38" t="str">
        <v>East</v>
      </c>
      <c r="Y38" t="str">
        <v>Electronics</v>
      </c>
      <c r="Z38" t="str">
        <v>In-Store</v>
      </c>
      <c r="AA38" t="str">
        <v>Credit Card</v>
      </c>
      <c r="AB38" t="str">
        <v>Cancelled</v>
      </c>
      <c r="AC38">
        <v>9</v>
      </c>
      <c r="AD38">
        <v>27.48</v>
      </c>
      <c r="AE38">
        <v>45362</v>
      </c>
      <c r="AF38" t="str">
        <v>0%</v>
      </c>
      <c r="AG38" t="str">
        <v>Leave at front desk</v>
      </c>
      <c r="AH38" t="str">
        <v>Standard</v>
      </c>
      <c r="AI38">
        <v>247.32</v>
      </c>
      <c r="AJ38" t="str">
        <v>ORD-1063</v>
      </c>
      <c r="AK38">
        <v>1063</v>
      </c>
      <c r="AL38" t="str">
        <v>Mar-2024</v>
      </c>
      <c r="AM38">
        <v>45382</v>
      </c>
    </row>
    <row r="39" spans="1:39" x14ac:dyDescent="0.25">
      <c r="A39" t="str">
        <v>ORD-1213</v>
      </c>
      <c r="H39" t="str">
        <v>ORD-1069</v>
      </c>
      <c r="I39" t="str">
        <v>28-Jul-24</v>
      </c>
      <c r="J39" t="str">
        <v>Kevin Brown</v>
      </c>
      <c r="K39" t="str">
        <v>West</v>
      </c>
      <c r="L39" t="str">
        <v>Peshawar</v>
      </c>
      <c r="M39" t="str">
        <v xml:space="preserve">Electronics </v>
      </c>
      <c r="N39" t="str">
        <v>USB-C Cable</v>
      </c>
      <c r="O39" t="str">
        <v>Online</v>
      </c>
      <c r="P39">
        <v>4</v>
      </c>
      <c r="Q39">
        <v>495.54</v>
      </c>
      <c r="R39" t="str">
        <v>10%</v>
      </c>
      <c r="S39" t="str">
        <v>Debit Card</v>
      </c>
      <c r="T39" t="str">
        <v>Cancelled</v>
      </c>
      <c r="U39" t="str">
        <v>D. Iqbal</v>
      </c>
      <c r="V39" t="str">
        <v>Gift wrap requested</v>
      </c>
      <c r="W39" t="str">
        <v>Kevin Brown</v>
      </c>
      <c r="X39" t="str">
        <v>West</v>
      </c>
      <c r="Y39" t="str">
        <v>Electronics</v>
      </c>
      <c r="Z39" t="str">
        <v>Online</v>
      </c>
      <c r="AA39" t="str">
        <v>Debit Card</v>
      </c>
      <c r="AB39" t="str">
        <v>Cancelled</v>
      </c>
      <c r="AC39">
        <v>4</v>
      </c>
      <c r="AD39">
        <v>495.54</v>
      </c>
      <c r="AE39">
        <v>45501</v>
      </c>
      <c r="AF39" t="str">
        <v>10%</v>
      </c>
      <c r="AG39" t="str">
        <v>Gift wrap requested</v>
      </c>
      <c r="AH39" t="str">
        <v>High Value</v>
      </c>
      <c r="AI39">
        <v>1982.16</v>
      </c>
      <c r="AJ39" t="str">
        <v>ORD-1069</v>
      </c>
      <c r="AK39">
        <v>1069</v>
      </c>
      <c r="AL39" t="str">
        <v>Jul-2024</v>
      </c>
      <c r="AM39">
        <v>45504</v>
      </c>
    </row>
    <row r="40" spans="1:39" x14ac:dyDescent="0.25">
      <c r="A40" t="str">
        <v>ORD-1202</v>
      </c>
      <c r="H40" t="str">
        <v>ORD-1146</v>
      </c>
      <c r="I40" t="str">
        <v>2024-06-16</v>
      </c>
      <c r="J40" t="str">
        <v>ROBERT AHMED</v>
      </c>
      <c r="K40" t="str">
        <v>EAST</v>
      </c>
      <c r="L40" t="str">
        <v>Multan</v>
      </c>
      <c r="M40" t="str">
        <v xml:space="preserve">Electronics </v>
      </c>
      <c r="N40" t="str">
        <v>Wireless Mouse</v>
      </c>
      <c r="O40" t="str">
        <v>ONLINE</v>
      </c>
      <c r="P40">
        <v>4</v>
      </c>
      <c r="Q40">
        <v>490.8</v>
      </c>
      <c r="R40">
        <v>0</v>
      </c>
      <c r="S40" t="str">
        <v>Debit card</v>
      </c>
      <c r="T40" t="str">
        <v>Cancelled</v>
      </c>
      <c r="U40" t="str">
        <v>C. Osei</v>
      </c>
      <c r="V40" t="str">
        <v>Bulk order - business account</v>
      </c>
      <c r="W40" t="str">
        <v>Robert Ahmed</v>
      </c>
      <c r="X40" t="str">
        <v>East</v>
      </c>
      <c r="Y40" t="str">
        <v>Electronics</v>
      </c>
      <c r="Z40" t="str">
        <v>Online</v>
      </c>
      <c r="AA40" t="str">
        <v>Debit Card</v>
      </c>
      <c r="AB40" t="str">
        <v>Cancelled</v>
      </c>
      <c r="AC40">
        <v>4</v>
      </c>
      <c r="AD40">
        <v>490.8</v>
      </c>
      <c r="AE40">
        <v>45459</v>
      </c>
      <c r="AF40">
        <v>0</v>
      </c>
      <c r="AG40" t="str">
        <v>Bulk order - business account</v>
      </c>
      <c r="AH40" t="str">
        <v>High Value</v>
      </c>
      <c r="AI40">
        <v>1963.2</v>
      </c>
      <c r="AJ40" t="str">
        <v>ORD-1146</v>
      </c>
      <c r="AK40">
        <v>1146</v>
      </c>
      <c r="AL40" t="str">
        <v>Jun-2024</v>
      </c>
      <c r="AM40">
        <v>45473</v>
      </c>
    </row>
    <row r="41" spans="1:39" x14ac:dyDescent="0.25">
      <c r="A41" t="str">
        <v>ORD-1126</v>
      </c>
      <c r="H41" t="str">
        <v>ORD-1220</v>
      </c>
      <c r="I41" t="str">
        <v>03-Jan-24</v>
      </c>
      <c r="J41" t="str">
        <v xml:space="preserve"> Noah Garcia</v>
      </c>
      <c r="K41" t="str">
        <v xml:space="preserve">North </v>
      </c>
      <c r="L41" t="str">
        <v>Faisalabad</v>
      </c>
      <c r="M41" t="str">
        <v xml:space="preserve">Electronics </v>
      </c>
      <c r="N41" t="str">
        <v>Bluetooth Speaker</v>
      </c>
      <c r="O41" t="str">
        <v xml:space="preserve">In-store </v>
      </c>
      <c r="P41">
        <v>10</v>
      </c>
      <c r="Q41">
        <v>481.83</v>
      </c>
      <c r="R41" t="str">
        <v>5%</v>
      </c>
      <c r="S41" t="str">
        <v>Debit card</v>
      </c>
      <c r="T41" t="str">
        <v>Canceled</v>
      </c>
      <c r="U41" t="str">
        <v>E. Tanaka</v>
      </c>
      <c r="V41" t="str">
        <v xml:space="preserve">Follow up needed	</v>
      </c>
      <c r="W41" t="str">
        <v>Noah Garcia</v>
      </c>
      <c r="X41" t="str">
        <v>North</v>
      </c>
      <c r="Y41" t="str">
        <v>Electronics</v>
      </c>
      <c r="Z41" t="str">
        <v>In-Store</v>
      </c>
      <c r="AA41" t="str">
        <v>Debit Card</v>
      </c>
      <c r="AB41" t="str">
        <v>Cancelled</v>
      </c>
      <c r="AC41">
        <v>10</v>
      </c>
      <c r="AD41">
        <v>481.83</v>
      </c>
      <c r="AE41">
        <v>45294</v>
      </c>
      <c r="AF41" t="str">
        <v>5%</v>
      </c>
      <c r="AG41" t="str">
        <v>Follow up needed</v>
      </c>
      <c r="AH41" t="str">
        <v>High Value</v>
      </c>
      <c r="AI41">
        <v>4818.3</v>
      </c>
      <c r="AJ41" t="str">
        <v>ORD-1220</v>
      </c>
      <c r="AK41">
        <v>1220</v>
      </c>
      <c r="AL41" t="str">
        <v>Jan-2024</v>
      </c>
      <c r="AM41">
        <v>45322</v>
      </c>
    </row>
    <row r="42" spans="1:39" x14ac:dyDescent="0.25">
      <c r="A42" t="str">
        <v>ORD-1079</v>
      </c>
      <c r="H42" t="str">
        <v>ORD-1221</v>
      </c>
      <c r="I42" t="str">
        <v>14/12/2024</v>
      </c>
      <c r="J42" t="str">
        <v>Olivia Clark</v>
      </c>
      <c r="K42" t="str">
        <v xml:space="preserve"> North</v>
      </c>
      <c r="L42" t="str">
        <v>Lahore</v>
      </c>
      <c r="M42" t="str">
        <v xml:space="preserve">Electronics </v>
      </c>
      <c r="N42" t="str">
        <v>Bluetooth Speaker</v>
      </c>
      <c r="O42" t="str">
        <v xml:space="preserve">In-store </v>
      </c>
      <c r="P42">
        <v>10</v>
      </c>
      <c r="Q42">
        <v>224.17</v>
      </c>
      <c r="R42">
        <v>0.05</v>
      </c>
      <c r="S42" t="str">
        <v>bank transfer</v>
      </c>
      <c r="T42" t="str">
        <v>cancelled</v>
      </c>
      <c r="U42" t="str">
        <v>D. Iqbal</v>
      </c>
      <c r="V42" t="str">
        <v>Gift wrap requested</v>
      </c>
      <c r="W42" t="str">
        <v>Olivia Clark</v>
      </c>
      <c r="X42" t="str">
        <v>North</v>
      </c>
      <c r="Y42" t="str">
        <v>Electronics</v>
      </c>
      <c r="Z42" t="str">
        <v>In-Store</v>
      </c>
      <c r="AA42" t="str">
        <v>Bank Transfer</v>
      </c>
      <c r="AB42" t="str">
        <v>Cancelled</v>
      </c>
      <c r="AC42">
        <v>10</v>
      </c>
      <c r="AD42">
        <v>224.17</v>
      </c>
      <c r="AE42">
        <v>45640</v>
      </c>
      <c r="AF42">
        <v>0.05</v>
      </c>
      <c r="AG42" t="str">
        <v>Gift wrap requested</v>
      </c>
      <c r="AH42" t="str">
        <v>High Value</v>
      </c>
      <c r="AI42">
        <v>2241.6999999999998</v>
      </c>
      <c r="AJ42" t="str">
        <v>ORD-1221</v>
      </c>
      <c r="AK42">
        <v>1221</v>
      </c>
      <c r="AL42" t="str">
        <v>Dec-2024</v>
      </c>
      <c r="AM42">
        <v>45657</v>
      </c>
    </row>
    <row r="43" spans="1:39" x14ac:dyDescent="0.25">
      <c r="A43" t="str">
        <v>ORD-1196</v>
      </c>
      <c r="H43" t="str">
        <v>ORD-1078</v>
      </c>
      <c r="I43" t="str">
        <v>04/03/2024</v>
      </c>
      <c r="J43" t="str">
        <v>james smith</v>
      </c>
      <c r="K43" t="str">
        <v>NORTH</v>
      </c>
      <c r="L43" t="str">
        <v>Islamabad</v>
      </c>
      <c r="M43" t="str">
        <v xml:space="preserve">Electronics </v>
      </c>
      <c r="N43" t="str">
        <v>Bluetooth Speaker</v>
      </c>
      <c r="O43" t="str">
        <v>ONLINE</v>
      </c>
      <c r="P43">
        <v>1</v>
      </c>
      <c r="Q43">
        <v>172.58</v>
      </c>
      <c r="R43">
        <v>0.15</v>
      </c>
      <c r="S43" t="str">
        <v>Bank Transfer</v>
      </c>
      <c r="T43" t="str">
        <v>CANCELLED</v>
      </c>
      <c r="U43">
        <v>0</v>
      </c>
      <c r="V43" t="str">
        <v xml:space="preserve">  Customer called twice </v>
      </c>
      <c r="W43" t="str">
        <v>James Smith</v>
      </c>
      <c r="X43" t="str">
        <v>North</v>
      </c>
      <c r="Y43" t="str">
        <v>Electronics</v>
      </c>
      <c r="Z43" t="str">
        <v>Online</v>
      </c>
      <c r="AA43" t="str">
        <v>Bank Transfer</v>
      </c>
      <c r="AB43" t="str">
        <v>Cancelled</v>
      </c>
      <c r="AC43">
        <v>1</v>
      </c>
      <c r="AD43">
        <v>172.58</v>
      </c>
      <c r="AE43">
        <v>45385</v>
      </c>
      <c r="AF43">
        <v>0.15</v>
      </c>
      <c r="AG43" t="str">
        <v>Customer called twice</v>
      </c>
      <c r="AH43" t="str">
        <v>Standard</v>
      </c>
      <c r="AI43">
        <v>172.58</v>
      </c>
      <c r="AJ43" t="str">
        <v>ORD-1078</v>
      </c>
      <c r="AK43">
        <v>1078</v>
      </c>
      <c r="AL43" t="str">
        <v>Apr-2024</v>
      </c>
      <c r="AM43">
        <v>45412</v>
      </c>
    </row>
    <row r="44" spans="1:39" x14ac:dyDescent="0.25">
      <c r="A44" t="str">
        <v>ORD-1196</v>
      </c>
      <c r="H44" t="str">
        <v>ORD-1029</v>
      </c>
      <c r="I44" t="str">
        <v>November 06, 2024</v>
      </c>
      <c r="J44" t="str">
        <v xml:space="preserve">Laura Johnson </v>
      </c>
      <c r="K44" t="str">
        <v>North</v>
      </c>
      <c r="L44" t="str">
        <v>Islamabad</v>
      </c>
      <c r="M44" t="str">
        <v xml:space="preserve">Electronics </v>
      </c>
      <c r="N44" t="str">
        <v>USB-C Cable</v>
      </c>
      <c r="O44" t="str">
        <v xml:space="preserve">Online </v>
      </c>
      <c r="P44">
        <v>3</v>
      </c>
      <c r="Q44">
        <v>61.62</v>
      </c>
      <c r="R44">
        <v>0.1</v>
      </c>
      <c r="S44" t="str">
        <v>bank transfer</v>
      </c>
      <c r="T44" t="str">
        <v>cancelled</v>
      </c>
      <c r="U44" t="str">
        <v>B. Fernandes</v>
      </c>
      <c r="V44" t="str">
        <v xml:space="preserve">  Customer called twice </v>
      </c>
      <c r="W44" t="str">
        <v>Laura Johnson</v>
      </c>
      <c r="X44" t="str">
        <v>North</v>
      </c>
      <c r="Y44" t="str">
        <v>Electronics</v>
      </c>
      <c r="Z44" t="str">
        <v>Online</v>
      </c>
      <c r="AA44" t="str">
        <v>Bank Transfer</v>
      </c>
      <c r="AB44" t="str">
        <v>Cancelled</v>
      </c>
      <c r="AC44">
        <v>3</v>
      </c>
      <c r="AD44">
        <v>61.62</v>
      </c>
      <c r="AE44">
        <v>45602</v>
      </c>
      <c r="AF44">
        <v>0.1</v>
      </c>
      <c r="AG44" t="str">
        <v>Customer called twice</v>
      </c>
      <c r="AH44" t="str">
        <v>Standard</v>
      </c>
      <c r="AI44">
        <v>184.85999999999999</v>
      </c>
      <c r="AJ44" t="str">
        <v>ORD-1029</v>
      </c>
      <c r="AK44">
        <v>1029</v>
      </c>
      <c r="AL44" t="str">
        <v>Nov-2024</v>
      </c>
      <c r="AM44">
        <v>45626</v>
      </c>
    </row>
    <row r="45" spans="1:39" x14ac:dyDescent="0.25">
      <c r="A45" t="str">
        <v>ORD-1003</v>
      </c>
      <c r="H45" t="str">
        <v>ORD-1142</v>
      </c>
      <c r="I45" t="str">
        <v>2024-10-27</v>
      </c>
      <c r="J45" t="str">
        <v>YUSUF KHAN</v>
      </c>
      <c r="K45" t="str">
        <v xml:space="preserve"> East</v>
      </c>
      <c r="L45" t="str">
        <v>Sialkot</v>
      </c>
      <c r="M45" t="str">
        <v xml:space="preserve">Electronics </v>
      </c>
      <c r="N45" t="str">
        <v>Power Bank</v>
      </c>
      <c r="O45" t="str">
        <v>ONLINE</v>
      </c>
      <c r="P45" t="str">
        <v xml:space="preserve"> 5 </v>
      </c>
      <c r="Q45">
        <v>44.12</v>
      </c>
      <c r="R45">
        <v>0.05</v>
      </c>
      <c r="S45" t="str">
        <v>Cash</v>
      </c>
      <c r="T45" t="str">
        <v>cancelled</v>
      </c>
      <c r="U45" t="str">
        <v>D. Iqbal</v>
      </c>
      <c r="V45" t="str">
        <v xml:space="preserve">Leave at front desk  </v>
      </c>
      <c r="W45" t="str">
        <v>Yusuf Khan</v>
      </c>
      <c r="X45" t="str">
        <v>East</v>
      </c>
      <c r="Y45" t="str">
        <v>Electronics</v>
      </c>
      <c r="Z45" t="str">
        <v>Online</v>
      </c>
      <c r="AA45" t="str">
        <v>Cash</v>
      </c>
      <c r="AB45" t="str">
        <v>Cancelled</v>
      </c>
      <c r="AC45">
        <v>5</v>
      </c>
      <c r="AD45">
        <v>44.12</v>
      </c>
      <c r="AE45">
        <v>45592</v>
      </c>
      <c r="AF45">
        <v>0.05</v>
      </c>
      <c r="AG45" t="str">
        <v>Leave at front desk</v>
      </c>
      <c r="AH45" t="str">
        <v>Standard</v>
      </c>
      <c r="AI45">
        <v>220.6</v>
      </c>
      <c r="AJ45" t="str">
        <v>ORD-1142</v>
      </c>
      <c r="AK45">
        <v>1142</v>
      </c>
      <c r="AL45" t="str">
        <v>Oct-2024</v>
      </c>
      <c r="AM45">
        <v>45596</v>
      </c>
    </row>
    <row r="46" spans="1:39" x14ac:dyDescent="0.25">
      <c r="A46" t="str">
        <v>ORD-1118</v>
      </c>
      <c r="H46" t="str">
        <v>ORD-1170</v>
      </c>
      <c r="I46" t="str">
        <v>2024-03-04</v>
      </c>
      <c r="J46" t="str">
        <v xml:space="preserve"> Chen Brown</v>
      </c>
      <c r="K46" t="str">
        <v>north</v>
      </c>
      <c r="L46" t="str">
        <v>Islamabad</v>
      </c>
      <c r="M46" t="str">
        <v>Furniture</v>
      </c>
      <c r="N46" t="str">
        <v>Study Desk</v>
      </c>
      <c r="O46" t="str">
        <v>Online</v>
      </c>
      <c r="P46">
        <v>0</v>
      </c>
      <c r="Q46" t="str">
        <v xml:space="preserve"> 183.39 </v>
      </c>
      <c r="R46">
        <v>0.15</v>
      </c>
      <c r="S46" t="str">
        <v>Cash</v>
      </c>
      <c r="T46" t="str">
        <v>Canceled</v>
      </c>
      <c r="U46">
        <v>0</v>
      </c>
      <c r="V46" t="str">
        <v>VIP customer</v>
      </c>
      <c r="W46" t="str">
        <v>Chen Brown</v>
      </c>
      <c r="X46" t="str">
        <v>North</v>
      </c>
      <c r="Y46" t="str">
        <v>Furniture</v>
      </c>
      <c r="Z46" t="str">
        <v>Online</v>
      </c>
      <c r="AA46" t="str">
        <v>Cash</v>
      </c>
      <c r="AB46" t="str">
        <v>Cancelled</v>
      </c>
      <c r="AC46" t="str">
        <v/>
      </c>
      <c r="AD46">
        <v>183.39</v>
      </c>
      <c r="AE46">
        <v>45355</v>
      </c>
      <c r="AF46">
        <v>0.15</v>
      </c>
      <c r="AG46" t="str">
        <v>VIP customer</v>
      </c>
      <c r="AH46" t="str">
        <v>Review</v>
      </c>
      <c r="AI46">
        <v>0</v>
      </c>
      <c r="AJ46" t="str">
        <v>ORD-1170</v>
      </c>
      <c r="AK46">
        <v>1170</v>
      </c>
      <c r="AL46" t="str">
        <v>Mar-2024</v>
      </c>
      <c r="AM46">
        <v>45382</v>
      </c>
    </row>
    <row r="47" spans="1:39" x14ac:dyDescent="0.25">
      <c r="A47" t="str">
        <v>ORD-1107</v>
      </c>
      <c r="H47" t="str">
        <v>ORD-1172</v>
      </c>
      <c r="I47" t="str">
        <v>23-Aug-24</v>
      </c>
      <c r="J47" t="str">
        <v xml:space="preserve"> James Hussain</v>
      </c>
      <c r="K47" t="str">
        <v xml:space="preserve">North </v>
      </c>
      <c r="L47" t="str">
        <v>Islamabad</v>
      </c>
      <c r="M47" t="str">
        <v>furniture</v>
      </c>
      <c r="N47" t="str">
        <v>Sofa Set</v>
      </c>
      <c r="O47" t="str">
        <v>Online</v>
      </c>
      <c r="P47">
        <v>4</v>
      </c>
      <c r="Q47">
        <v>403.52</v>
      </c>
      <c r="R47">
        <v>0.1</v>
      </c>
      <c r="S47" t="str">
        <v>debit card</v>
      </c>
      <c r="T47" t="str">
        <v>Canceled</v>
      </c>
      <c r="U47" t="str">
        <v>C. Osei</v>
      </c>
      <c r="V47" t="str">
        <v>VIP customer</v>
      </c>
      <c r="W47" t="str">
        <v>James Hussain</v>
      </c>
      <c r="X47" t="str">
        <v>North</v>
      </c>
      <c r="Y47" t="str">
        <v>Furniture</v>
      </c>
      <c r="Z47" t="str">
        <v>Online</v>
      </c>
      <c r="AA47" t="str">
        <v>Debit Card</v>
      </c>
      <c r="AB47" t="str">
        <v>Cancelled</v>
      </c>
      <c r="AC47">
        <v>4</v>
      </c>
      <c r="AD47">
        <v>403.52</v>
      </c>
      <c r="AE47">
        <v>45527</v>
      </c>
      <c r="AF47">
        <v>0.1</v>
      </c>
      <c r="AG47" t="str">
        <v>VIP customer</v>
      </c>
      <c r="AH47" t="str">
        <v>High Value</v>
      </c>
      <c r="AI47">
        <v>1614.08</v>
      </c>
      <c r="AJ47" t="str">
        <v>ORD-1172</v>
      </c>
      <c r="AK47">
        <v>1172</v>
      </c>
      <c r="AL47" t="str">
        <v>Aug-2024</v>
      </c>
      <c r="AM47">
        <v>45535</v>
      </c>
    </row>
    <row r="48" spans="1:39" x14ac:dyDescent="0.25">
      <c r="A48" t="str">
        <v>ORD-1063</v>
      </c>
      <c r="H48" t="str">
        <v>ORD-1184</v>
      </c>
      <c r="I48" t="str">
        <v>21-Aug-24</v>
      </c>
      <c r="J48" t="str">
        <v>Sana Ali</v>
      </c>
      <c r="K48" t="str">
        <v>North</v>
      </c>
      <c r="L48" t="str">
        <v>Islamabad</v>
      </c>
      <c r="M48" t="str">
        <v>FURNITURE</v>
      </c>
      <c r="N48" t="str">
        <v>Bookshelf</v>
      </c>
      <c r="O48" t="str">
        <v>instore</v>
      </c>
      <c r="P48">
        <v>10</v>
      </c>
      <c r="Q48">
        <v>367.87</v>
      </c>
      <c r="R48">
        <v>0</v>
      </c>
      <c r="S48" t="str">
        <v>credit card</v>
      </c>
      <c r="T48" t="str">
        <v>Canceled</v>
      </c>
      <c r="U48" t="str">
        <v>D. Iqbal</v>
      </c>
      <c r="V48" t="str">
        <v xml:space="preserve">  </v>
      </c>
      <c r="W48" t="str">
        <v>Sana Ali</v>
      </c>
      <c r="X48" t="str">
        <v>North</v>
      </c>
      <c r="Y48" t="str">
        <v>Furniture</v>
      </c>
      <c r="Z48" t="str">
        <v>In-Store</v>
      </c>
      <c r="AA48" t="str">
        <v>Credit Card</v>
      </c>
      <c r="AB48" t="str">
        <v>Cancelled</v>
      </c>
      <c r="AC48">
        <v>10</v>
      </c>
      <c r="AD48">
        <v>367.87</v>
      </c>
      <c r="AE48">
        <v>45525</v>
      </c>
      <c r="AF48">
        <v>0</v>
      </c>
      <c r="AG48" t="str">
        <v/>
      </c>
      <c r="AH48" t="str">
        <v>High Value</v>
      </c>
      <c r="AI48">
        <v>3678.7</v>
      </c>
      <c r="AJ48" t="str">
        <v>ORD-1184</v>
      </c>
      <c r="AK48">
        <v>1184</v>
      </c>
      <c r="AL48" t="str">
        <v>Aug-2024</v>
      </c>
      <c r="AM48">
        <v>45535</v>
      </c>
    </row>
    <row r="49" spans="1:39" x14ac:dyDescent="0.25">
      <c r="A49" t="str">
        <v>ORD-1069</v>
      </c>
      <c r="H49" t="str">
        <v>ORD-1048</v>
      </c>
      <c r="I49" t="str">
        <v>10/05/2024</v>
      </c>
      <c r="J49" t="str">
        <v>FATIMA SHEIKH</v>
      </c>
      <c r="K49" t="str">
        <v>south</v>
      </c>
      <c r="L49" t="str">
        <v>Hyderabad</v>
      </c>
      <c r="M49" t="str">
        <v>furniture</v>
      </c>
      <c r="N49" t="str">
        <v>Study Desk</v>
      </c>
      <c r="O49" t="str">
        <v>online</v>
      </c>
      <c r="P49">
        <v>10</v>
      </c>
      <c r="Q49">
        <v>311.76</v>
      </c>
      <c r="R49">
        <v>0.05</v>
      </c>
      <c r="S49" t="str">
        <v xml:space="preserve">Credit card </v>
      </c>
      <c r="T49" t="str">
        <v>CANCELLED</v>
      </c>
      <c r="U49">
        <v>0</v>
      </c>
      <c r="V49" t="str">
        <v xml:space="preserve">Leave at front desk  </v>
      </c>
      <c r="W49" t="str">
        <v>Fatima Sheikh</v>
      </c>
      <c r="X49" t="str">
        <v>South</v>
      </c>
      <c r="Y49" t="str">
        <v>Furniture</v>
      </c>
      <c r="Z49" t="str">
        <v>Online</v>
      </c>
      <c r="AA49" t="str">
        <v>Credit Card</v>
      </c>
      <c r="AB49" t="str">
        <v>Cancelled</v>
      </c>
      <c r="AC49">
        <v>10</v>
      </c>
      <c r="AD49">
        <v>311.76</v>
      </c>
      <c r="AE49">
        <v>45570</v>
      </c>
      <c r="AF49">
        <v>0.05</v>
      </c>
      <c r="AG49" t="str">
        <v>Leave at front desk</v>
      </c>
      <c r="AH49" t="str">
        <v>High Value</v>
      </c>
      <c r="AI49">
        <v>3117.6</v>
      </c>
      <c r="AJ49" t="str">
        <v>ORD-1048</v>
      </c>
      <c r="AK49">
        <v>1048</v>
      </c>
      <c r="AL49" t="str">
        <v>Oct-2024</v>
      </c>
      <c r="AM49">
        <v>45596</v>
      </c>
    </row>
    <row r="50" spans="1:39" x14ac:dyDescent="0.25">
      <c r="A50" t="str">
        <v>ORD-1146</v>
      </c>
      <c r="H50" t="str">
        <v>ORD-1193</v>
      </c>
      <c r="I50" t="str">
        <v>2024-09-24</v>
      </c>
      <c r="J50" t="str">
        <v xml:space="preserve"> Ahmed Garcia</v>
      </c>
      <c r="K50" t="str">
        <v>EAST</v>
      </c>
      <c r="L50" t="str">
        <v>Multan</v>
      </c>
      <c r="M50" t="str">
        <v>FURNITURE</v>
      </c>
      <c r="N50" t="str">
        <v>Office Chair</v>
      </c>
      <c r="O50" t="str">
        <v>in-store</v>
      </c>
      <c r="P50">
        <v>9</v>
      </c>
      <c r="Q50">
        <v>287.47000000000003</v>
      </c>
      <c r="R50">
        <v>0.2</v>
      </c>
      <c r="S50" t="str">
        <v>CC</v>
      </c>
      <c r="T50" t="str">
        <v>Canceled</v>
      </c>
      <c r="U50" t="str">
        <v>A. Malik</v>
      </c>
      <c r="V50" t="str">
        <v>Gift wrap requested</v>
      </c>
      <c r="W50" t="str">
        <v>Ahmed Garcia</v>
      </c>
      <c r="X50" t="str">
        <v>East</v>
      </c>
      <c r="Y50" t="str">
        <v>Furniture</v>
      </c>
      <c r="Z50" t="str">
        <v>In-Store</v>
      </c>
      <c r="AA50" t="str">
        <v>Credit Card</v>
      </c>
      <c r="AB50" t="str">
        <v>Cancelled</v>
      </c>
      <c r="AC50">
        <v>9</v>
      </c>
      <c r="AD50">
        <v>287.47000000000003</v>
      </c>
      <c r="AE50">
        <v>45559</v>
      </c>
      <c r="AF50">
        <v>0.2</v>
      </c>
      <c r="AG50" t="str">
        <v>Gift wrap requested</v>
      </c>
      <c r="AH50" t="str">
        <v>High Value</v>
      </c>
      <c r="AI50">
        <v>2587.2300000000005</v>
      </c>
      <c r="AJ50" t="str">
        <v>ORD-1193</v>
      </c>
      <c r="AK50">
        <v>1193</v>
      </c>
      <c r="AL50" t="str">
        <v>Sep-2024</v>
      </c>
      <c r="AM50">
        <v>45565</v>
      </c>
    </row>
    <row r="51" spans="1:39" x14ac:dyDescent="0.25">
      <c r="A51" t="str">
        <v>ORD-1220</v>
      </c>
      <c r="H51" t="str">
        <v>ORD-1133</v>
      </c>
      <c r="I51" t="str">
        <v>2024-12-13</v>
      </c>
      <c r="J51" t="str">
        <v xml:space="preserve">Liam Qureshi </v>
      </c>
      <c r="K51" t="str">
        <v>west</v>
      </c>
      <c r="L51" t="str">
        <v>Quetta</v>
      </c>
      <c r="M51" t="str">
        <v>Furniture</v>
      </c>
      <c r="N51" t="str">
        <v>Sofa Set</v>
      </c>
      <c r="O51" t="str">
        <v>in-store</v>
      </c>
      <c r="P51">
        <v>9</v>
      </c>
      <c r="Q51">
        <v>271.69</v>
      </c>
      <c r="R51">
        <v>0.1</v>
      </c>
      <c r="S51" t="str">
        <v>cash</v>
      </c>
      <c r="T51" t="str">
        <v>Cancelled</v>
      </c>
      <c r="U51" t="str">
        <v>E. Tanaka</v>
      </c>
      <c r="V51" t="str">
        <v xml:space="preserve">Follow up needed	</v>
      </c>
      <c r="W51" t="str">
        <v>Liam Qureshi</v>
      </c>
      <c r="X51" t="str">
        <v>West</v>
      </c>
      <c r="Y51" t="str">
        <v>Furniture</v>
      </c>
      <c r="Z51" t="str">
        <v>In-Store</v>
      </c>
      <c r="AA51" t="str">
        <v>Cash</v>
      </c>
      <c r="AB51" t="str">
        <v>Cancelled</v>
      </c>
      <c r="AC51">
        <v>9</v>
      </c>
      <c r="AD51">
        <v>271.69</v>
      </c>
      <c r="AE51">
        <v>45639</v>
      </c>
      <c r="AF51">
        <v>0.1</v>
      </c>
      <c r="AG51" t="str">
        <v>Follow up needed</v>
      </c>
      <c r="AH51" t="str">
        <v>High Value</v>
      </c>
      <c r="AI51">
        <v>2445.21</v>
      </c>
      <c r="AJ51" t="str">
        <v>ORD-1133</v>
      </c>
      <c r="AK51">
        <v>1133</v>
      </c>
      <c r="AL51" t="str">
        <v>Dec-2024</v>
      </c>
      <c r="AM51">
        <v>45657</v>
      </c>
    </row>
    <row r="52" spans="1:39" x14ac:dyDescent="0.25">
      <c r="A52" t="str">
        <v>ORD-1221</v>
      </c>
      <c r="H52" t="str">
        <v>ORD-1010</v>
      </c>
      <c r="I52" t="str">
        <v>2024-06-22</v>
      </c>
      <c r="J52" t="str">
        <v xml:space="preserve">Grace Brown </v>
      </c>
      <c r="K52" t="str">
        <v>west</v>
      </c>
      <c r="L52" t="str">
        <v>Peshawar</v>
      </c>
      <c r="M52" t="str">
        <v>Furniture</v>
      </c>
      <c r="N52" t="str">
        <v>Office Chair</v>
      </c>
      <c r="O52" t="str">
        <v>In Store</v>
      </c>
      <c r="P52">
        <v>6</v>
      </c>
      <c r="Q52">
        <v>236.18</v>
      </c>
      <c r="R52" t="str">
        <v>0%</v>
      </c>
      <c r="S52" t="str">
        <v>Credit Card</v>
      </c>
      <c r="T52" t="str">
        <v>Canceled</v>
      </c>
      <c r="U52">
        <v>0</v>
      </c>
      <c r="V52" t="str">
        <v>VIP customer</v>
      </c>
      <c r="W52" t="str">
        <v>Grace Brown</v>
      </c>
      <c r="X52" t="str">
        <v>West</v>
      </c>
      <c r="Y52" t="str">
        <v>Furniture</v>
      </c>
      <c r="Z52" t="str">
        <v>In-Store</v>
      </c>
      <c r="AA52" t="str">
        <v>Credit Card</v>
      </c>
      <c r="AB52" t="str">
        <v>Cancelled</v>
      </c>
      <c r="AC52">
        <v>6</v>
      </c>
      <c r="AD52">
        <v>236.18</v>
      </c>
      <c r="AE52">
        <v>45465</v>
      </c>
      <c r="AF52" t="str">
        <v>0%</v>
      </c>
      <c r="AG52" t="str">
        <v>VIP customer</v>
      </c>
      <c r="AH52" t="str">
        <v>High Value</v>
      </c>
      <c r="AI52">
        <v>1417.08</v>
      </c>
      <c r="AJ52" t="str">
        <v>ORD-1010</v>
      </c>
      <c r="AK52">
        <v>1010</v>
      </c>
      <c r="AL52" t="str">
        <v>Jun-2024</v>
      </c>
      <c r="AM52">
        <v>45473</v>
      </c>
    </row>
    <row r="53" spans="1:39" x14ac:dyDescent="0.25">
      <c r="A53" t="str">
        <v>ORD-1078</v>
      </c>
      <c r="H53" t="str">
        <v>ORD-1149</v>
      </c>
      <c r="I53" t="str">
        <v>02/08/2024</v>
      </c>
      <c r="J53" t="str">
        <v xml:space="preserve">Kevin Brown </v>
      </c>
      <c r="K53" t="str">
        <v>West</v>
      </c>
      <c r="L53" t="str">
        <v>Quetta</v>
      </c>
      <c r="M53" t="str">
        <v>furniture</v>
      </c>
      <c r="N53" t="str">
        <v>Bookshelf</v>
      </c>
      <c r="O53" t="str">
        <v>In-Store</v>
      </c>
      <c r="P53">
        <v>6</v>
      </c>
      <c r="Q53">
        <v>199.51</v>
      </c>
      <c r="R53">
        <v>0</v>
      </c>
      <c r="S53" t="str">
        <v>Debit card</v>
      </c>
      <c r="T53" t="str">
        <v>Cancelled</v>
      </c>
      <c r="U53" t="str">
        <v>B. Fernandes</v>
      </c>
      <c r="V53" t="str">
        <v xml:space="preserve">Follow up needed	</v>
      </c>
      <c r="W53" t="str">
        <v>Kevin Brown</v>
      </c>
      <c r="X53" t="str">
        <v>West</v>
      </c>
      <c r="Y53" t="str">
        <v>Furniture</v>
      </c>
      <c r="Z53" t="str">
        <v>In-Store</v>
      </c>
      <c r="AA53" t="str">
        <v>Debit Card</v>
      </c>
      <c r="AB53" t="str">
        <v>Cancelled</v>
      </c>
      <c r="AC53">
        <v>6</v>
      </c>
      <c r="AD53">
        <v>199.51</v>
      </c>
      <c r="AE53">
        <v>45330</v>
      </c>
      <c r="AF53">
        <v>0</v>
      </c>
      <c r="AG53" t="str">
        <v>Follow up needed</v>
      </c>
      <c r="AH53" t="str">
        <v>High Value</v>
      </c>
      <c r="AI53">
        <v>1197.06</v>
      </c>
      <c r="AJ53" t="str">
        <v>ORD-1149</v>
      </c>
      <c r="AK53">
        <v>1149</v>
      </c>
      <c r="AL53" t="str">
        <v>Feb-2024</v>
      </c>
      <c r="AM53">
        <v>45351</v>
      </c>
    </row>
    <row r="54" spans="1:39" x14ac:dyDescent="0.25">
      <c r="A54" t="str">
        <v>ORD-1029</v>
      </c>
      <c r="H54" t="str">
        <v>ORD-1101</v>
      </c>
      <c r="I54" t="str">
        <v>07/03/2024</v>
      </c>
      <c r="J54" t="str">
        <v xml:space="preserve">Michael Anderson </v>
      </c>
      <c r="K54" t="str">
        <v>north</v>
      </c>
      <c r="L54" t="str">
        <v>Islamabad</v>
      </c>
      <c r="M54" t="str">
        <v>Furniture</v>
      </c>
      <c r="N54" t="str">
        <v>Bookshelf</v>
      </c>
      <c r="O54" t="str">
        <v>In Store</v>
      </c>
      <c r="P54">
        <v>4</v>
      </c>
      <c r="Q54">
        <v>137.16</v>
      </c>
      <c r="R54" t="str">
        <v>20%</v>
      </c>
      <c r="S54" t="str">
        <v>Credit Card</v>
      </c>
      <c r="T54" t="str">
        <v>Cancelled</v>
      </c>
      <c r="U54">
        <v>0</v>
      </c>
      <c r="V54" t="str">
        <v>Gift wrap requested</v>
      </c>
      <c r="W54" t="str">
        <v>Michael Anderson</v>
      </c>
      <c r="X54" t="str">
        <v>North</v>
      </c>
      <c r="Y54" t="str">
        <v>Furniture</v>
      </c>
      <c r="Z54" t="str">
        <v>In-Store</v>
      </c>
      <c r="AA54" t="str">
        <v>Credit Card</v>
      </c>
      <c r="AB54" t="str">
        <v>Cancelled</v>
      </c>
      <c r="AC54">
        <v>4</v>
      </c>
      <c r="AD54">
        <v>137.16</v>
      </c>
      <c r="AE54">
        <v>45476</v>
      </c>
      <c r="AF54" t="str">
        <v>20%</v>
      </c>
      <c r="AG54" t="str">
        <v>Gift wrap requested</v>
      </c>
      <c r="AH54" t="str">
        <v>Standard</v>
      </c>
      <c r="AI54">
        <v>548.64</v>
      </c>
      <c r="AJ54" t="str">
        <v>ORD-1101</v>
      </c>
      <c r="AK54">
        <v>1101</v>
      </c>
      <c r="AL54" t="str">
        <v>Jul-2024</v>
      </c>
      <c r="AM54">
        <v>45504</v>
      </c>
    </row>
    <row r="55" spans="1:39" x14ac:dyDescent="0.25">
      <c r="A55" t="str">
        <v>ORD-1142</v>
      </c>
      <c r="H55" t="str">
        <v>ORD-1167</v>
      </c>
      <c r="I55" t="str">
        <v>01/12/2024</v>
      </c>
      <c r="J55" t="str">
        <v xml:space="preserve"> Liam Wilson</v>
      </c>
      <c r="K55" t="str">
        <v>West</v>
      </c>
      <c r="L55" t="str">
        <v>Peshawar</v>
      </c>
      <c r="M55" t="str">
        <v>furniture</v>
      </c>
      <c r="N55" t="str">
        <v>Sofa Set</v>
      </c>
      <c r="O55" t="str">
        <v>online</v>
      </c>
      <c r="P55">
        <v>2</v>
      </c>
      <c r="Q55">
        <v>54.99</v>
      </c>
      <c r="R55">
        <v>0.1</v>
      </c>
      <c r="S55" t="str">
        <v>debit card</v>
      </c>
      <c r="T55" t="str">
        <v>Cancelled</v>
      </c>
      <c r="U55" t="str">
        <v>D. Iqbal</v>
      </c>
      <c r="V55" t="str">
        <v>Damaged on arrival - replaced</v>
      </c>
      <c r="W55" t="str">
        <v>Liam Wilson</v>
      </c>
      <c r="X55" t="str">
        <v>West</v>
      </c>
      <c r="Y55" t="str">
        <v>Furniture</v>
      </c>
      <c r="Z55" t="str">
        <v>Online</v>
      </c>
      <c r="AA55" t="str">
        <v>Debit Card</v>
      </c>
      <c r="AB55" t="str">
        <v>Cancelled</v>
      </c>
      <c r="AC55">
        <v>2</v>
      </c>
      <c r="AD55">
        <v>54.99</v>
      </c>
      <c r="AE55">
        <v>45303</v>
      </c>
      <c r="AF55">
        <v>0.1</v>
      </c>
      <c r="AG55" t="str">
        <v>Damaged on arrival - replaced</v>
      </c>
      <c r="AH55" t="str">
        <v>Standard</v>
      </c>
      <c r="AI55">
        <v>109.98</v>
      </c>
      <c r="AJ55" t="str">
        <v>ORD-1167</v>
      </c>
      <c r="AK55">
        <v>1167</v>
      </c>
      <c r="AL55" t="str">
        <v>Jan-2024</v>
      </c>
      <c r="AM55">
        <v>45322</v>
      </c>
    </row>
    <row r="56" spans="1:39" x14ac:dyDescent="0.25">
      <c r="A56" t="str">
        <v>ORD-1170</v>
      </c>
      <c r="H56" t="str">
        <v>ORD-1222</v>
      </c>
      <c r="I56" t="str">
        <v>2024-06-24</v>
      </c>
      <c r="J56" t="str">
        <v>aisha ali</v>
      </c>
      <c r="K56" t="str">
        <v>Nort</v>
      </c>
      <c r="L56" t="str">
        <v>Faisalabad</v>
      </c>
      <c r="M56" t="str">
        <v>furniture</v>
      </c>
      <c r="N56" t="str">
        <v>Bookshelf</v>
      </c>
      <c r="O56" t="str">
        <v>In Store</v>
      </c>
      <c r="P56">
        <v>6</v>
      </c>
      <c r="Q56">
        <v>9.81</v>
      </c>
      <c r="R56">
        <v>0</v>
      </c>
      <c r="S56" t="str">
        <v>credit card</v>
      </c>
      <c r="T56" t="str">
        <v>Canceled</v>
      </c>
      <c r="U56">
        <v>0</v>
      </c>
      <c r="V56" t="str">
        <v>Bulk order - business account</v>
      </c>
      <c r="W56" t="str">
        <v>Aisha Ali</v>
      </c>
      <c r="X56" t="str">
        <v>North</v>
      </c>
      <c r="Y56" t="str">
        <v>Furniture</v>
      </c>
      <c r="Z56" t="str">
        <v>In-Store</v>
      </c>
      <c r="AA56" t="str">
        <v>Credit Card</v>
      </c>
      <c r="AB56" t="str">
        <v>Cancelled</v>
      </c>
      <c r="AC56">
        <v>6</v>
      </c>
      <c r="AD56">
        <v>9.81</v>
      </c>
      <c r="AE56">
        <v>45467</v>
      </c>
      <c r="AF56">
        <v>0</v>
      </c>
      <c r="AG56" t="str">
        <v>Bulk order - business account</v>
      </c>
      <c r="AH56" t="str">
        <v>Standard</v>
      </c>
      <c r="AI56">
        <v>58.86</v>
      </c>
      <c r="AJ56" t="str">
        <v>ORD-1222</v>
      </c>
      <c r="AK56">
        <v>1222</v>
      </c>
      <c r="AL56" t="str">
        <v>Jun-2024</v>
      </c>
      <c r="AM56">
        <v>45473</v>
      </c>
    </row>
    <row r="57" spans="1:39" x14ac:dyDescent="0.25">
      <c r="A57" t="str">
        <v>ORD-1172</v>
      </c>
      <c r="H57" t="str">
        <v>ORD-1032</v>
      </c>
      <c r="I57" t="str">
        <v>May 23, 2024</v>
      </c>
      <c r="J57" t="str">
        <v>olivia lewis</v>
      </c>
      <c r="K57" t="str">
        <v>east</v>
      </c>
      <c r="L57" t="str">
        <v>Multan</v>
      </c>
      <c r="M57" t="str">
        <v>groceries</v>
      </c>
      <c r="N57" t="str">
        <v>Almonds 500g</v>
      </c>
      <c r="O57" t="str">
        <v>In Store</v>
      </c>
      <c r="P57">
        <v>0</v>
      </c>
      <c r="Q57" t="str">
        <v xml:space="preserve"> 426.22 </v>
      </c>
      <c r="R57">
        <v>0</v>
      </c>
      <c r="S57" t="str">
        <v>bank transfer</v>
      </c>
      <c r="T57" t="str">
        <v>Cancelled</v>
      </c>
      <c r="U57" t="str">
        <v>C. Osei</v>
      </c>
      <c r="V57" t="str">
        <v xml:space="preserve">Leave at front desk  </v>
      </c>
      <c r="W57" t="str">
        <v>Olivia Lewis</v>
      </c>
      <c r="X57" t="str">
        <v>East</v>
      </c>
      <c r="Y57" t="str">
        <v>Groceries</v>
      </c>
      <c r="Z57" t="str">
        <v>In-Store</v>
      </c>
      <c r="AA57" t="str">
        <v>Bank Transfer</v>
      </c>
      <c r="AB57" t="str">
        <v>Cancelled</v>
      </c>
      <c r="AC57" t="str">
        <v/>
      </c>
      <c r="AD57">
        <v>426.22</v>
      </c>
      <c r="AE57">
        <v>45435</v>
      </c>
      <c r="AF57">
        <v>0</v>
      </c>
      <c r="AG57" t="str">
        <v>Leave at front desk</v>
      </c>
      <c r="AH57" t="str">
        <v>Review</v>
      </c>
      <c r="AI57">
        <v>0</v>
      </c>
      <c r="AJ57" t="str">
        <v>ORD-1032</v>
      </c>
      <c r="AK57">
        <v>1032</v>
      </c>
      <c r="AL57" t="str">
        <v>May-2024</v>
      </c>
      <c r="AM57">
        <v>45443</v>
      </c>
    </row>
    <row r="58" spans="1:39" x14ac:dyDescent="0.25">
      <c r="A58" t="str">
        <v>ORD-1184</v>
      </c>
      <c r="H58" t="str">
        <v>ORD-1136</v>
      </c>
      <c r="I58" t="str">
        <v>2024-05-20</v>
      </c>
      <c r="J58" t="str">
        <v xml:space="preserve">Nida Taylor </v>
      </c>
      <c r="K58" t="str">
        <v>North</v>
      </c>
      <c r="L58" t="str">
        <v>Islamabad</v>
      </c>
      <c r="M58" t="str">
        <v>Groceries</v>
      </c>
      <c r="N58" t="str">
        <v>Basmati Rice 5kg</v>
      </c>
      <c r="O58" t="str">
        <v>ONLINE</v>
      </c>
      <c r="P58">
        <v>8</v>
      </c>
      <c r="Q58">
        <v>495.96</v>
      </c>
      <c r="R58">
        <v>0.05</v>
      </c>
      <c r="S58" t="str">
        <v xml:space="preserve">Cash </v>
      </c>
      <c r="T58" t="str">
        <v>Cancelled</v>
      </c>
      <c r="U58" t="str">
        <v>B. Fernandes</v>
      </c>
      <c r="V58">
        <v>0</v>
      </c>
      <c r="W58" t="str">
        <v>Nida Taylor</v>
      </c>
      <c r="X58" t="str">
        <v>North</v>
      </c>
      <c r="Y58" t="str">
        <v>Groceries</v>
      </c>
      <c r="Z58" t="str">
        <v>Online</v>
      </c>
      <c r="AA58" t="str">
        <v>Cash</v>
      </c>
      <c r="AB58" t="str">
        <v>Cancelled</v>
      </c>
      <c r="AC58">
        <v>8</v>
      </c>
      <c r="AD58">
        <v>495.96</v>
      </c>
      <c r="AE58">
        <v>45432</v>
      </c>
      <c r="AF58">
        <v>0.05</v>
      </c>
      <c r="AG58" t="str">
        <v/>
      </c>
      <c r="AH58" t="str">
        <v>High Value</v>
      </c>
      <c r="AI58">
        <v>3967.68</v>
      </c>
      <c r="AJ58" t="str">
        <v>ORD-1136</v>
      </c>
      <c r="AK58">
        <v>1136</v>
      </c>
      <c r="AL58" t="str">
        <v>May-2024</v>
      </c>
      <c r="AM58">
        <v>45443</v>
      </c>
    </row>
    <row r="59" spans="1:39" x14ac:dyDescent="0.25">
      <c r="A59" t="str">
        <v>ORD-1048</v>
      </c>
      <c r="H59" t="str">
        <v>ORD-1031</v>
      </c>
      <c r="I59" t="str">
        <v>02/10/2024</v>
      </c>
      <c r="J59" t="str">
        <v xml:space="preserve">Grace Hussain </v>
      </c>
      <c r="K59" t="str">
        <v>East</v>
      </c>
      <c r="L59">
        <v>0</v>
      </c>
      <c r="M59" t="str">
        <v>GROCERIES</v>
      </c>
      <c r="N59" t="str">
        <v>Basmati Rice 5kg</v>
      </c>
      <c r="O59" t="str">
        <v>In Store</v>
      </c>
      <c r="P59">
        <v>6</v>
      </c>
      <c r="Q59">
        <v>415.21</v>
      </c>
      <c r="R59">
        <v>0.2</v>
      </c>
      <c r="S59" t="str">
        <v xml:space="preserve">Cash </v>
      </c>
      <c r="T59" t="str">
        <v>Cancelled</v>
      </c>
      <c r="U59" t="str">
        <v>E. Tanaka</v>
      </c>
      <c r="V59" t="str">
        <v>Damaged on arrival - replaced</v>
      </c>
      <c r="W59" t="str">
        <v>Grace Hussain</v>
      </c>
      <c r="X59" t="str">
        <v>East</v>
      </c>
      <c r="Y59" t="str">
        <v>Groceries</v>
      </c>
      <c r="Z59" t="str">
        <v>In-Store</v>
      </c>
      <c r="AA59" t="str">
        <v>Cash</v>
      </c>
      <c r="AB59" t="str">
        <v>Cancelled</v>
      </c>
      <c r="AC59">
        <v>6</v>
      </c>
      <c r="AD59">
        <v>415.21</v>
      </c>
      <c r="AE59">
        <v>45332</v>
      </c>
      <c r="AF59">
        <v>0.2</v>
      </c>
      <c r="AG59" t="str">
        <v>Damaged on arrival - replaced</v>
      </c>
      <c r="AH59" t="str">
        <v>High Value</v>
      </c>
      <c r="AI59">
        <v>2491.2599999999998</v>
      </c>
      <c r="AJ59" t="str">
        <v>ORD-1031</v>
      </c>
      <c r="AK59">
        <v>1031</v>
      </c>
      <c r="AL59" t="str">
        <v>Feb-2024</v>
      </c>
      <c r="AM59">
        <v>45351</v>
      </c>
    </row>
    <row r="60" spans="1:39" x14ac:dyDescent="0.25">
      <c r="A60" t="str">
        <v>ORD-1193</v>
      </c>
      <c r="H60" t="str">
        <v>ORD-1166</v>
      </c>
      <c r="I60" t="str">
        <v>July 22, 2024</v>
      </c>
      <c r="J60" t="str">
        <v>Emily  Lee</v>
      </c>
      <c r="K60" t="str">
        <v>south</v>
      </c>
      <c r="L60" t="str">
        <v>Karachi</v>
      </c>
      <c r="M60" t="str">
        <v>Groceries</v>
      </c>
      <c r="N60" t="str">
        <v>Almonds 500g</v>
      </c>
      <c r="O60" t="str">
        <v xml:space="preserve">Online </v>
      </c>
      <c r="P60" t="str">
        <v xml:space="preserve"> 11 </v>
      </c>
      <c r="Q60">
        <v>299.55</v>
      </c>
      <c r="R60">
        <v>0</v>
      </c>
      <c r="S60" t="str">
        <v>credit card</v>
      </c>
      <c r="T60" t="str">
        <v>Canceled</v>
      </c>
      <c r="U60" t="str">
        <v>E. Tanaka</v>
      </c>
      <c r="V60">
        <v>0</v>
      </c>
      <c r="W60" t="str">
        <v>Emily Lee</v>
      </c>
      <c r="X60" t="str">
        <v>South</v>
      </c>
      <c r="Y60" t="str">
        <v>Groceries</v>
      </c>
      <c r="Z60" t="str">
        <v>Online</v>
      </c>
      <c r="AA60" t="str">
        <v>Credit Card</v>
      </c>
      <c r="AB60" t="str">
        <v>Cancelled</v>
      </c>
      <c r="AC60">
        <v>11</v>
      </c>
      <c r="AD60">
        <v>299.55</v>
      </c>
      <c r="AE60">
        <v>45495</v>
      </c>
      <c r="AF60">
        <v>0</v>
      </c>
      <c r="AG60" t="str">
        <v/>
      </c>
      <c r="AH60" t="str">
        <v>High Value</v>
      </c>
      <c r="AI60">
        <v>3295.05</v>
      </c>
      <c r="AJ60" t="str">
        <v>ORD-1166</v>
      </c>
      <c r="AK60">
        <v>1166</v>
      </c>
      <c r="AL60" t="str">
        <v>Jul-2024</v>
      </c>
      <c r="AM60">
        <v>45504</v>
      </c>
    </row>
    <row r="61" spans="1:39" x14ac:dyDescent="0.25">
      <c r="A61" t="str">
        <v>ORD-1133</v>
      </c>
      <c r="H61" t="str">
        <v>ORD-1077</v>
      </c>
      <c r="I61" t="str">
        <v>23/01/2024</v>
      </c>
      <c r="J61" t="str">
        <v>bilal brown</v>
      </c>
      <c r="K61" t="str">
        <v>West</v>
      </c>
      <c r="L61" t="str">
        <v>Peshawar</v>
      </c>
      <c r="M61" t="str">
        <v>groceries</v>
      </c>
      <c r="N61" t="str">
        <v>Basmati Rice 5kg</v>
      </c>
      <c r="O61" t="str">
        <v xml:space="preserve">In-store </v>
      </c>
      <c r="P61" t="str">
        <v xml:space="preserve"> 6 </v>
      </c>
      <c r="Q61">
        <v>265.39999999999998</v>
      </c>
      <c r="R61">
        <v>0.2</v>
      </c>
      <c r="S61" t="str">
        <v>Credit Card</v>
      </c>
      <c r="T61" t="str">
        <v>Canceled</v>
      </c>
      <c r="U61" t="str">
        <v>D. Iqbal</v>
      </c>
      <c r="V61">
        <v>0</v>
      </c>
      <c r="W61" t="str">
        <v>Bilal Brown</v>
      </c>
      <c r="X61" t="str">
        <v>West</v>
      </c>
      <c r="Y61" t="str">
        <v>Groceries</v>
      </c>
      <c r="Z61" t="str">
        <v>In-Store</v>
      </c>
      <c r="AA61" t="str">
        <v>Credit Card</v>
      </c>
      <c r="AB61" t="str">
        <v>Cancelled</v>
      </c>
      <c r="AC61">
        <v>6</v>
      </c>
      <c r="AD61">
        <v>265.39999999999998</v>
      </c>
      <c r="AE61">
        <v>45314</v>
      </c>
      <c r="AF61">
        <v>0.2</v>
      </c>
      <c r="AG61" t="str">
        <v/>
      </c>
      <c r="AH61" t="str">
        <v>High Value</v>
      </c>
      <c r="AI61">
        <v>1592.3999999999999</v>
      </c>
      <c r="AJ61" t="str">
        <v>ORD-1077</v>
      </c>
      <c r="AK61">
        <v>1077</v>
      </c>
      <c r="AL61" t="str">
        <v>Jan-2024</v>
      </c>
      <c r="AM61">
        <v>45322</v>
      </c>
    </row>
    <row r="62" spans="1:39" x14ac:dyDescent="0.25">
      <c r="A62" t="str">
        <v>ORD-1010</v>
      </c>
      <c r="H62" t="str">
        <v>ORD-1151</v>
      </c>
      <c r="I62" t="str">
        <v>2024-03-12</v>
      </c>
      <c r="J62" t="str">
        <v>Ahmed  Taylor</v>
      </c>
      <c r="K62" t="str">
        <v xml:space="preserve">North </v>
      </c>
      <c r="L62" t="str">
        <v>Islamabad</v>
      </c>
      <c r="M62" t="str">
        <v>Groceries</v>
      </c>
      <c r="N62" t="str">
        <v>Green Tea Pack</v>
      </c>
      <c r="O62" t="str">
        <v>In-Store</v>
      </c>
      <c r="P62">
        <v>0</v>
      </c>
      <c r="Q62">
        <v>205.17</v>
      </c>
      <c r="R62">
        <v>0.05</v>
      </c>
      <c r="S62" t="str">
        <v>credit card</v>
      </c>
      <c r="T62" t="str">
        <v>CANCELLED</v>
      </c>
      <c r="U62" t="str">
        <v>A. Malik</v>
      </c>
      <c r="V62" t="str">
        <v>Gift wrap requested</v>
      </c>
      <c r="W62" t="str">
        <v>Ahmed Taylor</v>
      </c>
      <c r="X62" t="str">
        <v>North</v>
      </c>
      <c r="Y62" t="str">
        <v>Groceries</v>
      </c>
      <c r="Z62" t="str">
        <v>In-Store</v>
      </c>
      <c r="AA62" t="str">
        <v>Credit Card</v>
      </c>
      <c r="AB62" t="str">
        <v>Cancelled</v>
      </c>
      <c r="AC62" t="str">
        <v/>
      </c>
      <c r="AD62">
        <v>205.17</v>
      </c>
      <c r="AE62">
        <v>45363</v>
      </c>
      <c r="AF62">
        <v>0.05</v>
      </c>
      <c r="AG62" t="str">
        <v>Gift wrap requested</v>
      </c>
      <c r="AH62" t="str">
        <v>Review</v>
      </c>
      <c r="AI62">
        <v>0</v>
      </c>
      <c r="AJ62" t="str">
        <v>ORD-1151</v>
      </c>
      <c r="AK62">
        <v>1151</v>
      </c>
      <c r="AL62" t="str">
        <v>Mar-2024</v>
      </c>
      <c r="AM62">
        <v>45382</v>
      </c>
    </row>
    <row r="63" spans="1:39" x14ac:dyDescent="0.25">
      <c r="A63" t="str">
        <v>ORD-1149</v>
      </c>
      <c r="H63" t="str">
        <v>ORD-1135</v>
      </c>
      <c r="I63" t="str">
        <v>10/22/2024</v>
      </c>
      <c r="J63" t="str">
        <v xml:space="preserve"> Aisha Tayloris</v>
      </c>
      <c r="K63" t="str">
        <v xml:space="preserve">North </v>
      </c>
      <c r="L63" t="str">
        <v>Islamabad</v>
      </c>
      <c r="M63" t="str">
        <v>Grocery</v>
      </c>
      <c r="N63" t="str">
        <v>Basmati Rice 5kg</v>
      </c>
      <c r="O63" t="str">
        <v xml:space="preserve">In-store </v>
      </c>
      <c r="P63">
        <v>7</v>
      </c>
      <c r="Q63" t="str">
        <v xml:space="preserve"> 217.67 </v>
      </c>
      <c r="R63">
        <v>0</v>
      </c>
      <c r="S63" t="str">
        <v>CC</v>
      </c>
      <c r="T63" t="str">
        <v>cancelled</v>
      </c>
      <c r="U63" t="str">
        <v>E. Tanaka</v>
      </c>
      <c r="V63" t="str">
        <v>Damaged on arrival - replaced</v>
      </c>
      <c r="W63" t="str">
        <v>Aisha Tayloris</v>
      </c>
      <c r="X63" t="str">
        <v>North</v>
      </c>
      <c r="Y63" t="str">
        <v>Groceries</v>
      </c>
      <c r="Z63" t="str">
        <v>In-Store</v>
      </c>
      <c r="AA63" t="str">
        <v>Credit Card</v>
      </c>
      <c r="AB63" t="str">
        <v>Cancelled</v>
      </c>
      <c r="AC63">
        <v>7</v>
      </c>
      <c r="AD63">
        <v>217.67</v>
      </c>
      <c r="AE63">
        <v>45587</v>
      </c>
      <c r="AF63">
        <v>0</v>
      </c>
      <c r="AG63" t="str">
        <v>Damaged on arrival - replaced</v>
      </c>
      <c r="AH63" t="str">
        <v>High Value</v>
      </c>
      <c r="AI63">
        <v>1523.6899999999998</v>
      </c>
      <c r="AJ63" t="str">
        <v>ORD-1135</v>
      </c>
      <c r="AK63">
        <v>1135</v>
      </c>
      <c r="AL63" t="str">
        <v>Oct-2024</v>
      </c>
      <c r="AM63">
        <v>45596</v>
      </c>
    </row>
    <row r="64" spans="1:39" x14ac:dyDescent="0.25">
      <c r="A64" t="str">
        <v>ORD-1101</v>
      </c>
      <c r="H64" t="str">
        <v>ORD-1135</v>
      </c>
      <c r="I64" t="str">
        <v>10/22/2024</v>
      </c>
      <c r="J64" t="str">
        <v>AISHA TAYLOR</v>
      </c>
      <c r="K64" t="str">
        <v xml:space="preserve">North </v>
      </c>
      <c r="L64" t="str">
        <v>Islamabad</v>
      </c>
      <c r="M64" t="str">
        <v>Grocery</v>
      </c>
      <c r="N64" t="str">
        <v>Basmati Rice 5kg</v>
      </c>
      <c r="O64" t="str">
        <v xml:space="preserve">In-store </v>
      </c>
      <c r="P64">
        <v>7</v>
      </c>
      <c r="Q64" t="str">
        <v xml:space="preserve"> 217.67 </v>
      </c>
      <c r="R64">
        <v>0</v>
      </c>
      <c r="S64" t="str">
        <v>CC</v>
      </c>
      <c r="T64" t="str">
        <v>cancelled</v>
      </c>
      <c r="U64" t="str">
        <v>E. Tanaka</v>
      </c>
      <c r="V64" t="str">
        <v>Damaged on arrival - replaced</v>
      </c>
      <c r="W64" t="str">
        <v>Aisha Taylor</v>
      </c>
      <c r="X64" t="str">
        <v>North</v>
      </c>
      <c r="Y64" t="str">
        <v>Groceries</v>
      </c>
      <c r="Z64" t="str">
        <v>In-Store</v>
      </c>
      <c r="AA64" t="str">
        <v>Credit Card</v>
      </c>
      <c r="AB64" t="str">
        <v>Cancelled</v>
      </c>
      <c r="AC64">
        <v>7</v>
      </c>
      <c r="AD64">
        <v>217.67</v>
      </c>
      <c r="AE64">
        <v>45587</v>
      </c>
      <c r="AF64">
        <v>0</v>
      </c>
      <c r="AG64" t="str">
        <v>Damaged on arrival - replaced</v>
      </c>
      <c r="AH64" t="str">
        <v>High Value</v>
      </c>
      <c r="AI64">
        <v>1523.6899999999998</v>
      </c>
      <c r="AJ64" t="str">
        <v>ORD-1135</v>
      </c>
      <c r="AK64">
        <v>1135</v>
      </c>
      <c r="AL64" t="str">
        <v>Oct-2024</v>
      </c>
      <c r="AM64">
        <v>45596</v>
      </c>
    </row>
    <row r="65" spans="1:39" x14ac:dyDescent="0.25">
      <c r="A65" t="str">
        <v>ORD-1167</v>
      </c>
      <c r="H65" t="str">
        <v>ORD-1158</v>
      </c>
      <c r="I65" t="str">
        <v>18-Dec-24</v>
      </c>
      <c r="J65" t="str">
        <v>robert raza</v>
      </c>
      <c r="K65" t="str">
        <v>south</v>
      </c>
      <c r="L65" t="str">
        <v>Hyderabad</v>
      </c>
      <c r="M65" t="str">
        <v>Grocery</v>
      </c>
      <c r="N65" t="str">
        <v>Olive Oil 1L</v>
      </c>
      <c r="O65" t="str">
        <v xml:space="preserve">In-store </v>
      </c>
      <c r="P65">
        <v>12</v>
      </c>
      <c r="Q65">
        <v>308.79000000000002</v>
      </c>
      <c r="R65" t="str">
        <v>5%</v>
      </c>
      <c r="S65" t="str">
        <v>debit card</v>
      </c>
      <c r="T65" t="str">
        <v>Cancelled</v>
      </c>
      <c r="U65">
        <v>0</v>
      </c>
      <c r="V65" t="str">
        <v xml:space="preserve">Follow up needed	</v>
      </c>
      <c r="W65" t="str">
        <v>Robert Raza</v>
      </c>
      <c r="X65" t="str">
        <v>South</v>
      </c>
      <c r="Y65" t="str">
        <v>Groceries</v>
      </c>
      <c r="Z65" t="str">
        <v>In-Store</v>
      </c>
      <c r="AA65" t="str">
        <v>Debit Card</v>
      </c>
      <c r="AB65" t="str">
        <v>Cancelled</v>
      </c>
      <c r="AC65">
        <v>12</v>
      </c>
      <c r="AD65">
        <v>308.79000000000002</v>
      </c>
      <c r="AE65">
        <v>45644</v>
      </c>
      <c r="AF65" t="str">
        <v>5%</v>
      </c>
      <c r="AG65" t="str">
        <v>Follow up needed</v>
      </c>
      <c r="AH65" t="str">
        <v>High Value</v>
      </c>
      <c r="AI65">
        <v>3705.4800000000005</v>
      </c>
      <c r="AJ65" t="str">
        <v>ORD-1158</v>
      </c>
      <c r="AK65">
        <v>1158</v>
      </c>
      <c r="AL65" t="str">
        <v>Dec-2024</v>
      </c>
      <c r="AM65">
        <v>45657</v>
      </c>
    </row>
    <row r="66" spans="1:39" x14ac:dyDescent="0.25">
      <c r="A66" t="str">
        <v>ORD-1222</v>
      </c>
      <c r="H66" t="str">
        <v>ORD-1125</v>
      </c>
      <c r="I66" t="str">
        <v>19/07/2024</v>
      </c>
      <c r="J66" t="str">
        <v xml:space="preserve">Emily Ahmed </v>
      </c>
      <c r="K66" t="str">
        <v>east</v>
      </c>
      <c r="L66" t="str">
        <v>Multan</v>
      </c>
      <c r="M66" t="str">
        <v>Grocery</v>
      </c>
      <c r="N66" t="str">
        <v>Almonds 500g</v>
      </c>
      <c r="O66" t="str">
        <v>online</v>
      </c>
      <c r="P66" t="str">
        <v xml:space="preserve"> 1 </v>
      </c>
      <c r="Q66">
        <v>114.89</v>
      </c>
      <c r="R66" t="str">
        <v>20%</v>
      </c>
      <c r="S66" t="str">
        <v xml:space="preserve">Credit card </v>
      </c>
      <c r="T66" t="str">
        <v>CANCELLED</v>
      </c>
      <c r="U66" t="str">
        <v>C. Osei</v>
      </c>
      <c r="V66" t="str">
        <v>Bulk order - business account</v>
      </c>
      <c r="W66" t="str">
        <v>Emily Ahmed</v>
      </c>
      <c r="X66" t="str">
        <v>East</v>
      </c>
      <c r="Y66" t="str">
        <v>Groceries</v>
      </c>
      <c r="Z66" t="str">
        <v>Online</v>
      </c>
      <c r="AA66" t="str">
        <v>Credit Card</v>
      </c>
      <c r="AB66" t="str">
        <v>Cancelled</v>
      </c>
      <c r="AC66">
        <v>1</v>
      </c>
      <c r="AD66">
        <v>114.89</v>
      </c>
      <c r="AE66">
        <v>45492</v>
      </c>
      <c r="AF66" t="str">
        <v>20%</v>
      </c>
      <c r="AG66" t="str">
        <v>Bulk order - business account</v>
      </c>
      <c r="AH66" t="str">
        <v>Standard</v>
      </c>
      <c r="AI66">
        <v>114.89</v>
      </c>
      <c r="AJ66" t="str">
        <v>ORD-1125</v>
      </c>
      <c r="AK66">
        <v>1125</v>
      </c>
      <c r="AL66" t="str">
        <v>Jul-2024</v>
      </c>
      <c r="AM66">
        <v>45504</v>
      </c>
    </row>
    <row r="67" spans="1:39" x14ac:dyDescent="0.25">
      <c r="A67" t="str">
        <v>ORD-1032</v>
      </c>
      <c r="H67" t="str">
        <v>ORD-1067</v>
      </c>
      <c r="I67" t="str">
        <v>07-Feb-24</v>
      </c>
      <c r="J67" t="str">
        <v>Umar  Johnson</v>
      </c>
      <c r="K67" t="str">
        <v xml:space="preserve">West </v>
      </c>
      <c r="L67" t="str">
        <v>Peshawar</v>
      </c>
      <c r="M67" t="str">
        <v>Stationary</v>
      </c>
      <c r="N67" t="str">
        <v>Sticky Notes</v>
      </c>
      <c r="O67" t="str">
        <v>ONLINE</v>
      </c>
      <c r="P67" t="str">
        <v xml:space="preserve"> 8 </v>
      </c>
      <c r="Q67">
        <v>223.89</v>
      </c>
      <c r="R67">
        <v>0</v>
      </c>
      <c r="S67" t="str">
        <v>Credit Card</v>
      </c>
      <c r="T67" t="str">
        <v>cancelled</v>
      </c>
      <c r="U67" t="str">
        <v>E. Tanaka</v>
      </c>
      <c r="V67" t="str">
        <v>Damaged on arrival - replaced</v>
      </c>
      <c r="W67" t="str">
        <v>Umar Johnson</v>
      </c>
      <c r="X67" t="str">
        <v>West</v>
      </c>
      <c r="Y67" t="str">
        <v>Stationery</v>
      </c>
      <c r="Z67" t="str">
        <v>Online</v>
      </c>
      <c r="AA67" t="str">
        <v>Credit Card</v>
      </c>
      <c r="AB67" t="str">
        <v>Cancelled</v>
      </c>
      <c r="AC67">
        <v>8</v>
      </c>
      <c r="AD67">
        <v>223.89</v>
      </c>
      <c r="AE67">
        <v>45329</v>
      </c>
      <c r="AF67">
        <v>0</v>
      </c>
      <c r="AG67" t="str">
        <v>Damaged on arrival - replaced</v>
      </c>
      <c r="AH67" t="str">
        <v>High Value</v>
      </c>
      <c r="AI67">
        <v>1791.12</v>
      </c>
      <c r="AJ67" t="str">
        <v>ORD-1067</v>
      </c>
      <c r="AK67">
        <v>1067</v>
      </c>
      <c r="AL67" t="str">
        <v>Feb-2024</v>
      </c>
      <c r="AM67">
        <v>45351</v>
      </c>
    </row>
    <row r="68" spans="1:39" x14ac:dyDescent="0.25">
      <c r="A68" t="str">
        <v>ORD-1136</v>
      </c>
      <c r="H68" t="str">
        <v>ORD-1140</v>
      </c>
      <c r="I68" t="str">
        <v>2024-10-31</v>
      </c>
      <c r="J68" t="str">
        <v xml:space="preserve"> Laura Farooq</v>
      </c>
      <c r="K68" t="str">
        <v>East</v>
      </c>
      <c r="L68" t="str">
        <v>Sialkot</v>
      </c>
      <c r="M68" t="str">
        <v>stationery</v>
      </c>
      <c r="N68" t="str">
        <v>Desk Organizer</v>
      </c>
      <c r="O68" t="str">
        <v>In-Store</v>
      </c>
      <c r="P68">
        <v>0</v>
      </c>
      <c r="Q68">
        <v>449.47</v>
      </c>
      <c r="R68">
        <v>0</v>
      </c>
      <c r="S68" t="str">
        <v xml:space="preserve">Credit card </v>
      </c>
      <c r="T68" t="str">
        <v>CANCELLED</v>
      </c>
      <c r="U68">
        <v>0</v>
      </c>
      <c r="V68" t="str">
        <v>Bulk order - business account</v>
      </c>
      <c r="W68" t="str">
        <v>Laura Farooq</v>
      </c>
      <c r="X68" t="str">
        <v>East</v>
      </c>
      <c r="Y68" t="str">
        <v>Stationery</v>
      </c>
      <c r="Z68" t="str">
        <v>In-Store</v>
      </c>
      <c r="AA68" t="str">
        <v>Credit Card</v>
      </c>
      <c r="AB68" t="str">
        <v>Cancelled</v>
      </c>
      <c r="AC68" t="str">
        <v/>
      </c>
      <c r="AD68">
        <v>449.47</v>
      </c>
      <c r="AE68">
        <v>45596</v>
      </c>
      <c r="AF68">
        <v>0</v>
      </c>
      <c r="AG68" t="str">
        <v>Bulk order - business account</v>
      </c>
      <c r="AH68" t="str">
        <v>Review</v>
      </c>
      <c r="AI68">
        <v>0</v>
      </c>
      <c r="AJ68" t="str">
        <v>ORD-1140</v>
      </c>
      <c r="AK68">
        <v>1140</v>
      </c>
      <c r="AL68" t="str">
        <v>Oct-2024</v>
      </c>
      <c r="AM68">
        <v>45596</v>
      </c>
    </row>
    <row r="69" spans="1:39" x14ac:dyDescent="0.25">
      <c r="A69" t="str">
        <v>ORD-1031</v>
      </c>
      <c r="H69" t="str">
        <v>ORD-1072</v>
      </c>
      <c r="I69" t="str">
        <v>29-Jul-24</v>
      </c>
      <c r="J69" t="str">
        <v xml:space="preserve">Umar Farooq </v>
      </c>
      <c r="K69" t="str">
        <v xml:space="preserve">North </v>
      </c>
      <c r="L69" t="str">
        <v>Lahore</v>
      </c>
      <c r="M69" t="str">
        <v>stationery</v>
      </c>
      <c r="N69" t="str">
        <v>Highlighter Set</v>
      </c>
      <c r="O69" t="str">
        <v>In Store</v>
      </c>
      <c r="P69" t="str">
        <v xml:space="preserve"> 3 </v>
      </c>
      <c r="Q69">
        <v>416.52</v>
      </c>
      <c r="R69">
        <v>0.05</v>
      </c>
      <c r="S69" t="str">
        <v>Bank Transfer</v>
      </c>
      <c r="T69" t="str">
        <v>CANCELLED</v>
      </c>
      <c r="U69" t="str">
        <v>A. Malik</v>
      </c>
      <c r="V69" t="str">
        <v>VIP customer</v>
      </c>
      <c r="W69" t="str">
        <v>Umar Farooq</v>
      </c>
      <c r="X69" t="str">
        <v>North</v>
      </c>
      <c r="Y69" t="str">
        <v>Stationery</v>
      </c>
      <c r="Z69" t="str">
        <v>In-Store</v>
      </c>
      <c r="AA69" t="str">
        <v>Bank Transfer</v>
      </c>
      <c r="AB69" t="str">
        <v>Cancelled</v>
      </c>
      <c r="AC69">
        <v>3</v>
      </c>
      <c r="AD69">
        <v>416.52</v>
      </c>
      <c r="AE69">
        <v>45502</v>
      </c>
      <c r="AF69">
        <v>0.05</v>
      </c>
      <c r="AG69" t="str">
        <v>VIP customer</v>
      </c>
      <c r="AH69" t="str">
        <v>High Value</v>
      </c>
      <c r="AI69">
        <v>1249.56</v>
      </c>
      <c r="AJ69" t="str">
        <v>ORD-1072</v>
      </c>
      <c r="AK69">
        <v>1072</v>
      </c>
      <c r="AL69" t="str">
        <v>Jul-2024</v>
      </c>
      <c r="AM69">
        <v>45504</v>
      </c>
    </row>
    <row r="70" spans="1:39" x14ac:dyDescent="0.25">
      <c r="A70" t="str">
        <v>ORD-1166</v>
      </c>
      <c r="H70" t="str">
        <v>ORD-1040</v>
      </c>
      <c r="I70" t="str">
        <v>2024-09-08</v>
      </c>
      <c r="J70" t="str">
        <v>Zara Wilson</v>
      </c>
      <c r="K70" t="str">
        <v>north</v>
      </c>
      <c r="L70" t="str">
        <v>Faisalabad</v>
      </c>
      <c r="M70" t="str">
        <v>Stationery</v>
      </c>
      <c r="N70" t="str">
        <v>Sticky Notes</v>
      </c>
      <c r="O70" t="str">
        <v>Online</v>
      </c>
      <c r="P70">
        <v>3</v>
      </c>
      <c r="Q70">
        <v>327.5</v>
      </c>
      <c r="R70">
        <v>0</v>
      </c>
      <c r="S70" t="str">
        <v>cash</v>
      </c>
      <c r="T70" t="str">
        <v>Canceled</v>
      </c>
      <c r="U70">
        <v>0</v>
      </c>
      <c r="V70" t="str">
        <v>Damaged on arrival - replaced</v>
      </c>
      <c r="W70" t="str">
        <v>Zara Wilson</v>
      </c>
      <c r="X70" t="str">
        <v>North</v>
      </c>
      <c r="Y70" t="str">
        <v>Stationery</v>
      </c>
      <c r="Z70" t="str">
        <v>Online</v>
      </c>
      <c r="AA70" t="str">
        <v>Cash</v>
      </c>
      <c r="AB70" t="str">
        <v>Cancelled</v>
      </c>
      <c r="AC70">
        <v>3</v>
      </c>
      <c r="AD70">
        <v>327.5</v>
      </c>
      <c r="AE70">
        <v>45543</v>
      </c>
      <c r="AF70">
        <v>0</v>
      </c>
      <c r="AG70" t="str">
        <v>Damaged on arrival - replaced</v>
      </c>
      <c r="AH70" t="str">
        <v>Standard</v>
      </c>
      <c r="AI70">
        <v>982.5</v>
      </c>
      <c r="AJ70" t="str">
        <v>ORD-1040</v>
      </c>
      <c r="AK70">
        <v>1040</v>
      </c>
      <c r="AL70" t="str">
        <v>Sep-2024</v>
      </c>
      <c r="AM70">
        <v>45565</v>
      </c>
    </row>
    <row r="71" spans="1:39" x14ac:dyDescent="0.25">
      <c r="A71" t="str">
        <v>ORD-1077</v>
      </c>
      <c r="H71" t="str">
        <v>ORD-1054</v>
      </c>
      <c r="I71" t="str">
        <v>26-Nov-24</v>
      </c>
      <c r="J71" t="str">
        <v xml:space="preserve">Olivia Lewis </v>
      </c>
      <c r="K71" t="str">
        <v xml:space="preserve">South </v>
      </c>
      <c r="L71" t="str">
        <v>Karachi</v>
      </c>
      <c r="M71" t="str">
        <v>STATIONERY</v>
      </c>
      <c r="N71" t="str">
        <v>Sticky Notes</v>
      </c>
      <c r="O71" t="str">
        <v>Online</v>
      </c>
      <c r="P71">
        <v>12</v>
      </c>
      <c r="Q71">
        <v>224.47</v>
      </c>
      <c r="R71">
        <v>0</v>
      </c>
      <c r="S71" t="str">
        <v xml:space="preserve">Cash </v>
      </c>
      <c r="T71" t="str">
        <v>cancelled</v>
      </c>
      <c r="U71" t="str">
        <v>E. Tanaka</v>
      </c>
      <c r="V71" t="str">
        <v>Gift wrap requested</v>
      </c>
      <c r="W71" t="str">
        <v>Olivia Lewis</v>
      </c>
      <c r="X71" t="str">
        <v>South</v>
      </c>
      <c r="Y71" t="str">
        <v>Stationery</v>
      </c>
      <c r="Z71" t="str">
        <v>Online</v>
      </c>
      <c r="AA71" t="str">
        <v>Cash</v>
      </c>
      <c r="AB71" t="str">
        <v>Cancelled</v>
      </c>
      <c r="AC71">
        <v>12</v>
      </c>
      <c r="AD71">
        <v>224.47</v>
      </c>
      <c r="AE71">
        <v>45622</v>
      </c>
      <c r="AF71">
        <v>0</v>
      </c>
      <c r="AG71" t="str">
        <v>Gift wrap requested</v>
      </c>
      <c r="AH71" t="str">
        <v>High Value</v>
      </c>
      <c r="AI71">
        <v>2693.64</v>
      </c>
      <c r="AJ71" t="str">
        <v>ORD-1054</v>
      </c>
      <c r="AK71">
        <v>1054</v>
      </c>
      <c r="AL71" t="str">
        <v>Nov-2024</v>
      </c>
      <c r="AM71">
        <v>45626</v>
      </c>
    </row>
    <row r="72" spans="1:39" x14ac:dyDescent="0.25">
      <c r="A72" t="str">
        <v>ORD-1151</v>
      </c>
      <c r="H72" t="str">
        <v>ORD-1154</v>
      </c>
      <c r="I72" t="str">
        <v>05/18/2024</v>
      </c>
      <c r="J72" t="str">
        <v>Aisha Khan</v>
      </c>
      <c r="K72" t="str">
        <v xml:space="preserve"> East</v>
      </c>
      <c r="L72" t="str">
        <v>Multan</v>
      </c>
      <c r="M72" t="str">
        <v>stationery</v>
      </c>
      <c r="N72" t="str">
        <v>Highlighter Set</v>
      </c>
      <c r="O72" t="str">
        <v>Online</v>
      </c>
      <c r="P72">
        <v>7</v>
      </c>
      <c r="Q72">
        <v>182.76</v>
      </c>
      <c r="R72">
        <v>0.2</v>
      </c>
      <c r="S72" t="str">
        <v>Cash</v>
      </c>
      <c r="T72" t="str">
        <v>cancelled</v>
      </c>
      <c r="U72" t="str">
        <v>D. Iqbal</v>
      </c>
      <c r="V72" t="str">
        <v>Gift wrap requested</v>
      </c>
      <c r="W72" t="str">
        <v>Aisha Khan</v>
      </c>
      <c r="X72" t="str">
        <v>East</v>
      </c>
      <c r="Y72" t="str">
        <v>Stationery</v>
      </c>
      <c r="Z72" t="str">
        <v>Online</v>
      </c>
      <c r="AA72" t="str">
        <v>Cash</v>
      </c>
      <c r="AB72" t="str">
        <v>Cancelled</v>
      </c>
      <c r="AC72">
        <v>7</v>
      </c>
      <c r="AD72">
        <v>182.76</v>
      </c>
      <c r="AE72">
        <v>45430</v>
      </c>
      <c r="AF72">
        <v>0.2</v>
      </c>
      <c r="AG72" t="str">
        <v>Gift wrap requested</v>
      </c>
      <c r="AH72" t="str">
        <v>High Value</v>
      </c>
      <c r="AI72">
        <v>1279.32</v>
      </c>
      <c r="AJ72" t="str">
        <v>ORD-1154</v>
      </c>
      <c r="AK72">
        <v>1154</v>
      </c>
      <c r="AL72" t="str">
        <v>May-2024</v>
      </c>
      <c r="AM72">
        <v>45443</v>
      </c>
    </row>
    <row r="73" spans="1:39" x14ac:dyDescent="0.25">
      <c r="A73" t="str">
        <v>ORD-1135</v>
      </c>
      <c r="H73" t="str">
        <v>ORD-1064</v>
      </c>
      <c r="I73" t="str">
        <v>June 09, 2024</v>
      </c>
      <c r="J73" t="str">
        <v>Robert Ali</v>
      </c>
      <c r="K73" t="str">
        <v xml:space="preserve">West </v>
      </c>
      <c r="L73" t="str">
        <v>Quetta</v>
      </c>
      <c r="M73" t="str">
        <v>stationery</v>
      </c>
      <c r="N73" t="str">
        <v>Highlighter Set</v>
      </c>
      <c r="O73" t="str">
        <v xml:space="preserve">In-store </v>
      </c>
      <c r="P73">
        <v>11</v>
      </c>
      <c r="Q73">
        <v>40.68</v>
      </c>
      <c r="R73">
        <v>0</v>
      </c>
      <c r="S73" t="str">
        <v>Credit Card</v>
      </c>
      <c r="T73" t="str">
        <v>CANCELLED</v>
      </c>
      <c r="U73" t="str">
        <v>A. Malik</v>
      </c>
      <c r="V73" t="str">
        <v xml:space="preserve">  </v>
      </c>
      <c r="W73" t="str">
        <v>Robert Ali</v>
      </c>
      <c r="X73" t="str">
        <v>West</v>
      </c>
      <c r="Y73" t="str">
        <v>Stationery</v>
      </c>
      <c r="Z73" t="str">
        <v>In-Store</v>
      </c>
      <c r="AA73" t="str">
        <v>Credit Card</v>
      </c>
      <c r="AB73" t="str">
        <v>Cancelled</v>
      </c>
      <c r="AC73">
        <v>11</v>
      </c>
      <c r="AD73">
        <v>40.68</v>
      </c>
      <c r="AE73">
        <v>45452</v>
      </c>
      <c r="AF73">
        <v>0</v>
      </c>
      <c r="AG73" t="str">
        <v/>
      </c>
      <c r="AH73" t="str">
        <v>Standard</v>
      </c>
      <c r="AI73">
        <v>447.48</v>
      </c>
      <c r="AJ73" t="str">
        <v>ORD-1064</v>
      </c>
      <c r="AK73">
        <v>1064</v>
      </c>
      <c r="AL73" t="str">
        <v>Jun-2024</v>
      </c>
      <c r="AM73">
        <v>45473</v>
      </c>
    </row>
    <row r="74" spans="1:39" x14ac:dyDescent="0.25">
      <c r="A74" t="str">
        <v>ORD-1135</v>
      </c>
    </row>
    <row r="75" spans="1:39" x14ac:dyDescent="0.25">
      <c r="A75" t="str">
        <v>ORD-1158</v>
      </c>
    </row>
    <row r="76" spans="1:39" x14ac:dyDescent="0.25">
      <c r="A76" t="str">
        <v>ORD-1125</v>
      </c>
      <c r="H76" t="str" cm="1">
        <f t="array" ref="H76:AM139">_xlfn._xlws.SORT(_xlfn._xlws.FILTER(Orders_Raw!A2:AF245,Orders_Raw!U2:U245="Cancelled","No cancelled orders"),2,-1)</f>
        <v>ORD-1029</v>
      </c>
      <c r="I76" t="str">
        <v>November 06, 2024</v>
      </c>
      <c r="J76" t="str">
        <v xml:space="preserve">Laura Johnson </v>
      </c>
      <c r="K76" t="str">
        <v>North</v>
      </c>
      <c r="L76" t="str">
        <v>Islamabad</v>
      </c>
      <c r="M76" t="str">
        <v xml:space="preserve">Electronics </v>
      </c>
      <c r="N76" t="str">
        <v>USB-C Cable</v>
      </c>
      <c r="O76" t="str">
        <v xml:space="preserve">Online </v>
      </c>
      <c r="P76">
        <v>3</v>
      </c>
      <c r="Q76">
        <v>61.62</v>
      </c>
      <c r="R76">
        <v>0.1</v>
      </c>
      <c r="S76" t="str">
        <v>bank transfer</v>
      </c>
      <c r="T76" t="str">
        <v>cancelled</v>
      </c>
      <c r="U76" t="str">
        <v>B. Fernandes</v>
      </c>
      <c r="V76" t="str">
        <v xml:space="preserve">  Customer called twice </v>
      </c>
      <c r="W76" t="str">
        <v>Laura Johnson</v>
      </c>
      <c r="X76" t="str">
        <v>North</v>
      </c>
      <c r="Y76" t="str">
        <v>Electronics</v>
      </c>
      <c r="Z76" t="str">
        <v>Online</v>
      </c>
      <c r="AA76" t="str">
        <v>Bank Transfer</v>
      </c>
      <c r="AB76" t="str">
        <v>Cancelled</v>
      </c>
      <c r="AC76">
        <v>3</v>
      </c>
      <c r="AD76">
        <v>61.62</v>
      </c>
      <c r="AE76">
        <v>45602</v>
      </c>
      <c r="AF76">
        <v>0.1</v>
      </c>
      <c r="AG76" t="str">
        <v>Customer called twice</v>
      </c>
      <c r="AH76" t="str">
        <v>Standard</v>
      </c>
      <c r="AI76">
        <v>184.85999999999999</v>
      </c>
      <c r="AJ76" t="str">
        <v>ORD-1029</v>
      </c>
      <c r="AK76">
        <v>1029</v>
      </c>
      <c r="AL76" t="str">
        <v>Nov-2024</v>
      </c>
      <c r="AM76">
        <v>45626</v>
      </c>
    </row>
    <row r="77" spans="1:39" x14ac:dyDescent="0.25">
      <c r="A77" t="str">
        <v>ORD-1067</v>
      </c>
      <c r="H77" t="str">
        <v>ORD-1032</v>
      </c>
      <c r="I77" t="str">
        <v>May 23, 2024</v>
      </c>
      <c r="J77" t="str">
        <v>olivia lewis</v>
      </c>
      <c r="K77" t="str">
        <v>east</v>
      </c>
      <c r="L77" t="str">
        <v>Multan</v>
      </c>
      <c r="M77" t="str">
        <v>groceries</v>
      </c>
      <c r="N77" t="str">
        <v>Almonds 500g</v>
      </c>
      <c r="O77" t="str">
        <v>In Store</v>
      </c>
      <c r="P77">
        <v>0</v>
      </c>
      <c r="Q77" t="str">
        <v xml:space="preserve"> 426.22 </v>
      </c>
      <c r="R77">
        <v>0</v>
      </c>
      <c r="S77" t="str">
        <v>bank transfer</v>
      </c>
      <c r="T77" t="str">
        <v>Cancelled</v>
      </c>
      <c r="U77" t="str">
        <v>C. Osei</v>
      </c>
      <c r="V77" t="str">
        <v xml:space="preserve">Leave at front desk  </v>
      </c>
      <c r="W77" t="str">
        <v>Olivia Lewis</v>
      </c>
      <c r="X77" t="str">
        <v>East</v>
      </c>
      <c r="Y77" t="str">
        <v>Groceries</v>
      </c>
      <c r="Z77" t="str">
        <v>In-Store</v>
      </c>
      <c r="AA77" t="str">
        <v>Bank Transfer</v>
      </c>
      <c r="AB77" t="str">
        <v>Cancelled</v>
      </c>
      <c r="AC77" t="str">
        <v/>
      </c>
      <c r="AD77">
        <v>426.22</v>
      </c>
      <c r="AE77">
        <v>45435</v>
      </c>
      <c r="AF77">
        <v>0</v>
      </c>
      <c r="AG77" t="str">
        <v>Leave at front desk</v>
      </c>
      <c r="AH77" t="str">
        <v>Review</v>
      </c>
      <c r="AI77">
        <v>0</v>
      </c>
      <c r="AJ77" t="str">
        <v>ORD-1032</v>
      </c>
      <c r="AK77">
        <v>1032</v>
      </c>
      <c r="AL77" t="str">
        <v>May-2024</v>
      </c>
      <c r="AM77">
        <v>45443</v>
      </c>
    </row>
    <row r="78" spans="1:39" x14ac:dyDescent="0.25">
      <c r="A78" t="str">
        <v>ORD-1140</v>
      </c>
      <c r="H78" t="str">
        <v>ORD-1064</v>
      </c>
      <c r="I78" t="str">
        <v>June 09, 2024</v>
      </c>
      <c r="J78" t="str">
        <v>Robert Ali</v>
      </c>
      <c r="K78" t="str">
        <v xml:space="preserve">West </v>
      </c>
      <c r="L78" t="str">
        <v>Quetta</v>
      </c>
      <c r="M78" t="str">
        <v>stationery</v>
      </c>
      <c r="N78" t="str">
        <v>Highlighter Set</v>
      </c>
      <c r="O78" t="str">
        <v xml:space="preserve">In-store </v>
      </c>
      <c r="P78">
        <v>11</v>
      </c>
      <c r="Q78">
        <v>40.68</v>
      </c>
      <c r="R78">
        <v>0</v>
      </c>
      <c r="S78" t="str">
        <v>Credit Card</v>
      </c>
      <c r="T78" t="str">
        <v>CANCELLED</v>
      </c>
      <c r="U78" t="str">
        <v>A. Malik</v>
      </c>
      <c r="V78" t="str">
        <v xml:space="preserve">  </v>
      </c>
      <c r="W78" t="str">
        <v>Robert Ali</v>
      </c>
      <c r="X78" t="str">
        <v>West</v>
      </c>
      <c r="Y78" t="str">
        <v>Stationery</v>
      </c>
      <c r="Z78" t="str">
        <v>In-Store</v>
      </c>
      <c r="AA78" t="str">
        <v>Credit Card</v>
      </c>
      <c r="AB78" t="str">
        <v>Cancelled</v>
      </c>
      <c r="AC78">
        <v>11</v>
      </c>
      <c r="AD78">
        <v>40.68</v>
      </c>
      <c r="AE78">
        <v>45452</v>
      </c>
      <c r="AF78">
        <v>0</v>
      </c>
      <c r="AG78" t="str">
        <v/>
      </c>
      <c r="AH78" t="str">
        <v>Standard</v>
      </c>
      <c r="AI78">
        <v>447.48</v>
      </c>
      <c r="AJ78" t="str">
        <v>ORD-1064</v>
      </c>
      <c r="AK78">
        <v>1064</v>
      </c>
      <c r="AL78" t="str">
        <v>Jun-2024</v>
      </c>
      <c r="AM78">
        <v>45473</v>
      </c>
    </row>
    <row r="79" spans="1:39" x14ac:dyDescent="0.25">
      <c r="A79" t="str">
        <v>ORD-1072</v>
      </c>
      <c r="H79" t="str">
        <v>ORD-1166</v>
      </c>
      <c r="I79" t="str">
        <v>July 22, 2024</v>
      </c>
      <c r="J79" t="str">
        <v>Emily  Lee</v>
      </c>
      <c r="K79" t="str">
        <v>south</v>
      </c>
      <c r="L79" t="str">
        <v>Karachi</v>
      </c>
      <c r="M79" t="str">
        <v>Groceries</v>
      </c>
      <c r="N79" t="str">
        <v>Almonds 500g</v>
      </c>
      <c r="O79" t="str">
        <v xml:space="preserve">Online </v>
      </c>
      <c r="P79" t="str">
        <v xml:space="preserve"> 11 </v>
      </c>
      <c r="Q79">
        <v>299.55</v>
      </c>
      <c r="R79">
        <v>0</v>
      </c>
      <c r="S79" t="str">
        <v>credit card</v>
      </c>
      <c r="T79" t="str">
        <v>Canceled</v>
      </c>
      <c r="U79" t="str">
        <v>E. Tanaka</v>
      </c>
      <c r="V79">
        <v>0</v>
      </c>
      <c r="W79" t="str">
        <v>Emily Lee</v>
      </c>
      <c r="X79" t="str">
        <v>South</v>
      </c>
      <c r="Y79" t="str">
        <v>Groceries</v>
      </c>
      <c r="Z79" t="str">
        <v>Online</v>
      </c>
      <c r="AA79" t="str">
        <v>Credit Card</v>
      </c>
      <c r="AB79" t="str">
        <v>Cancelled</v>
      </c>
      <c r="AC79">
        <v>11</v>
      </c>
      <c r="AD79">
        <v>299.55</v>
      </c>
      <c r="AE79">
        <v>45495</v>
      </c>
      <c r="AF79">
        <v>0</v>
      </c>
      <c r="AG79" t="str">
        <v/>
      </c>
      <c r="AH79" t="str">
        <v>High Value</v>
      </c>
      <c r="AI79">
        <v>3295.05</v>
      </c>
      <c r="AJ79" t="str">
        <v>ORD-1166</v>
      </c>
      <c r="AK79">
        <v>1166</v>
      </c>
      <c r="AL79" t="str">
        <v>Jul-2024</v>
      </c>
      <c r="AM79">
        <v>45504</v>
      </c>
    </row>
    <row r="80" spans="1:39" x14ac:dyDescent="0.25">
      <c r="A80" t="str">
        <v>ORD-1040</v>
      </c>
      <c r="H80" t="str">
        <v>ORD-1084</v>
      </c>
      <c r="I80" t="str">
        <v>July 03, 2024</v>
      </c>
      <c r="J80" t="str">
        <v>Sofia Lee</v>
      </c>
      <c r="K80" t="str">
        <v>EAST</v>
      </c>
      <c r="L80" t="str">
        <v>Multan</v>
      </c>
      <c r="M80" t="str">
        <v>Cloth ing</v>
      </c>
      <c r="N80" t="str">
        <v>Denim Jacket</v>
      </c>
      <c r="O80" t="str">
        <v>ONLINE</v>
      </c>
      <c r="P80">
        <v>6</v>
      </c>
      <c r="Q80" t="str">
        <v xml:space="preserve"> 65.07 </v>
      </c>
      <c r="R80">
        <v>0</v>
      </c>
      <c r="S80" t="str">
        <v>bank transfer</v>
      </c>
      <c r="T80" t="str">
        <v>CANCELLED</v>
      </c>
      <c r="U80" t="str">
        <v>A. Malik</v>
      </c>
      <c r="V80">
        <v>0</v>
      </c>
      <c r="W80" t="str">
        <v>Sofia Lee</v>
      </c>
      <c r="X80" t="str">
        <v>East</v>
      </c>
      <c r="Y80" t="str">
        <v>Clothing</v>
      </c>
      <c r="Z80" t="str">
        <v>Online</v>
      </c>
      <c r="AA80" t="str">
        <v>Bank Transfer</v>
      </c>
      <c r="AB80" t="str">
        <v>Cancelled</v>
      </c>
      <c r="AC80">
        <v>6</v>
      </c>
      <c r="AD80">
        <v>65.069999999999993</v>
      </c>
      <c r="AE80">
        <v>45476</v>
      </c>
      <c r="AF80">
        <v>0</v>
      </c>
      <c r="AG80" t="str">
        <v/>
      </c>
      <c r="AH80" t="str">
        <v>Standard</v>
      </c>
      <c r="AI80">
        <v>390.41999999999996</v>
      </c>
      <c r="AJ80" t="str">
        <v>ORD-1084</v>
      </c>
      <c r="AK80">
        <v>1084</v>
      </c>
      <c r="AL80" t="str">
        <v>Jul-2024</v>
      </c>
      <c r="AM80">
        <v>45504</v>
      </c>
    </row>
    <row r="81" spans="1:39" x14ac:dyDescent="0.25">
      <c r="A81" t="str">
        <v>ORD-1054</v>
      </c>
      <c r="H81" t="str">
        <v>ORD-1093</v>
      </c>
      <c r="I81" t="str">
        <v>December 01, 2024</v>
      </c>
      <c r="J81" t="str">
        <v xml:space="preserve">Chen Qureshi </v>
      </c>
      <c r="K81" t="str">
        <v>EAST</v>
      </c>
      <c r="L81" t="str">
        <v>Sialkot</v>
      </c>
      <c r="M81" t="str">
        <v>CLOTHING</v>
      </c>
      <c r="N81" t="str">
        <v>Cotton T-Shirt</v>
      </c>
      <c r="O81" t="str">
        <v>in-store</v>
      </c>
      <c r="P81">
        <v>6</v>
      </c>
      <c r="Q81">
        <v>490.05</v>
      </c>
      <c r="R81">
        <v>0</v>
      </c>
      <c r="S81" t="str">
        <v>cash</v>
      </c>
      <c r="T81" t="str">
        <v>CANCELLED</v>
      </c>
      <c r="U81" t="str">
        <v>C. Osei</v>
      </c>
      <c r="V81" t="str">
        <v>VIP customer</v>
      </c>
      <c r="W81" t="str">
        <v>Chen Qureshi</v>
      </c>
      <c r="X81" t="str">
        <v>East</v>
      </c>
      <c r="Y81" t="str">
        <v>Clothing</v>
      </c>
      <c r="Z81" t="str">
        <v>In-Store</v>
      </c>
      <c r="AA81" t="str">
        <v>Cash</v>
      </c>
      <c r="AB81" t="str">
        <v>Cancelled</v>
      </c>
      <c r="AC81">
        <v>6</v>
      </c>
      <c r="AD81">
        <v>490.05</v>
      </c>
      <c r="AE81">
        <v>45627</v>
      </c>
      <c r="AF81">
        <v>0</v>
      </c>
      <c r="AG81" t="str">
        <v>VIP customer</v>
      </c>
      <c r="AH81" t="str">
        <v>High Value</v>
      </c>
      <c r="AI81">
        <v>2940.3</v>
      </c>
      <c r="AJ81" t="str">
        <v>ORD-1093</v>
      </c>
      <c r="AK81">
        <v>1093</v>
      </c>
      <c r="AL81" t="str">
        <v>Dec-2024</v>
      </c>
      <c r="AM81">
        <v>45657</v>
      </c>
    </row>
    <row r="82" spans="1:39" x14ac:dyDescent="0.25">
      <c r="A82" t="str">
        <v>ORD-1154</v>
      </c>
      <c r="H82" t="str">
        <v>ORD-1118</v>
      </c>
      <c r="I82" t="str">
        <v>April 05, 2024</v>
      </c>
      <c r="J82" t="str">
        <v xml:space="preserve"> Nida Johnson</v>
      </c>
      <c r="K82" t="str">
        <v>East</v>
      </c>
      <c r="L82" t="str">
        <v>Multan</v>
      </c>
      <c r="M82" t="str">
        <v>ELECTRONICS</v>
      </c>
      <c r="N82" t="str">
        <v>Power Bank</v>
      </c>
      <c r="O82" t="str">
        <v>In Store</v>
      </c>
      <c r="P82">
        <v>0</v>
      </c>
      <c r="Q82">
        <v>140.30000000000001</v>
      </c>
      <c r="R82">
        <v>0.1</v>
      </c>
      <c r="S82" t="str">
        <v>Cash</v>
      </c>
      <c r="T82" t="str">
        <v>Canceled</v>
      </c>
      <c r="U82" t="str">
        <v>D. Iqbal</v>
      </c>
      <c r="V82" t="str">
        <v xml:space="preserve">  </v>
      </c>
      <c r="W82" t="str">
        <v>Nida Johnson</v>
      </c>
      <c r="X82" t="str">
        <v>East</v>
      </c>
      <c r="Y82" t="str">
        <v>Electronics</v>
      </c>
      <c r="Z82" t="str">
        <v>In-Store</v>
      </c>
      <c r="AA82" t="str">
        <v>Cash</v>
      </c>
      <c r="AB82" t="str">
        <v>Cancelled</v>
      </c>
      <c r="AC82" t="str">
        <v/>
      </c>
      <c r="AD82">
        <v>140.30000000000001</v>
      </c>
      <c r="AE82">
        <v>45387</v>
      </c>
      <c r="AF82">
        <v>0.1</v>
      </c>
      <c r="AG82" t="str">
        <v/>
      </c>
      <c r="AH82" t="str">
        <v>Review</v>
      </c>
      <c r="AI82">
        <v>0</v>
      </c>
      <c r="AJ82" t="str">
        <v>ORD-1118</v>
      </c>
      <c r="AK82">
        <v>1118</v>
      </c>
      <c r="AL82" t="str">
        <v>Apr-2024</v>
      </c>
      <c r="AM82">
        <v>45412</v>
      </c>
    </row>
    <row r="83" spans="1:39" x14ac:dyDescent="0.25">
      <c r="A83" t="str">
        <v>ORD-1064</v>
      </c>
      <c r="H83" t="str">
        <v>ORD-1051</v>
      </c>
      <c r="I83" t="str">
        <v>31-May-24</v>
      </c>
      <c r="J83" t="str">
        <v>Nida Lee</v>
      </c>
      <c r="K83" t="str">
        <v>east</v>
      </c>
      <c r="L83" t="str">
        <v>Multan</v>
      </c>
      <c r="M83" t="str">
        <v>CLOTHING</v>
      </c>
      <c r="N83" t="str">
        <v>Denim Jacket</v>
      </c>
      <c r="O83" t="str">
        <v xml:space="preserve">Online </v>
      </c>
      <c r="P83">
        <v>3</v>
      </c>
      <c r="Q83">
        <v>438.85</v>
      </c>
      <c r="R83">
        <v>0.1</v>
      </c>
      <c r="S83" t="str">
        <v>CREDIT CARD</v>
      </c>
      <c r="T83" t="str">
        <v>Cancelled</v>
      </c>
      <c r="U83" t="str">
        <v>D. Iqbal</v>
      </c>
      <c r="V83" t="str">
        <v xml:space="preserve">  Customer called twice </v>
      </c>
      <c r="W83" t="str">
        <v>Nida Lee</v>
      </c>
      <c r="X83" t="str">
        <v>East</v>
      </c>
      <c r="Y83" t="str">
        <v>Clothing</v>
      </c>
      <c r="Z83" t="str">
        <v>Online</v>
      </c>
      <c r="AA83" t="str">
        <v>Credit Card</v>
      </c>
      <c r="AB83" t="str">
        <v>Cancelled</v>
      </c>
      <c r="AC83">
        <v>3</v>
      </c>
      <c r="AD83">
        <v>438.85</v>
      </c>
      <c r="AE83">
        <v>45443</v>
      </c>
      <c r="AF83">
        <v>0.1</v>
      </c>
      <c r="AG83" t="str">
        <v>Customer called twice</v>
      </c>
      <c r="AH83" t="str">
        <v>High Value</v>
      </c>
      <c r="AI83">
        <v>1316.5500000000002</v>
      </c>
      <c r="AJ83" t="str">
        <v>ORD-1051</v>
      </c>
      <c r="AK83">
        <v>1051</v>
      </c>
      <c r="AL83" t="str">
        <v>May-2024</v>
      </c>
      <c r="AM83">
        <v>45443</v>
      </c>
    </row>
    <row r="84" spans="1:39" x14ac:dyDescent="0.25">
      <c r="H84" t="str">
        <v>ORD-1072</v>
      </c>
      <c r="I84" t="str">
        <v>29-Jul-24</v>
      </c>
      <c r="J84" t="str">
        <v xml:space="preserve">Umar Farooq </v>
      </c>
      <c r="K84" t="str">
        <v xml:space="preserve">North </v>
      </c>
      <c r="L84" t="str">
        <v>Lahore</v>
      </c>
      <c r="M84" t="str">
        <v>stationery</v>
      </c>
      <c r="N84" t="str">
        <v>Highlighter Set</v>
      </c>
      <c r="O84" t="str">
        <v>In Store</v>
      </c>
      <c r="P84" t="str">
        <v xml:space="preserve"> 3 </v>
      </c>
      <c r="Q84">
        <v>416.52</v>
      </c>
      <c r="R84">
        <v>0.05</v>
      </c>
      <c r="S84" t="str">
        <v>Bank Transfer</v>
      </c>
      <c r="T84" t="str">
        <v>CANCELLED</v>
      </c>
      <c r="U84" t="str">
        <v>A. Malik</v>
      </c>
      <c r="V84" t="str">
        <v>VIP customer</v>
      </c>
      <c r="W84" t="str">
        <v>Umar Farooq</v>
      </c>
      <c r="X84" t="str">
        <v>North</v>
      </c>
      <c r="Y84" t="str">
        <v>Stationery</v>
      </c>
      <c r="Z84" t="str">
        <v>In-Store</v>
      </c>
      <c r="AA84" t="str">
        <v>Bank Transfer</v>
      </c>
      <c r="AB84" t="str">
        <v>Cancelled</v>
      </c>
      <c r="AC84">
        <v>3</v>
      </c>
      <c r="AD84">
        <v>416.52</v>
      </c>
      <c r="AE84">
        <v>45502</v>
      </c>
      <c r="AF84">
        <v>0.05</v>
      </c>
      <c r="AG84" t="str">
        <v>VIP customer</v>
      </c>
      <c r="AH84" t="str">
        <v>High Value</v>
      </c>
      <c r="AI84">
        <v>1249.56</v>
      </c>
      <c r="AJ84" t="str">
        <v>ORD-1072</v>
      </c>
      <c r="AK84">
        <v>1072</v>
      </c>
      <c r="AL84" t="str">
        <v>Jul-2024</v>
      </c>
      <c r="AM84">
        <v>45504</v>
      </c>
    </row>
    <row r="85" spans="1:39" x14ac:dyDescent="0.25">
      <c r="H85" t="str">
        <v>ORD-1069</v>
      </c>
      <c r="I85" t="str">
        <v>28-Jul-24</v>
      </c>
      <c r="J85" t="str">
        <v>Kevin Brown</v>
      </c>
      <c r="K85" t="str">
        <v>West</v>
      </c>
      <c r="L85" t="str">
        <v>Peshawar</v>
      </c>
      <c r="M85" t="str">
        <v xml:space="preserve">Electronics </v>
      </c>
      <c r="N85" t="str">
        <v>USB-C Cable</v>
      </c>
      <c r="O85" t="str">
        <v>Online</v>
      </c>
      <c r="P85">
        <v>4</v>
      </c>
      <c r="Q85">
        <v>495.54</v>
      </c>
      <c r="R85" t="str">
        <v>10%</v>
      </c>
      <c r="S85" t="str">
        <v>Debit Card</v>
      </c>
      <c r="T85" t="str">
        <v>Cancelled</v>
      </c>
      <c r="U85" t="str">
        <v>D. Iqbal</v>
      </c>
      <c r="V85" t="str">
        <v>Gift wrap requested</v>
      </c>
      <c r="W85" t="str">
        <v>Kevin Brown</v>
      </c>
      <c r="X85" t="str">
        <v>West</v>
      </c>
      <c r="Y85" t="str">
        <v>Electronics</v>
      </c>
      <c r="Z85" t="str">
        <v>Online</v>
      </c>
      <c r="AA85" t="str">
        <v>Debit Card</v>
      </c>
      <c r="AB85" t="str">
        <v>Cancelled</v>
      </c>
      <c r="AC85">
        <v>4</v>
      </c>
      <c r="AD85">
        <v>495.54</v>
      </c>
      <c r="AE85">
        <v>45501</v>
      </c>
      <c r="AF85" t="str">
        <v>10%</v>
      </c>
      <c r="AG85" t="str">
        <v>Gift wrap requested</v>
      </c>
      <c r="AH85" t="str">
        <v>High Value</v>
      </c>
      <c r="AI85">
        <v>1982.16</v>
      </c>
      <c r="AJ85" t="str">
        <v>ORD-1069</v>
      </c>
      <c r="AK85">
        <v>1069</v>
      </c>
      <c r="AL85" t="str">
        <v>Jul-2024</v>
      </c>
      <c r="AM85">
        <v>45504</v>
      </c>
    </row>
    <row r="86" spans="1:39" x14ac:dyDescent="0.25">
      <c r="H86" t="str">
        <v>ORD-1054</v>
      </c>
      <c r="I86" t="str">
        <v>26-Nov-24</v>
      </c>
      <c r="J86" t="str">
        <v xml:space="preserve">Olivia Lewis </v>
      </c>
      <c r="K86" t="str">
        <v xml:space="preserve">South </v>
      </c>
      <c r="L86" t="str">
        <v>Karachi</v>
      </c>
      <c r="M86" t="str">
        <v>STATIONERY</v>
      </c>
      <c r="N86" t="str">
        <v>Sticky Notes</v>
      </c>
      <c r="O86" t="str">
        <v>Online</v>
      </c>
      <c r="P86">
        <v>12</v>
      </c>
      <c r="Q86">
        <v>224.47</v>
      </c>
      <c r="R86">
        <v>0</v>
      </c>
      <c r="S86" t="str">
        <v xml:space="preserve">Cash </v>
      </c>
      <c r="T86" t="str">
        <v>cancelled</v>
      </c>
      <c r="U86" t="str">
        <v>E. Tanaka</v>
      </c>
      <c r="V86" t="str">
        <v>Gift wrap requested</v>
      </c>
      <c r="W86" t="str">
        <v>Olivia Lewis</v>
      </c>
      <c r="X86" t="str">
        <v>South</v>
      </c>
      <c r="Y86" t="str">
        <v>Stationery</v>
      </c>
      <c r="Z86" t="str">
        <v>Online</v>
      </c>
      <c r="AA86" t="str">
        <v>Cash</v>
      </c>
      <c r="AB86" t="str">
        <v>Cancelled</v>
      </c>
      <c r="AC86">
        <v>12</v>
      </c>
      <c r="AD86">
        <v>224.47</v>
      </c>
      <c r="AE86">
        <v>45622</v>
      </c>
      <c r="AF86">
        <v>0</v>
      </c>
      <c r="AG86" t="str">
        <v>Gift wrap requested</v>
      </c>
      <c r="AH86" t="str">
        <v>High Value</v>
      </c>
      <c r="AI86">
        <v>2693.64</v>
      </c>
      <c r="AJ86" t="str">
        <v>ORD-1054</v>
      </c>
      <c r="AK86">
        <v>1054</v>
      </c>
      <c r="AL86" t="str">
        <v>Nov-2024</v>
      </c>
      <c r="AM86">
        <v>45626</v>
      </c>
    </row>
    <row r="87" spans="1:39" x14ac:dyDescent="0.25">
      <c r="H87" t="str">
        <v>ORD-1179</v>
      </c>
      <c r="I87" t="str">
        <v>25/03/2024</v>
      </c>
      <c r="J87" t="str">
        <v>DAVID ALI</v>
      </c>
      <c r="K87" t="str">
        <v>east</v>
      </c>
      <c r="L87" t="str">
        <v>Multan</v>
      </c>
      <c r="M87" t="str">
        <v>Cloth ing</v>
      </c>
      <c r="N87" t="str">
        <v>Running Shoes</v>
      </c>
      <c r="O87" t="str">
        <v xml:space="preserve">In-store </v>
      </c>
      <c r="P87">
        <v>10</v>
      </c>
      <c r="Q87">
        <v>219.66</v>
      </c>
      <c r="R87">
        <v>0</v>
      </c>
      <c r="S87" t="str">
        <v>Debit card</v>
      </c>
      <c r="T87" t="str">
        <v>cancelled</v>
      </c>
      <c r="U87" t="str">
        <v>B. Fernandes</v>
      </c>
      <c r="V87" t="str">
        <v>Gift wrap requested</v>
      </c>
      <c r="W87" t="str">
        <v>David Ali</v>
      </c>
      <c r="X87" t="str">
        <v>East</v>
      </c>
      <c r="Y87" t="str">
        <v>Clothing</v>
      </c>
      <c r="Z87" t="str">
        <v>In-Store</v>
      </c>
      <c r="AA87" t="str">
        <v>Debit Card</v>
      </c>
      <c r="AB87" t="str">
        <v>Cancelled</v>
      </c>
      <c r="AC87">
        <v>10</v>
      </c>
      <c r="AD87">
        <v>219.66</v>
      </c>
      <c r="AE87">
        <v>45376</v>
      </c>
      <c r="AF87">
        <v>0</v>
      </c>
      <c r="AG87" t="str">
        <v>Gift wrap requested</v>
      </c>
      <c r="AH87" t="str">
        <v>High Value</v>
      </c>
      <c r="AI87">
        <v>2196.6</v>
      </c>
      <c r="AJ87" t="str">
        <v>ORD-1179</v>
      </c>
      <c r="AK87">
        <v>1179</v>
      </c>
      <c r="AL87" t="str">
        <v>Mar-2024</v>
      </c>
      <c r="AM87">
        <v>45382</v>
      </c>
    </row>
    <row r="88" spans="1:39" x14ac:dyDescent="0.25">
      <c r="H88" t="str">
        <v>ORD-1172</v>
      </c>
      <c r="I88" t="str">
        <v>23-Aug-24</v>
      </c>
      <c r="J88" t="str">
        <v xml:space="preserve"> James Hussain</v>
      </c>
      <c r="K88" t="str">
        <v xml:space="preserve">North </v>
      </c>
      <c r="L88" t="str">
        <v>Islamabad</v>
      </c>
      <c r="M88" t="str">
        <v>furniture</v>
      </c>
      <c r="N88" t="str">
        <v>Sofa Set</v>
      </c>
      <c r="O88" t="str">
        <v>Online</v>
      </c>
      <c r="P88">
        <v>4</v>
      </c>
      <c r="Q88">
        <v>403.52</v>
      </c>
      <c r="R88">
        <v>0.1</v>
      </c>
      <c r="S88" t="str">
        <v>debit card</v>
      </c>
      <c r="T88" t="str">
        <v>Canceled</v>
      </c>
      <c r="U88" t="str">
        <v>C. Osei</v>
      </c>
      <c r="V88" t="str">
        <v>VIP customer</v>
      </c>
      <c r="W88" t="str">
        <v>James Hussain</v>
      </c>
      <c r="X88" t="str">
        <v>North</v>
      </c>
      <c r="Y88" t="str">
        <v>Furniture</v>
      </c>
      <c r="Z88" t="str">
        <v>Online</v>
      </c>
      <c r="AA88" t="str">
        <v>Debit Card</v>
      </c>
      <c r="AB88" t="str">
        <v>Cancelled</v>
      </c>
      <c r="AC88">
        <v>4</v>
      </c>
      <c r="AD88">
        <v>403.52</v>
      </c>
      <c r="AE88">
        <v>45527</v>
      </c>
      <c r="AF88">
        <v>0.1</v>
      </c>
      <c r="AG88" t="str">
        <v>VIP customer</v>
      </c>
      <c r="AH88" t="str">
        <v>High Value</v>
      </c>
      <c r="AI88">
        <v>1614.08</v>
      </c>
      <c r="AJ88" t="str">
        <v>ORD-1172</v>
      </c>
      <c r="AK88">
        <v>1172</v>
      </c>
      <c r="AL88" t="str">
        <v>Aug-2024</v>
      </c>
      <c r="AM88">
        <v>45535</v>
      </c>
    </row>
    <row r="89" spans="1:39" x14ac:dyDescent="0.25">
      <c r="H89" t="str">
        <v>ORD-1077</v>
      </c>
      <c r="I89" t="str">
        <v>23/01/2024</v>
      </c>
      <c r="J89" t="str">
        <v>bilal brown</v>
      </c>
      <c r="K89" t="str">
        <v>West</v>
      </c>
      <c r="L89" t="str">
        <v>Peshawar</v>
      </c>
      <c r="M89" t="str">
        <v>groceries</v>
      </c>
      <c r="N89" t="str">
        <v>Basmati Rice 5kg</v>
      </c>
      <c r="O89" t="str">
        <v xml:space="preserve">In-store </v>
      </c>
      <c r="P89" t="str">
        <v xml:space="preserve"> 6 </v>
      </c>
      <c r="Q89">
        <v>265.39999999999998</v>
      </c>
      <c r="R89">
        <v>0.2</v>
      </c>
      <c r="S89" t="str">
        <v>Credit Card</v>
      </c>
      <c r="T89" t="str">
        <v>Canceled</v>
      </c>
      <c r="U89" t="str">
        <v>D. Iqbal</v>
      </c>
      <c r="V89">
        <v>0</v>
      </c>
      <c r="W89" t="str">
        <v>Bilal Brown</v>
      </c>
      <c r="X89" t="str">
        <v>West</v>
      </c>
      <c r="Y89" t="str">
        <v>Groceries</v>
      </c>
      <c r="Z89" t="str">
        <v>In-Store</v>
      </c>
      <c r="AA89" t="str">
        <v>Credit Card</v>
      </c>
      <c r="AB89" t="str">
        <v>Cancelled</v>
      </c>
      <c r="AC89">
        <v>6</v>
      </c>
      <c r="AD89">
        <v>265.39999999999998</v>
      </c>
      <c r="AE89">
        <v>45314</v>
      </c>
      <c r="AF89">
        <v>0.2</v>
      </c>
      <c r="AG89" t="str">
        <v/>
      </c>
      <c r="AH89" t="str">
        <v>High Value</v>
      </c>
      <c r="AI89">
        <v>1592.3999999999999</v>
      </c>
      <c r="AJ89" t="str">
        <v>ORD-1077</v>
      </c>
      <c r="AK89">
        <v>1077</v>
      </c>
      <c r="AL89" t="str">
        <v>Jan-2024</v>
      </c>
      <c r="AM89">
        <v>45322</v>
      </c>
    </row>
    <row r="90" spans="1:39" x14ac:dyDescent="0.25">
      <c r="H90" t="str">
        <v>ORD-1126</v>
      </c>
      <c r="I90" t="str">
        <v>22/12/2024</v>
      </c>
      <c r="J90" t="str">
        <v>David Sheikh</v>
      </c>
      <c r="K90" t="str">
        <v>West</v>
      </c>
      <c r="L90" t="str">
        <v>Peshawar</v>
      </c>
      <c r="M90" t="str">
        <v>Electronics</v>
      </c>
      <c r="N90" t="str">
        <v>USB-C Cable</v>
      </c>
      <c r="O90" t="str">
        <v>in-store</v>
      </c>
      <c r="P90">
        <v>5</v>
      </c>
      <c r="Q90">
        <v>393.21</v>
      </c>
      <c r="R90">
        <v>0</v>
      </c>
      <c r="S90" t="str">
        <v>credit card</v>
      </c>
      <c r="T90" t="str">
        <v>CANCELLED</v>
      </c>
      <c r="U90">
        <v>0</v>
      </c>
      <c r="V90">
        <v>0</v>
      </c>
      <c r="W90" t="str">
        <v>David Sheikh</v>
      </c>
      <c r="X90" t="str">
        <v>West</v>
      </c>
      <c r="Y90" t="str">
        <v>Electronics</v>
      </c>
      <c r="Z90" t="str">
        <v>In-Store</v>
      </c>
      <c r="AA90" t="str">
        <v>Credit Card</v>
      </c>
      <c r="AB90" t="str">
        <v>Cancelled</v>
      </c>
      <c r="AC90">
        <v>5</v>
      </c>
      <c r="AD90">
        <v>393.21</v>
      </c>
      <c r="AE90">
        <v>45648</v>
      </c>
      <c r="AF90">
        <v>0</v>
      </c>
      <c r="AG90" t="str">
        <v/>
      </c>
      <c r="AH90" t="str">
        <v>High Value</v>
      </c>
      <c r="AI90">
        <v>1966.05</v>
      </c>
      <c r="AJ90" t="str">
        <v>ORD-1126</v>
      </c>
      <c r="AK90">
        <v>1126</v>
      </c>
      <c r="AL90" t="str">
        <v>Dec-2024</v>
      </c>
      <c r="AM90">
        <v>45657</v>
      </c>
    </row>
    <row r="91" spans="1:39" x14ac:dyDescent="0.25">
      <c r="H91" t="str">
        <v>ORD-1107</v>
      </c>
      <c r="I91" t="str">
        <v>21-Oct-24</v>
      </c>
      <c r="J91" t="str">
        <v>Laura Garcia</v>
      </c>
      <c r="K91" t="str">
        <v xml:space="preserve"> North</v>
      </c>
      <c r="L91" t="str">
        <v>Islamabad</v>
      </c>
      <c r="M91" t="str">
        <v>electronics</v>
      </c>
      <c r="N91" t="str">
        <v>Wireless Mouse</v>
      </c>
      <c r="O91" t="str">
        <v>In Store</v>
      </c>
      <c r="P91">
        <v>8</v>
      </c>
      <c r="Q91">
        <v>112.55</v>
      </c>
      <c r="R91">
        <v>0</v>
      </c>
      <c r="S91" t="str">
        <v>Cash</v>
      </c>
      <c r="T91" t="str">
        <v>Cancelled</v>
      </c>
      <c r="U91" t="str">
        <v>B. Fernandes</v>
      </c>
      <c r="V91">
        <v>0</v>
      </c>
      <c r="W91" t="str">
        <v>Laura Garcia</v>
      </c>
      <c r="X91" t="str">
        <v>North</v>
      </c>
      <c r="Y91" t="str">
        <v>Electronics</v>
      </c>
      <c r="Z91" t="str">
        <v>In-Store</v>
      </c>
      <c r="AA91" t="str">
        <v>Cash</v>
      </c>
      <c r="AB91" t="str">
        <v>Cancelled</v>
      </c>
      <c r="AC91">
        <v>8</v>
      </c>
      <c r="AD91">
        <v>112.55</v>
      </c>
      <c r="AE91">
        <v>45586</v>
      </c>
      <c r="AF91">
        <v>0</v>
      </c>
      <c r="AG91" t="str">
        <v/>
      </c>
      <c r="AH91" t="str">
        <v>Standard</v>
      </c>
      <c r="AI91">
        <v>900.4</v>
      </c>
      <c r="AJ91" t="str">
        <v>ORD-1107</v>
      </c>
      <c r="AK91">
        <v>1107</v>
      </c>
      <c r="AL91" t="str">
        <v>Oct-2024</v>
      </c>
      <c r="AM91">
        <v>45596</v>
      </c>
    </row>
    <row r="92" spans="1:39" x14ac:dyDescent="0.25">
      <c r="H92" t="str">
        <v>ORD-1184</v>
      </c>
      <c r="I92" t="str">
        <v>21-Aug-24</v>
      </c>
      <c r="J92" t="str">
        <v>Sana Ali</v>
      </c>
      <c r="K92" t="str">
        <v>North</v>
      </c>
      <c r="L92" t="str">
        <v>Islamabad</v>
      </c>
      <c r="M92" t="str">
        <v>FURNITURE</v>
      </c>
      <c r="N92" t="str">
        <v>Bookshelf</v>
      </c>
      <c r="O92" t="str">
        <v>instore</v>
      </c>
      <c r="P92">
        <v>10</v>
      </c>
      <c r="Q92">
        <v>367.87</v>
      </c>
      <c r="R92">
        <v>0</v>
      </c>
      <c r="S92" t="str">
        <v>credit card</v>
      </c>
      <c r="T92" t="str">
        <v>Canceled</v>
      </c>
      <c r="U92" t="str">
        <v>D. Iqbal</v>
      </c>
      <c r="V92" t="str">
        <v xml:space="preserve">  </v>
      </c>
      <c r="W92" t="str">
        <v>Sana Ali</v>
      </c>
      <c r="X92" t="str">
        <v>North</v>
      </c>
      <c r="Y92" t="str">
        <v>Furniture</v>
      </c>
      <c r="Z92" t="str">
        <v>In-Store</v>
      </c>
      <c r="AA92" t="str">
        <v>Credit Card</v>
      </c>
      <c r="AB92" t="str">
        <v>Cancelled</v>
      </c>
      <c r="AC92">
        <v>10</v>
      </c>
      <c r="AD92">
        <v>367.87</v>
      </c>
      <c r="AE92">
        <v>45525</v>
      </c>
      <c r="AF92">
        <v>0</v>
      </c>
      <c r="AG92" t="str">
        <v/>
      </c>
      <c r="AH92" t="str">
        <v>High Value</v>
      </c>
      <c r="AI92">
        <v>3678.7</v>
      </c>
      <c r="AJ92" t="str">
        <v>ORD-1184</v>
      </c>
      <c r="AK92">
        <v>1184</v>
      </c>
      <c r="AL92" t="str">
        <v>Aug-2024</v>
      </c>
      <c r="AM92">
        <v>45535</v>
      </c>
    </row>
    <row r="93" spans="1:39" x14ac:dyDescent="0.25">
      <c r="H93" t="str">
        <v>ORD-1168</v>
      </c>
      <c r="I93" t="str">
        <v>2024-12-16</v>
      </c>
      <c r="J93" t="str">
        <v>sarah malik</v>
      </c>
      <c r="K93" t="str">
        <v>west</v>
      </c>
      <c r="L93">
        <v>0</v>
      </c>
      <c r="M93" t="str">
        <v>clothing</v>
      </c>
      <c r="N93" t="str">
        <v>Cotton T-Shirt</v>
      </c>
      <c r="O93" t="str">
        <v>instore</v>
      </c>
      <c r="P93">
        <v>5</v>
      </c>
      <c r="Q93">
        <v>15.02</v>
      </c>
      <c r="R93">
        <v>0</v>
      </c>
      <c r="S93" t="str">
        <v>CC</v>
      </c>
      <c r="T93" t="str">
        <v>CANCELLED</v>
      </c>
      <c r="U93">
        <v>0</v>
      </c>
      <c r="V93" t="str">
        <v>VIP customer</v>
      </c>
      <c r="W93" t="str">
        <v>Sarah Malik</v>
      </c>
      <c r="X93" t="str">
        <v>West</v>
      </c>
      <c r="Y93" t="str">
        <v>Clothing</v>
      </c>
      <c r="Z93" t="str">
        <v>In-Store</v>
      </c>
      <c r="AA93" t="str">
        <v>Credit Card</v>
      </c>
      <c r="AB93" t="str">
        <v>Cancelled</v>
      </c>
      <c r="AC93">
        <v>5</v>
      </c>
      <c r="AD93">
        <v>15.02</v>
      </c>
      <c r="AE93">
        <v>45642</v>
      </c>
      <c r="AF93">
        <v>0</v>
      </c>
      <c r="AG93" t="str">
        <v>VIP customer</v>
      </c>
      <c r="AH93" t="str">
        <v>Standard</v>
      </c>
      <c r="AI93">
        <v>75.099999999999994</v>
      </c>
      <c r="AJ93" t="str">
        <v>ORD-1168</v>
      </c>
      <c r="AK93">
        <v>1168</v>
      </c>
      <c r="AL93" t="str">
        <v>Dec-2024</v>
      </c>
      <c r="AM93">
        <v>45657</v>
      </c>
    </row>
    <row r="94" spans="1:39" x14ac:dyDescent="0.25">
      <c r="H94" t="str">
        <v>ORD-1133</v>
      </c>
      <c r="I94" t="str">
        <v>2024-12-13</v>
      </c>
      <c r="J94" t="str">
        <v xml:space="preserve">Liam Qureshi </v>
      </c>
      <c r="K94" t="str">
        <v>west</v>
      </c>
      <c r="L94" t="str">
        <v>Quetta</v>
      </c>
      <c r="M94" t="str">
        <v>Furniture</v>
      </c>
      <c r="N94" t="str">
        <v>Sofa Set</v>
      </c>
      <c r="O94" t="str">
        <v>in-store</v>
      </c>
      <c r="P94">
        <v>9</v>
      </c>
      <c r="Q94">
        <v>271.69</v>
      </c>
      <c r="R94">
        <v>0.1</v>
      </c>
      <c r="S94" t="str">
        <v>cash</v>
      </c>
      <c r="T94" t="str">
        <v>Cancelled</v>
      </c>
      <c r="U94" t="str">
        <v>E. Tanaka</v>
      </c>
      <c r="V94" t="str">
        <v xml:space="preserve">Follow up needed	</v>
      </c>
      <c r="W94" t="str">
        <v>Liam Qureshi</v>
      </c>
      <c r="X94" t="str">
        <v>West</v>
      </c>
      <c r="Y94" t="str">
        <v>Furniture</v>
      </c>
      <c r="Z94" t="str">
        <v>In-Store</v>
      </c>
      <c r="AA94" t="str">
        <v>Cash</v>
      </c>
      <c r="AB94" t="str">
        <v>Cancelled</v>
      </c>
      <c r="AC94">
        <v>9</v>
      </c>
      <c r="AD94">
        <v>271.69</v>
      </c>
      <c r="AE94">
        <v>45639</v>
      </c>
      <c r="AF94">
        <v>0.1</v>
      </c>
      <c r="AG94" t="str">
        <v>Follow up needed</v>
      </c>
      <c r="AH94" t="str">
        <v>High Value</v>
      </c>
      <c r="AI94">
        <v>2445.21</v>
      </c>
      <c r="AJ94" t="str">
        <v>ORD-1133</v>
      </c>
      <c r="AK94">
        <v>1133</v>
      </c>
      <c r="AL94" t="str">
        <v>Dec-2024</v>
      </c>
      <c r="AM94">
        <v>45657</v>
      </c>
    </row>
    <row r="95" spans="1:39" x14ac:dyDescent="0.25">
      <c r="H95" t="str">
        <v>ORD-1213</v>
      </c>
      <c r="I95" t="str">
        <v>2024-11-06</v>
      </c>
      <c r="J95" t="str">
        <v xml:space="preserve"> Zara Brown</v>
      </c>
      <c r="K95" t="str">
        <v xml:space="preserve"> South</v>
      </c>
      <c r="L95" t="str">
        <v>Hyderabad</v>
      </c>
      <c r="M95" t="str">
        <v>CLOTHING</v>
      </c>
      <c r="N95" t="str">
        <v>Winter Coat</v>
      </c>
      <c r="O95" t="str">
        <v>online</v>
      </c>
      <c r="P95">
        <v>4</v>
      </c>
      <c r="Q95">
        <v>0</v>
      </c>
      <c r="R95">
        <v>0.2</v>
      </c>
      <c r="S95" t="str">
        <v xml:space="preserve">Cash </v>
      </c>
      <c r="T95" t="str">
        <v>Canceled</v>
      </c>
      <c r="U95" t="str">
        <v>B. Fernandes</v>
      </c>
      <c r="V95" t="str">
        <v xml:space="preserve">Follow up needed	</v>
      </c>
      <c r="W95" t="str">
        <v>Zara Brown</v>
      </c>
      <c r="X95" t="str">
        <v>South</v>
      </c>
      <c r="Y95" t="str">
        <v>Clothing</v>
      </c>
      <c r="Z95" t="str">
        <v>Online</v>
      </c>
      <c r="AA95" t="str">
        <v>Cash</v>
      </c>
      <c r="AB95" t="str">
        <v>Cancelled</v>
      </c>
      <c r="AC95">
        <v>4</v>
      </c>
      <c r="AD95" t="str">
        <v/>
      </c>
      <c r="AE95">
        <v>45602</v>
      </c>
      <c r="AF95">
        <v>0.2</v>
      </c>
      <c r="AG95" t="str">
        <v>Follow up needed</v>
      </c>
      <c r="AH95" t="str">
        <v>Review</v>
      </c>
      <c r="AI95">
        <v>0</v>
      </c>
      <c r="AJ95" t="str">
        <v>ORD-1213</v>
      </c>
      <c r="AK95">
        <v>1213</v>
      </c>
      <c r="AL95" t="str">
        <v>Nov-2024</v>
      </c>
      <c r="AM95">
        <v>45626</v>
      </c>
    </row>
    <row r="96" spans="1:39" x14ac:dyDescent="0.25">
      <c r="H96" t="str">
        <v>ORD-1140</v>
      </c>
      <c r="I96" t="str">
        <v>2024-10-31</v>
      </c>
      <c r="J96" t="str">
        <v xml:space="preserve"> Laura Farooq</v>
      </c>
      <c r="K96" t="str">
        <v>East</v>
      </c>
      <c r="L96" t="str">
        <v>Sialkot</v>
      </c>
      <c r="M96" t="str">
        <v>stationery</v>
      </c>
      <c r="N96" t="str">
        <v>Desk Organizer</v>
      </c>
      <c r="O96" t="str">
        <v>In-Store</v>
      </c>
      <c r="P96">
        <v>0</v>
      </c>
      <c r="Q96">
        <v>449.47</v>
      </c>
      <c r="R96">
        <v>0</v>
      </c>
      <c r="S96" t="str">
        <v xml:space="preserve">Credit card </v>
      </c>
      <c r="T96" t="str">
        <v>CANCELLED</v>
      </c>
      <c r="U96">
        <v>0</v>
      </c>
      <c r="V96" t="str">
        <v>Bulk order - business account</v>
      </c>
      <c r="W96" t="str">
        <v>Laura Farooq</v>
      </c>
      <c r="X96" t="str">
        <v>East</v>
      </c>
      <c r="Y96" t="str">
        <v>Stationery</v>
      </c>
      <c r="Z96" t="str">
        <v>In-Store</v>
      </c>
      <c r="AA96" t="str">
        <v>Credit Card</v>
      </c>
      <c r="AB96" t="str">
        <v>Cancelled</v>
      </c>
      <c r="AC96" t="str">
        <v/>
      </c>
      <c r="AD96">
        <v>449.47</v>
      </c>
      <c r="AE96">
        <v>45596</v>
      </c>
      <c r="AF96">
        <v>0</v>
      </c>
      <c r="AG96" t="str">
        <v>Bulk order - business account</v>
      </c>
      <c r="AH96" t="str">
        <v>Review</v>
      </c>
      <c r="AI96">
        <v>0</v>
      </c>
      <c r="AJ96" t="str">
        <v>ORD-1140</v>
      </c>
      <c r="AK96">
        <v>1140</v>
      </c>
      <c r="AL96" t="str">
        <v>Oct-2024</v>
      </c>
      <c r="AM96">
        <v>45596</v>
      </c>
    </row>
    <row r="97" spans="8:39" x14ac:dyDescent="0.25">
      <c r="H97" t="str">
        <v>ORD-1142</v>
      </c>
      <c r="I97" t="str">
        <v>2024-10-27</v>
      </c>
      <c r="J97" t="str">
        <v>YUSUF KHAN</v>
      </c>
      <c r="K97" t="str">
        <v xml:space="preserve"> East</v>
      </c>
      <c r="L97" t="str">
        <v>Sialkot</v>
      </c>
      <c r="M97" t="str">
        <v xml:space="preserve">Electronics </v>
      </c>
      <c r="N97" t="str">
        <v>Power Bank</v>
      </c>
      <c r="O97" t="str">
        <v>ONLINE</v>
      </c>
      <c r="P97" t="str">
        <v xml:space="preserve"> 5 </v>
      </c>
      <c r="Q97">
        <v>44.12</v>
      </c>
      <c r="R97">
        <v>0.05</v>
      </c>
      <c r="S97" t="str">
        <v>Cash</v>
      </c>
      <c r="T97" t="str">
        <v>cancelled</v>
      </c>
      <c r="U97" t="str">
        <v>D. Iqbal</v>
      </c>
      <c r="V97" t="str">
        <v xml:space="preserve">Leave at front desk  </v>
      </c>
      <c r="W97" t="str">
        <v>Yusuf Khan</v>
      </c>
      <c r="X97" t="str">
        <v>East</v>
      </c>
      <c r="Y97" t="str">
        <v>Electronics</v>
      </c>
      <c r="Z97" t="str">
        <v>Online</v>
      </c>
      <c r="AA97" t="str">
        <v>Cash</v>
      </c>
      <c r="AB97" t="str">
        <v>Cancelled</v>
      </c>
      <c r="AC97">
        <v>5</v>
      </c>
      <c r="AD97">
        <v>44.12</v>
      </c>
      <c r="AE97">
        <v>45592</v>
      </c>
      <c r="AF97">
        <v>0.05</v>
      </c>
      <c r="AG97" t="str">
        <v>Leave at front desk</v>
      </c>
      <c r="AH97" t="str">
        <v>Standard</v>
      </c>
      <c r="AI97">
        <v>220.6</v>
      </c>
      <c r="AJ97" t="str">
        <v>ORD-1142</v>
      </c>
      <c r="AK97">
        <v>1142</v>
      </c>
      <c r="AL97" t="str">
        <v>Oct-2024</v>
      </c>
      <c r="AM97">
        <v>45596</v>
      </c>
    </row>
    <row r="98" spans="8:39" x14ac:dyDescent="0.25">
      <c r="H98" t="str">
        <v>ORD-1014</v>
      </c>
      <c r="I98" t="str">
        <v>2024-10-15</v>
      </c>
      <c r="J98" t="str">
        <v>ZARA JOHNSON</v>
      </c>
      <c r="K98" t="str">
        <v>EAST</v>
      </c>
      <c r="L98" t="str">
        <v>Multan</v>
      </c>
      <c r="M98" t="str">
        <v>clothing</v>
      </c>
      <c r="N98" t="str">
        <v>Formal Shirt</v>
      </c>
      <c r="O98" t="str">
        <v>In Store</v>
      </c>
      <c r="P98">
        <v>3</v>
      </c>
      <c r="Q98">
        <v>153.5</v>
      </c>
      <c r="R98">
        <v>0</v>
      </c>
      <c r="S98" t="str">
        <v>Credit Card</v>
      </c>
      <c r="T98" t="str">
        <v>CANCELLED</v>
      </c>
      <c r="U98" t="str">
        <v>E. Tanaka</v>
      </c>
      <c r="V98" t="str">
        <v xml:space="preserve">  Customer called twice </v>
      </c>
      <c r="W98" t="str">
        <v>Zara Johnson</v>
      </c>
      <c r="X98" t="str">
        <v>East</v>
      </c>
      <c r="Y98" t="str">
        <v>Clothing</v>
      </c>
      <c r="Z98" t="str">
        <v>In-Store</v>
      </c>
      <c r="AA98" t="str">
        <v>Credit Card</v>
      </c>
      <c r="AB98" t="str">
        <v>Cancelled</v>
      </c>
      <c r="AC98">
        <v>3</v>
      </c>
      <c r="AD98">
        <v>153.5</v>
      </c>
      <c r="AE98">
        <v>45580</v>
      </c>
      <c r="AF98">
        <v>0</v>
      </c>
      <c r="AG98" t="str">
        <v>Customer called twice</v>
      </c>
      <c r="AH98" t="str">
        <v>Standard</v>
      </c>
      <c r="AI98">
        <v>460.5</v>
      </c>
      <c r="AJ98" t="str">
        <v>ORD-1014</v>
      </c>
      <c r="AK98">
        <v>1014</v>
      </c>
      <c r="AL98" t="str">
        <v>Oct-2024</v>
      </c>
      <c r="AM98">
        <v>45596</v>
      </c>
    </row>
    <row r="99" spans="8:39" x14ac:dyDescent="0.25">
      <c r="H99" t="str">
        <v>ORD-1014</v>
      </c>
      <c r="I99" t="str">
        <v>2024-10-15</v>
      </c>
      <c r="J99" t="str">
        <v>ZARA JOHNSON</v>
      </c>
      <c r="K99" t="str">
        <v>EAST</v>
      </c>
      <c r="L99" t="str">
        <v>Multan</v>
      </c>
      <c r="M99" t="str">
        <v>clothing</v>
      </c>
      <c r="N99" t="str">
        <v>Formal Shirt</v>
      </c>
      <c r="O99" t="str">
        <v>In Store</v>
      </c>
      <c r="P99">
        <v>3</v>
      </c>
      <c r="Q99">
        <v>153.5</v>
      </c>
      <c r="R99">
        <v>0</v>
      </c>
      <c r="S99" t="str">
        <v>Credit Card</v>
      </c>
      <c r="T99" t="str">
        <v>CANCELLED</v>
      </c>
      <c r="U99" t="str">
        <v>E. Tanaka</v>
      </c>
      <c r="V99" t="str">
        <v xml:space="preserve">  Customer called twice </v>
      </c>
      <c r="W99" t="str">
        <v>Zara Johnson</v>
      </c>
      <c r="X99" t="str">
        <v>East</v>
      </c>
      <c r="Y99" t="str">
        <v>Clothing</v>
      </c>
      <c r="Z99" t="str">
        <v>In-Store</v>
      </c>
      <c r="AA99" t="str">
        <v>Credit Card</v>
      </c>
      <c r="AB99" t="str">
        <v>Cancelled</v>
      </c>
      <c r="AC99">
        <v>3</v>
      </c>
      <c r="AD99">
        <v>153.5</v>
      </c>
      <c r="AE99">
        <v>45580</v>
      </c>
      <c r="AF99">
        <v>0</v>
      </c>
      <c r="AG99" t="str">
        <v>Customer called twice</v>
      </c>
      <c r="AH99" t="str">
        <v>Standard</v>
      </c>
      <c r="AI99">
        <v>460.5</v>
      </c>
      <c r="AJ99" t="str">
        <v>ORD-1014</v>
      </c>
      <c r="AK99">
        <v>1014</v>
      </c>
      <c r="AL99" t="str">
        <v>Oct-2024</v>
      </c>
      <c r="AM99">
        <v>45596</v>
      </c>
    </row>
    <row r="100" spans="8:39" x14ac:dyDescent="0.25">
      <c r="H100" t="str">
        <v>ORD-1028</v>
      </c>
      <c r="I100" t="str">
        <v>2024-10-03</v>
      </c>
      <c r="J100" t="str">
        <v>Michael  Hussain</v>
      </c>
      <c r="K100" t="str">
        <v>west</v>
      </c>
      <c r="L100" t="str">
        <v>Quetta</v>
      </c>
      <c r="M100" t="str">
        <v>clothing</v>
      </c>
      <c r="N100" t="str">
        <v>Running Shoes</v>
      </c>
      <c r="O100" t="str">
        <v>in-store</v>
      </c>
      <c r="P100">
        <v>6</v>
      </c>
      <c r="Q100">
        <v>192.67</v>
      </c>
      <c r="R100">
        <v>0.1</v>
      </c>
      <c r="S100" t="str">
        <v>credit card</v>
      </c>
      <c r="T100" t="str">
        <v>CANCELLED</v>
      </c>
      <c r="U100" t="str">
        <v>A. Malik</v>
      </c>
      <c r="V100">
        <v>0</v>
      </c>
      <c r="W100" t="str">
        <v>Michael Hussain</v>
      </c>
      <c r="X100" t="str">
        <v>West</v>
      </c>
      <c r="Y100" t="str">
        <v>Clothing</v>
      </c>
      <c r="Z100" t="str">
        <v>In-Store</v>
      </c>
      <c r="AA100" t="str">
        <v>Credit Card</v>
      </c>
      <c r="AB100" t="str">
        <v>Cancelled</v>
      </c>
      <c r="AC100">
        <v>6</v>
      </c>
      <c r="AD100">
        <v>192.67</v>
      </c>
      <c r="AE100">
        <v>45568</v>
      </c>
      <c r="AF100">
        <v>0.1</v>
      </c>
      <c r="AG100" t="str">
        <v/>
      </c>
      <c r="AH100" t="str">
        <v>High Value</v>
      </c>
      <c r="AI100">
        <v>1156.02</v>
      </c>
      <c r="AJ100" t="str">
        <v>ORD-1028</v>
      </c>
      <c r="AK100">
        <v>1028</v>
      </c>
      <c r="AL100" t="str">
        <v>Oct-2024</v>
      </c>
      <c r="AM100">
        <v>45596</v>
      </c>
    </row>
    <row r="101" spans="8:39" x14ac:dyDescent="0.25">
      <c r="H101" t="str">
        <v>ORD-1193</v>
      </c>
      <c r="I101" t="str">
        <v>2024-09-24</v>
      </c>
      <c r="J101" t="str">
        <v xml:space="preserve"> Ahmed Garcia</v>
      </c>
      <c r="K101" t="str">
        <v>EAST</v>
      </c>
      <c r="L101" t="str">
        <v>Multan</v>
      </c>
      <c r="M101" t="str">
        <v>FURNITURE</v>
      </c>
      <c r="N101" t="str">
        <v>Office Chair</v>
      </c>
      <c r="O101" t="str">
        <v>in-store</v>
      </c>
      <c r="P101">
        <v>9</v>
      </c>
      <c r="Q101">
        <v>287.47000000000003</v>
      </c>
      <c r="R101">
        <v>0.2</v>
      </c>
      <c r="S101" t="str">
        <v>CC</v>
      </c>
      <c r="T101" t="str">
        <v>Canceled</v>
      </c>
      <c r="U101" t="str">
        <v>A. Malik</v>
      </c>
      <c r="V101" t="str">
        <v>Gift wrap requested</v>
      </c>
      <c r="W101" t="str">
        <v>Ahmed Garcia</v>
      </c>
      <c r="X101" t="str">
        <v>East</v>
      </c>
      <c r="Y101" t="str">
        <v>Furniture</v>
      </c>
      <c r="Z101" t="str">
        <v>In-Store</v>
      </c>
      <c r="AA101" t="str">
        <v>Credit Card</v>
      </c>
      <c r="AB101" t="str">
        <v>Cancelled</v>
      </c>
      <c r="AC101">
        <v>9</v>
      </c>
      <c r="AD101">
        <v>287.47000000000003</v>
      </c>
      <c r="AE101">
        <v>45559</v>
      </c>
      <c r="AF101">
        <v>0.2</v>
      </c>
      <c r="AG101" t="str">
        <v>Gift wrap requested</v>
      </c>
      <c r="AH101" t="str">
        <v>High Value</v>
      </c>
      <c r="AI101">
        <v>2587.2300000000005</v>
      </c>
      <c r="AJ101" t="str">
        <v>ORD-1193</v>
      </c>
      <c r="AK101">
        <v>1193</v>
      </c>
      <c r="AL101" t="str">
        <v>Sep-2024</v>
      </c>
      <c r="AM101">
        <v>45565</v>
      </c>
    </row>
    <row r="102" spans="8:39" x14ac:dyDescent="0.25">
      <c r="H102" t="str">
        <v>ORD-1040</v>
      </c>
      <c r="I102" t="str">
        <v>2024-09-08</v>
      </c>
      <c r="J102" t="str">
        <v>Zara Wilson</v>
      </c>
      <c r="K102" t="str">
        <v>north</v>
      </c>
      <c r="L102" t="str">
        <v>Faisalabad</v>
      </c>
      <c r="M102" t="str">
        <v>Stationery</v>
      </c>
      <c r="N102" t="str">
        <v>Sticky Notes</v>
      </c>
      <c r="O102" t="str">
        <v>Online</v>
      </c>
      <c r="P102">
        <v>3</v>
      </c>
      <c r="Q102">
        <v>327.5</v>
      </c>
      <c r="R102">
        <v>0</v>
      </c>
      <c r="S102" t="str">
        <v>cash</v>
      </c>
      <c r="T102" t="str">
        <v>Canceled</v>
      </c>
      <c r="U102">
        <v>0</v>
      </c>
      <c r="V102" t="str">
        <v>Damaged on arrival - replaced</v>
      </c>
      <c r="W102" t="str">
        <v>Zara Wilson</v>
      </c>
      <c r="X102" t="str">
        <v>North</v>
      </c>
      <c r="Y102" t="str">
        <v>Stationery</v>
      </c>
      <c r="Z102" t="str">
        <v>Online</v>
      </c>
      <c r="AA102" t="str">
        <v>Cash</v>
      </c>
      <c r="AB102" t="str">
        <v>Cancelled</v>
      </c>
      <c r="AC102">
        <v>3</v>
      </c>
      <c r="AD102">
        <v>327.5</v>
      </c>
      <c r="AE102">
        <v>45543</v>
      </c>
      <c r="AF102">
        <v>0</v>
      </c>
      <c r="AG102" t="str">
        <v>Damaged on arrival - replaced</v>
      </c>
      <c r="AH102" t="str">
        <v>Standard</v>
      </c>
      <c r="AI102">
        <v>982.5</v>
      </c>
      <c r="AJ102" t="str">
        <v>ORD-1040</v>
      </c>
      <c r="AK102">
        <v>1040</v>
      </c>
      <c r="AL102" t="str">
        <v>Sep-2024</v>
      </c>
      <c r="AM102">
        <v>45565</v>
      </c>
    </row>
    <row r="103" spans="8:39" x14ac:dyDescent="0.25">
      <c r="H103" t="str">
        <v>ORD-1074</v>
      </c>
      <c r="I103" t="str">
        <v>2024-07-31</v>
      </c>
      <c r="J103" t="str">
        <v>tom iqbal</v>
      </c>
      <c r="K103" t="str">
        <v xml:space="preserve">North </v>
      </c>
      <c r="L103" t="str">
        <v>Faisalabad</v>
      </c>
      <c r="M103" t="str">
        <v>Clothing</v>
      </c>
      <c r="N103" t="str">
        <v>Denim Jacket</v>
      </c>
      <c r="O103" t="str">
        <v>In-Store</v>
      </c>
      <c r="P103">
        <v>8</v>
      </c>
      <c r="Q103">
        <v>77.94</v>
      </c>
      <c r="R103">
        <v>0.05</v>
      </c>
      <c r="S103" t="str">
        <v>Debit card</v>
      </c>
      <c r="T103" t="str">
        <v>cancelled</v>
      </c>
      <c r="U103" t="str">
        <v>A. Malik</v>
      </c>
      <c r="V103" t="str">
        <v xml:space="preserve">  </v>
      </c>
      <c r="W103" t="str">
        <v>Tom Iqbal</v>
      </c>
      <c r="X103" t="str">
        <v>North</v>
      </c>
      <c r="Y103" t="str">
        <v>Clothing</v>
      </c>
      <c r="Z103" t="str">
        <v>In-Store</v>
      </c>
      <c r="AA103" t="str">
        <v>Debit Card</v>
      </c>
      <c r="AB103" t="str">
        <v>Cancelled</v>
      </c>
      <c r="AC103">
        <v>8</v>
      </c>
      <c r="AD103">
        <v>77.94</v>
      </c>
      <c r="AE103">
        <v>45504</v>
      </c>
      <c r="AF103">
        <v>0.05</v>
      </c>
      <c r="AG103" t="str">
        <v/>
      </c>
      <c r="AH103" t="str">
        <v>Standard</v>
      </c>
      <c r="AI103">
        <v>623.52</v>
      </c>
      <c r="AJ103" t="str">
        <v>ORD-1074</v>
      </c>
      <c r="AK103">
        <v>1074</v>
      </c>
      <c r="AL103" t="str">
        <v>Jul-2024</v>
      </c>
      <c r="AM103">
        <v>45504</v>
      </c>
    </row>
    <row r="104" spans="8:39" x14ac:dyDescent="0.25">
      <c r="H104" t="str">
        <v>ORD-1144</v>
      </c>
      <c r="I104" t="str">
        <v>2024-07-03</v>
      </c>
      <c r="J104" t="str">
        <v xml:space="preserve">Kevin Clark </v>
      </c>
      <c r="K104" t="str">
        <v>east</v>
      </c>
      <c r="L104" t="str">
        <v>Sialkot</v>
      </c>
      <c r="M104" t="str">
        <v>Clothing</v>
      </c>
      <c r="N104" t="str">
        <v>Cotton T-Shirt</v>
      </c>
      <c r="O104" t="str">
        <v>in-store</v>
      </c>
      <c r="P104">
        <v>7</v>
      </c>
      <c r="Q104">
        <v>36.619999999999997</v>
      </c>
      <c r="R104" t="str">
        <v>0%</v>
      </c>
      <c r="S104" t="str">
        <v>Debit card</v>
      </c>
      <c r="T104" t="str">
        <v>CANCELLED</v>
      </c>
      <c r="U104" t="str">
        <v>E. Tanaka</v>
      </c>
      <c r="V104" t="str">
        <v>Damaged on arrival - replaced</v>
      </c>
      <c r="W104" t="str">
        <v>Kevin Clark</v>
      </c>
      <c r="X104" t="str">
        <v>East</v>
      </c>
      <c r="Y104" t="str">
        <v>Clothing</v>
      </c>
      <c r="Z104" t="str">
        <v>In-Store</v>
      </c>
      <c r="AA104" t="str">
        <v>Debit Card</v>
      </c>
      <c r="AB104" t="str">
        <v>Cancelled</v>
      </c>
      <c r="AC104">
        <v>7</v>
      </c>
      <c r="AD104">
        <v>36.619999999999997</v>
      </c>
      <c r="AE104">
        <v>45476</v>
      </c>
      <c r="AF104" t="str">
        <v>0%</v>
      </c>
      <c r="AG104" t="str">
        <v>Damaged on arrival - replaced</v>
      </c>
      <c r="AH104" t="str">
        <v>Standard</v>
      </c>
      <c r="AI104">
        <v>256.33999999999997</v>
      </c>
      <c r="AJ104" t="str">
        <v>ORD-1144</v>
      </c>
      <c r="AK104">
        <v>1144</v>
      </c>
      <c r="AL104" t="str">
        <v>Jul-2024</v>
      </c>
      <c r="AM104">
        <v>45504</v>
      </c>
    </row>
    <row r="105" spans="8:39" x14ac:dyDescent="0.25">
      <c r="H105" t="str">
        <v>ORD-1222</v>
      </c>
      <c r="I105" t="str">
        <v>2024-06-24</v>
      </c>
      <c r="J105" t="str">
        <v>aisha ali</v>
      </c>
      <c r="K105" t="str">
        <v>Nort</v>
      </c>
      <c r="L105" t="str">
        <v>Faisalabad</v>
      </c>
      <c r="M105" t="str">
        <v>furniture</v>
      </c>
      <c r="N105" t="str">
        <v>Bookshelf</v>
      </c>
      <c r="O105" t="str">
        <v>In Store</v>
      </c>
      <c r="P105">
        <v>6</v>
      </c>
      <c r="Q105">
        <v>9.81</v>
      </c>
      <c r="R105">
        <v>0</v>
      </c>
      <c r="S105" t="str">
        <v>credit card</v>
      </c>
      <c r="T105" t="str">
        <v>Canceled</v>
      </c>
      <c r="U105">
        <v>0</v>
      </c>
      <c r="V105" t="str">
        <v>Bulk order - business account</v>
      </c>
      <c r="W105" t="str">
        <v>Aisha Ali</v>
      </c>
      <c r="X105" t="str">
        <v>North</v>
      </c>
      <c r="Y105" t="str">
        <v>Furniture</v>
      </c>
      <c r="Z105" t="str">
        <v>In-Store</v>
      </c>
      <c r="AA105" t="str">
        <v>Credit Card</v>
      </c>
      <c r="AB105" t="str">
        <v>Cancelled</v>
      </c>
      <c r="AC105">
        <v>6</v>
      </c>
      <c r="AD105">
        <v>9.81</v>
      </c>
      <c r="AE105">
        <v>45467</v>
      </c>
      <c r="AF105">
        <v>0</v>
      </c>
      <c r="AG105" t="str">
        <v>Bulk order - business account</v>
      </c>
      <c r="AH105" t="str">
        <v>Standard</v>
      </c>
      <c r="AI105">
        <v>58.86</v>
      </c>
      <c r="AJ105" t="str">
        <v>ORD-1222</v>
      </c>
      <c r="AK105">
        <v>1222</v>
      </c>
      <c r="AL105" t="str">
        <v>Jun-2024</v>
      </c>
      <c r="AM105">
        <v>45473</v>
      </c>
    </row>
    <row r="106" spans="8:39" x14ac:dyDescent="0.25">
      <c r="H106" t="str">
        <v>ORD-1010</v>
      </c>
      <c r="I106" t="str">
        <v>2024-06-22</v>
      </c>
      <c r="J106" t="str">
        <v xml:space="preserve">Grace Brown </v>
      </c>
      <c r="K106" t="str">
        <v>west</v>
      </c>
      <c r="L106" t="str">
        <v>Peshawar</v>
      </c>
      <c r="M106" t="str">
        <v>Furniture</v>
      </c>
      <c r="N106" t="str">
        <v>Office Chair</v>
      </c>
      <c r="O106" t="str">
        <v>In Store</v>
      </c>
      <c r="P106">
        <v>6</v>
      </c>
      <c r="Q106">
        <v>236.18</v>
      </c>
      <c r="R106" t="str">
        <v>0%</v>
      </c>
      <c r="S106" t="str">
        <v>Credit Card</v>
      </c>
      <c r="T106" t="str">
        <v>Canceled</v>
      </c>
      <c r="U106">
        <v>0</v>
      </c>
      <c r="V106" t="str">
        <v>VIP customer</v>
      </c>
      <c r="W106" t="str">
        <v>Grace Brown</v>
      </c>
      <c r="X106" t="str">
        <v>West</v>
      </c>
      <c r="Y106" t="str">
        <v>Furniture</v>
      </c>
      <c r="Z106" t="str">
        <v>In-Store</v>
      </c>
      <c r="AA106" t="str">
        <v>Credit Card</v>
      </c>
      <c r="AB106" t="str">
        <v>Cancelled</v>
      </c>
      <c r="AC106">
        <v>6</v>
      </c>
      <c r="AD106">
        <v>236.18</v>
      </c>
      <c r="AE106">
        <v>45465</v>
      </c>
      <c r="AF106" t="str">
        <v>0%</v>
      </c>
      <c r="AG106" t="str">
        <v>VIP customer</v>
      </c>
      <c r="AH106" t="str">
        <v>High Value</v>
      </c>
      <c r="AI106">
        <v>1417.08</v>
      </c>
      <c r="AJ106" t="str">
        <v>ORD-1010</v>
      </c>
      <c r="AK106">
        <v>1010</v>
      </c>
      <c r="AL106" t="str">
        <v>Jun-2024</v>
      </c>
      <c r="AM106">
        <v>45473</v>
      </c>
    </row>
    <row r="107" spans="8:39" x14ac:dyDescent="0.25">
      <c r="H107" t="str">
        <v>ORD-1146</v>
      </c>
      <c r="I107" t="str">
        <v>2024-06-16</v>
      </c>
      <c r="J107" t="str">
        <v>ROBERT AHMED</v>
      </c>
      <c r="K107" t="str">
        <v>EAST</v>
      </c>
      <c r="L107" t="str">
        <v>Multan</v>
      </c>
      <c r="M107" t="str">
        <v xml:space="preserve">Electronics </v>
      </c>
      <c r="N107" t="str">
        <v>Wireless Mouse</v>
      </c>
      <c r="O107" t="str">
        <v>ONLINE</v>
      </c>
      <c r="P107">
        <v>4</v>
      </c>
      <c r="Q107">
        <v>490.8</v>
      </c>
      <c r="R107">
        <v>0</v>
      </c>
      <c r="S107" t="str">
        <v>Debit card</v>
      </c>
      <c r="T107" t="str">
        <v>Cancelled</v>
      </c>
      <c r="U107" t="str">
        <v>C. Osei</v>
      </c>
      <c r="V107" t="str">
        <v>Bulk order - business account</v>
      </c>
      <c r="W107" t="str">
        <v>Robert Ahmed</v>
      </c>
      <c r="X107" t="str">
        <v>East</v>
      </c>
      <c r="Y107" t="str">
        <v>Electronics</v>
      </c>
      <c r="Z107" t="str">
        <v>Online</v>
      </c>
      <c r="AA107" t="str">
        <v>Debit Card</v>
      </c>
      <c r="AB107" t="str">
        <v>Cancelled</v>
      </c>
      <c r="AC107">
        <v>4</v>
      </c>
      <c r="AD107">
        <v>490.8</v>
      </c>
      <c r="AE107">
        <v>45459</v>
      </c>
      <c r="AF107">
        <v>0</v>
      </c>
      <c r="AG107" t="str">
        <v>Bulk order - business account</v>
      </c>
      <c r="AH107" t="str">
        <v>High Value</v>
      </c>
      <c r="AI107">
        <v>1963.2</v>
      </c>
      <c r="AJ107" t="str">
        <v>ORD-1146</v>
      </c>
      <c r="AK107">
        <v>1146</v>
      </c>
      <c r="AL107" t="str">
        <v>Jun-2024</v>
      </c>
      <c r="AM107">
        <v>45473</v>
      </c>
    </row>
    <row r="108" spans="8:39" x14ac:dyDescent="0.25">
      <c r="H108" t="str">
        <v>ORD-1136</v>
      </c>
      <c r="I108" t="str">
        <v>2024-05-20</v>
      </c>
      <c r="J108" t="str">
        <v xml:space="preserve">Nida Taylor </v>
      </c>
      <c r="K108" t="str">
        <v>North</v>
      </c>
      <c r="L108" t="str">
        <v>Islamabad</v>
      </c>
      <c r="M108" t="str">
        <v>Groceries</v>
      </c>
      <c r="N108" t="str">
        <v>Basmati Rice 5kg</v>
      </c>
      <c r="O108" t="str">
        <v>ONLINE</v>
      </c>
      <c r="P108">
        <v>8</v>
      </c>
      <c r="Q108">
        <v>495.96</v>
      </c>
      <c r="R108">
        <v>0.05</v>
      </c>
      <c r="S108" t="str">
        <v xml:space="preserve">Cash </v>
      </c>
      <c r="T108" t="str">
        <v>Cancelled</v>
      </c>
      <c r="U108" t="str">
        <v>B. Fernandes</v>
      </c>
      <c r="V108">
        <v>0</v>
      </c>
      <c r="W108" t="str">
        <v>Nida Taylor</v>
      </c>
      <c r="X108" t="str">
        <v>North</v>
      </c>
      <c r="Y108" t="str">
        <v>Groceries</v>
      </c>
      <c r="Z108" t="str">
        <v>Online</v>
      </c>
      <c r="AA108" t="str">
        <v>Cash</v>
      </c>
      <c r="AB108" t="str">
        <v>Cancelled</v>
      </c>
      <c r="AC108">
        <v>8</v>
      </c>
      <c r="AD108">
        <v>495.96</v>
      </c>
      <c r="AE108">
        <v>45432</v>
      </c>
      <c r="AF108">
        <v>0.05</v>
      </c>
      <c r="AG108" t="str">
        <v/>
      </c>
      <c r="AH108" t="str">
        <v>High Value</v>
      </c>
      <c r="AI108">
        <v>3967.68</v>
      </c>
      <c r="AJ108" t="str">
        <v>ORD-1136</v>
      </c>
      <c r="AK108">
        <v>1136</v>
      </c>
      <c r="AL108" t="str">
        <v>May-2024</v>
      </c>
      <c r="AM108">
        <v>45443</v>
      </c>
    </row>
    <row r="109" spans="8:39" x14ac:dyDescent="0.25">
      <c r="H109" t="str">
        <v>ORD-1151</v>
      </c>
      <c r="I109" t="str">
        <v>2024-03-12</v>
      </c>
      <c r="J109" t="str">
        <v>Ahmed  Taylor</v>
      </c>
      <c r="K109" t="str">
        <v xml:space="preserve">North </v>
      </c>
      <c r="L109" t="str">
        <v>Islamabad</v>
      </c>
      <c r="M109" t="str">
        <v>Groceries</v>
      </c>
      <c r="N109" t="str">
        <v>Green Tea Pack</v>
      </c>
      <c r="O109" t="str">
        <v>In-Store</v>
      </c>
      <c r="P109">
        <v>0</v>
      </c>
      <c r="Q109">
        <v>205.17</v>
      </c>
      <c r="R109">
        <v>0.05</v>
      </c>
      <c r="S109" t="str">
        <v>credit card</v>
      </c>
      <c r="T109" t="str">
        <v>CANCELLED</v>
      </c>
      <c r="U109" t="str">
        <v>A. Malik</v>
      </c>
      <c r="V109" t="str">
        <v>Gift wrap requested</v>
      </c>
      <c r="W109" t="str">
        <v>Ahmed Taylor</v>
      </c>
      <c r="X109" t="str">
        <v>North</v>
      </c>
      <c r="Y109" t="str">
        <v>Groceries</v>
      </c>
      <c r="Z109" t="str">
        <v>In-Store</v>
      </c>
      <c r="AA109" t="str">
        <v>Credit Card</v>
      </c>
      <c r="AB109" t="str">
        <v>Cancelled</v>
      </c>
      <c r="AC109" t="str">
        <v/>
      </c>
      <c r="AD109">
        <v>205.17</v>
      </c>
      <c r="AE109">
        <v>45363</v>
      </c>
      <c r="AF109">
        <v>0.05</v>
      </c>
      <c r="AG109" t="str">
        <v>Gift wrap requested</v>
      </c>
      <c r="AH109" t="str">
        <v>Review</v>
      </c>
      <c r="AI109">
        <v>0</v>
      </c>
      <c r="AJ109" t="str">
        <v>ORD-1151</v>
      </c>
      <c r="AK109">
        <v>1151</v>
      </c>
      <c r="AL109" t="str">
        <v>Mar-2024</v>
      </c>
      <c r="AM109">
        <v>45382</v>
      </c>
    </row>
    <row r="110" spans="8:39" x14ac:dyDescent="0.25">
      <c r="H110" t="str">
        <v>ORD-1170</v>
      </c>
      <c r="I110" t="str">
        <v>2024-03-04</v>
      </c>
      <c r="J110" t="str">
        <v xml:space="preserve"> Chen Brown</v>
      </c>
      <c r="K110" t="str">
        <v>north</v>
      </c>
      <c r="L110" t="str">
        <v>Islamabad</v>
      </c>
      <c r="M110" t="str">
        <v>Furniture</v>
      </c>
      <c r="N110" t="str">
        <v>Study Desk</v>
      </c>
      <c r="O110" t="str">
        <v>Online</v>
      </c>
      <c r="P110">
        <v>0</v>
      </c>
      <c r="Q110" t="str">
        <v xml:space="preserve"> 183.39 </v>
      </c>
      <c r="R110">
        <v>0.15</v>
      </c>
      <c r="S110" t="str">
        <v>Cash</v>
      </c>
      <c r="T110" t="str">
        <v>Canceled</v>
      </c>
      <c r="U110">
        <v>0</v>
      </c>
      <c r="V110" t="str">
        <v>VIP customer</v>
      </c>
      <c r="W110" t="str">
        <v>Chen Brown</v>
      </c>
      <c r="X110" t="str">
        <v>North</v>
      </c>
      <c r="Y110" t="str">
        <v>Furniture</v>
      </c>
      <c r="Z110" t="str">
        <v>Online</v>
      </c>
      <c r="AA110" t="str">
        <v>Cash</v>
      </c>
      <c r="AB110" t="str">
        <v>Cancelled</v>
      </c>
      <c r="AC110" t="str">
        <v/>
      </c>
      <c r="AD110">
        <v>183.39</v>
      </c>
      <c r="AE110">
        <v>45355</v>
      </c>
      <c r="AF110">
        <v>0.15</v>
      </c>
      <c r="AG110" t="str">
        <v>VIP customer</v>
      </c>
      <c r="AH110" t="str">
        <v>Review</v>
      </c>
      <c r="AI110">
        <v>0</v>
      </c>
      <c r="AJ110" t="str">
        <v>ORD-1170</v>
      </c>
      <c r="AK110">
        <v>1170</v>
      </c>
      <c r="AL110" t="str">
        <v>Mar-2024</v>
      </c>
      <c r="AM110">
        <v>45382</v>
      </c>
    </row>
    <row r="111" spans="8:39" x14ac:dyDescent="0.25">
      <c r="H111" t="str">
        <v>ORD-1080</v>
      </c>
      <c r="I111" t="str">
        <v>2024-02-22</v>
      </c>
      <c r="J111" t="str">
        <v>EMILY SHEIKH</v>
      </c>
      <c r="K111" t="str">
        <v xml:space="preserve">West </v>
      </c>
      <c r="L111" t="str">
        <v>Peshawar</v>
      </c>
      <c r="M111" t="str">
        <v xml:space="preserve"> Furniture</v>
      </c>
      <c r="N111" t="str">
        <v>Filing Cabinet</v>
      </c>
      <c r="O111" t="str">
        <v>in-store</v>
      </c>
      <c r="P111">
        <v>9</v>
      </c>
      <c r="Q111">
        <v>45.89</v>
      </c>
      <c r="R111">
        <v>0.05</v>
      </c>
      <c r="S111" t="str">
        <v>Cash</v>
      </c>
      <c r="T111" t="str">
        <v>Cancelled</v>
      </c>
      <c r="U111" t="str">
        <v>C. Osei</v>
      </c>
      <c r="V111">
        <v>0</v>
      </c>
      <c r="W111" t="str">
        <v>Emily Sheikh</v>
      </c>
      <c r="X111" t="str">
        <v>West</v>
      </c>
      <c r="Y111" t="str">
        <v>Furniture</v>
      </c>
      <c r="Z111" t="str">
        <v>In-Store</v>
      </c>
      <c r="AA111" t="str">
        <v>Cash</v>
      </c>
      <c r="AB111" t="str">
        <v>Cancelled</v>
      </c>
      <c r="AC111">
        <v>9</v>
      </c>
      <c r="AD111">
        <v>45.89</v>
      </c>
      <c r="AE111">
        <v>45344</v>
      </c>
      <c r="AF111">
        <v>0.05</v>
      </c>
      <c r="AG111" t="str">
        <v/>
      </c>
      <c r="AH111" t="str">
        <v>Standard</v>
      </c>
      <c r="AI111">
        <v>413.01</v>
      </c>
      <c r="AJ111" t="str">
        <v>ORD-1080</v>
      </c>
      <c r="AK111">
        <v>1080</v>
      </c>
      <c r="AL111" t="str">
        <v>Feb-2024</v>
      </c>
      <c r="AM111">
        <v>45351</v>
      </c>
    </row>
    <row r="112" spans="8:39" x14ac:dyDescent="0.25">
      <c r="H112" t="str">
        <v>ORD-1125</v>
      </c>
      <c r="I112" t="str">
        <v>19/07/2024</v>
      </c>
      <c r="J112" t="str">
        <v xml:space="preserve">Emily Ahmed </v>
      </c>
      <c r="K112" t="str">
        <v>east</v>
      </c>
      <c r="L112" t="str">
        <v>Multan</v>
      </c>
      <c r="M112" t="str">
        <v>Grocery</v>
      </c>
      <c r="N112" t="str">
        <v>Almonds 500g</v>
      </c>
      <c r="O112" t="str">
        <v>online</v>
      </c>
      <c r="P112" t="str">
        <v xml:space="preserve"> 1 </v>
      </c>
      <c r="Q112">
        <v>114.89</v>
      </c>
      <c r="R112" t="str">
        <v>20%</v>
      </c>
      <c r="S112" t="str">
        <v xml:space="preserve">Credit card </v>
      </c>
      <c r="T112" t="str">
        <v>CANCELLED</v>
      </c>
      <c r="U112" t="str">
        <v>C. Osei</v>
      </c>
      <c r="V112" t="str">
        <v>Bulk order - business account</v>
      </c>
      <c r="W112" t="str">
        <v>Emily Ahmed</v>
      </c>
      <c r="X112" t="str">
        <v>East</v>
      </c>
      <c r="Y112" t="str">
        <v>Groceries</v>
      </c>
      <c r="Z112" t="str">
        <v>Online</v>
      </c>
      <c r="AA112" t="str">
        <v>Credit Card</v>
      </c>
      <c r="AB112" t="str">
        <v>Cancelled</v>
      </c>
      <c r="AC112">
        <v>1</v>
      </c>
      <c r="AD112">
        <v>114.89</v>
      </c>
      <c r="AE112">
        <v>45492</v>
      </c>
      <c r="AF112" t="str">
        <v>20%</v>
      </c>
      <c r="AG112" t="str">
        <v>Bulk order - business account</v>
      </c>
      <c r="AH112" t="str">
        <v>Standard</v>
      </c>
      <c r="AI112">
        <v>114.89</v>
      </c>
      <c r="AJ112" t="str">
        <v>ORD-1125</v>
      </c>
      <c r="AK112">
        <v>1125</v>
      </c>
      <c r="AL112" t="str">
        <v>Jul-2024</v>
      </c>
      <c r="AM112">
        <v>45504</v>
      </c>
    </row>
    <row r="113" spans="8:39" x14ac:dyDescent="0.25">
      <c r="H113" t="str">
        <v>ORD-1158</v>
      </c>
      <c r="I113" t="str">
        <v>18-Dec-24</v>
      </c>
      <c r="J113" t="str">
        <v>robert raza</v>
      </c>
      <c r="K113" t="str">
        <v>south</v>
      </c>
      <c r="L113" t="str">
        <v>Hyderabad</v>
      </c>
      <c r="M113" t="str">
        <v>Grocery</v>
      </c>
      <c r="N113" t="str">
        <v>Olive Oil 1L</v>
      </c>
      <c r="O113" t="str">
        <v xml:space="preserve">In-store </v>
      </c>
      <c r="P113">
        <v>12</v>
      </c>
      <c r="Q113">
        <v>308.79000000000002</v>
      </c>
      <c r="R113" t="str">
        <v>5%</v>
      </c>
      <c r="S113" t="str">
        <v>debit card</v>
      </c>
      <c r="T113" t="str">
        <v>Cancelled</v>
      </c>
      <c r="U113">
        <v>0</v>
      </c>
      <c r="V113" t="str">
        <v xml:space="preserve">Follow up needed	</v>
      </c>
      <c r="W113" t="str">
        <v>Robert Raza</v>
      </c>
      <c r="X113" t="str">
        <v>South</v>
      </c>
      <c r="Y113" t="str">
        <v>Groceries</v>
      </c>
      <c r="Z113" t="str">
        <v>In-Store</v>
      </c>
      <c r="AA113" t="str">
        <v>Debit Card</v>
      </c>
      <c r="AB113" t="str">
        <v>Cancelled</v>
      </c>
      <c r="AC113">
        <v>12</v>
      </c>
      <c r="AD113">
        <v>308.79000000000002</v>
      </c>
      <c r="AE113">
        <v>45644</v>
      </c>
      <c r="AF113" t="str">
        <v>5%</v>
      </c>
      <c r="AG113" t="str">
        <v>Follow up needed</v>
      </c>
      <c r="AH113" t="str">
        <v>High Value</v>
      </c>
      <c r="AI113">
        <v>3705.4800000000005</v>
      </c>
      <c r="AJ113" t="str">
        <v>ORD-1158</v>
      </c>
      <c r="AK113">
        <v>1158</v>
      </c>
      <c r="AL113" t="str">
        <v>Dec-2024</v>
      </c>
      <c r="AM113">
        <v>45657</v>
      </c>
    </row>
    <row r="114" spans="8:39" x14ac:dyDescent="0.25">
      <c r="H114" t="str">
        <v>ORD-1196</v>
      </c>
      <c r="I114" t="str">
        <v>18/06/2024</v>
      </c>
      <c r="J114" t="str">
        <v>SANA  QURESHI</v>
      </c>
      <c r="K114" t="str">
        <v>SOUTH</v>
      </c>
      <c r="L114" t="str">
        <v>Hyderabad</v>
      </c>
      <c r="M114" t="str">
        <v>electronics</v>
      </c>
      <c r="N114" t="str">
        <v>USB-C Cable</v>
      </c>
      <c r="O114" t="str">
        <v xml:space="preserve">In-store </v>
      </c>
      <c r="P114">
        <v>2</v>
      </c>
      <c r="Q114">
        <v>217.11</v>
      </c>
      <c r="R114">
        <v>0</v>
      </c>
      <c r="S114" t="str">
        <v>cash</v>
      </c>
      <c r="T114" t="str">
        <v>Cancelled</v>
      </c>
      <c r="U114" t="str">
        <v>A. Malik</v>
      </c>
      <c r="V114" t="str">
        <v xml:space="preserve">Follow up needed	</v>
      </c>
      <c r="W114" t="str">
        <v>Sana Qureshi</v>
      </c>
      <c r="X114" t="str">
        <v>South</v>
      </c>
      <c r="Y114" t="str">
        <v>Electronics</v>
      </c>
      <c r="Z114" t="str">
        <v>In-Store</v>
      </c>
      <c r="AA114" t="str">
        <v>Cash</v>
      </c>
      <c r="AB114" t="str">
        <v>Cancelled</v>
      </c>
      <c r="AC114">
        <v>2</v>
      </c>
      <c r="AD114">
        <v>217.11</v>
      </c>
      <c r="AE114">
        <v>45461</v>
      </c>
      <c r="AF114">
        <v>0</v>
      </c>
      <c r="AG114" t="str">
        <v>Follow up needed</v>
      </c>
      <c r="AH114" t="str">
        <v>Standard</v>
      </c>
      <c r="AI114">
        <v>434.22</v>
      </c>
      <c r="AJ114" t="str">
        <v>ORD-1196</v>
      </c>
      <c r="AK114">
        <v>1196</v>
      </c>
      <c r="AL114" t="str">
        <v>Jun-2024</v>
      </c>
      <c r="AM114">
        <v>45473</v>
      </c>
    </row>
    <row r="115" spans="8:39" x14ac:dyDescent="0.25">
      <c r="H115" t="str">
        <v>ORD-1196</v>
      </c>
      <c r="I115" t="str">
        <v>18/06/2024</v>
      </c>
      <c r="J115" t="str">
        <v>Sana  Qureshi</v>
      </c>
      <c r="K115" t="str">
        <v>SOUTH</v>
      </c>
      <c r="L115" t="str">
        <v>Hyderabad</v>
      </c>
      <c r="M115" t="str">
        <v>electronics</v>
      </c>
      <c r="N115" t="str">
        <v>USB-C Cable</v>
      </c>
      <c r="O115" t="str">
        <v xml:space="preserve">In-store </v>
      </c>
      <c r="P115">
        <v>2</v>
      </c>
      <c r="Q115">
        <v>217.11</v>
      </c>
      <c r="R115">
        <v>0</v>
      </c>
      <c r="S115" t="str">
        <v>cash</v>
      </c>
      <c r="T115" t="str">
        <v>Cancelled</v>
      </c>
      <c r="U115" t="str">
        <v>A. Malik</v>
      </c>
      <c r="V115" t="str">
        <v xml:space="preserve">Follow up needed	</v>
      </c>
      <c r="W115" t="str">
        <v>Sana Qureshi</v>
      </c>
      <c r="X115" t="str">
        <v>South</v>
      </c>
      <c r="Y115" t="str">
        <v>Electronics</v>
      </c>
      <c r="Z115" t="str">
        <v>In-Store</v>
      </c>
      <c r="AA115" t="str">
        <v>Cash</v>
      </c>
      <c r="AB115" t="str">
        <v>Cancelled</v>
      </c>
      <c r="AC115">
        <v>2</v>
      </c>
      <c r="AD115">
        <v>217.11</v>
      </c>
      <c r="AE115">
        <v>45461</v>
      </c>
      <c r="AF115">
        <v>0</v>
      </c>
      <c r="AG115" t="str">
        <v>Follow up needed</v>
      </c>
      <c r="AH115" t="str">
        <v>Standard</v>
      </c>
      <c r="AI115">
        <v>434.22</v>
      </c>
      <c r="AJ115" t="str">
        <v>ORD-1196</v>
      </c>
      <c r="AK115">
        <v>1196</v>
      </c>
      <c r="AL115" t="str">
        <v>Jun-2024</v>
      </c>
      <c r="AM115">
        <v>45473</v>
      </c>
    </row>
    <row r="116" spans="8:39" x14ac:dyDescent="0.25">
      <c r="H116" t="str">
        <v>ORD-1221</v>
      </c>
      <c r="I116" t="str">
        <v>14/12/2024</v>
      </c>
      <c r="J116" t="str">
        <v>Olivia Clark</v>
      </c>
      <c r="K116" t="str">
        <v xml:space="preserve"> North</v>
      </c>
      <c r="L116" t="str">
        <v>Lahore</v>
      </c>
      <c r="M116" t="str">
        <v xml:space="preserve">Electronics </v>
      </c>
      <c r="N116" t="str">
        <v>Bluetooth Speaker</v>
      </c>
      <c r="O116" t="str">
        <v xml:space="preserve">In-store </v>
      </c>
      <c r="P116">
        <v>10</v>
      </c>
      <c r="Q116">
        <v>224.17</v>
      </c>
      <c r="R116">
        <v>0.05</v>
      </c>
      <c r="S116" t="str">
        <v>bank transfer</v>
      </c>
      <c r="T116" t="str">
        <v>cancelled</v>
      </c>
      <c r="U116" t="str">
        <v>D. Iqbal</v>
      </c>
      <c r="V116" t="str">
        <v>Gift wrap requested</v>
      </c>
      <c r="W116" t="str">
        <v>Olivia Clark</v>
      </c>
      <c r="X116" t="str">
        <v>North</v>
      </c>
      <c r="Y116" t="str">
        <v>Electronics</v>
      </c>
      <c r="Z116" t="str">
        <v>In-Store</v>
      </c>
      <c r="AA116" t="str">
        <v>Bank Transfer</v>
      </c>
      <c r="AB116" t="str">
        <v>Cancelled</v>
      </c>
      <c r="AC116">
        <v>10</v>
      </c>
      <c r="AD116">
        <v>224.17</v>
      </c>
      <c r="AE116">
        <v>45640</v>
      </c>
      <c r="AF116">
        <v>0.05</v>
      </c>
      <c r="AG116" t="str">
        <v>Gift wrap requested</v>
      </c>
      <c r="AH116" t="str">
        <v>High Value</v>
      </c>
      <c r="AI116">
        <v>2241.6999999999998</v>
      </c>
      <c r="AJ116" t="str">
        <v>ORD-1221</v>
      </c>
      <c r="AK116">
        <v>1221</v>
      </c>
      <c r="AL116" t="str">
        <v>Dec-2024</v>
      </c>
      <c r="AM116">
        <v>45657</v>
      </c>
    </row>
    <row r="117" spans="8:39" x14ac:dyDescent="0.25">
      <c r="H117" t="str">
        <v>ORD-1063</v>
      </c>
      <c r="I117" t="str">
        <v>11-Mar-24</v>
      </c>
      <c r="J117" t="str">
        <v>ZARA LEE</v>
      </c>
      <c r="K117" t="str">
        <v>east</v>
      </c>
      <c r="L117" t="str">
        <v>Multan</v>
      </c>
      <c r="M117" t="str">
        <v>ELECTRONICS</v>
      </c>
      <c r="N117" t="str">
        <v>Power Bank</v>
      </c>
      <c r="O117" t="str">
        <v>instore</v>
      </c>
      <c r="P117">
        <v>9</v>
      </c>
      <c r="Q117">
        <v>27.48</v>
      </c>
      <c r="R117" t="str">
        <v>0%</v>
      </c>
      <c r="S117" t="str">
        <v xml:space="preserve">Credit card </v>
      </c>
      <c r="T117" t="str">
        <v>Cancelled</v>
      </c>
      <c r="U117" t="str">
        <v>B. Fernandes</v>
      </c>
      <c r="V117" t="str">
        <v xml:space="preserve">Leave at front desk  </v>
      </c>
      <c r="W117" t="str">
        <v>Zara Lee</v>
      </c>
      <c r="X117" t="str">
        <v>East</v>
      </c>
      <c r="Y117" t="str">
        <v>Electronics</v>
      </c>
      <c r="Z117" t="str">
        <v>In-Store</v>
      </c>
      <c r="AA117" t="str">
        <v>Credit Card</v>
      </c>
      <c r="AB117" t="str">
        <v>Cancelled</v>
      </c>
      <c r="AC117">
        <v>9</v>
      </c>
      <c r="AD117">
        <v>27.48</v>
      </c>
      <c r="AE117">
        <v>45362</v>
      </c>
      <c r="AF117" t="str">
        <v>0%</v>
      </c>
      <c r="AG117" t="str">
        <v>Leave at front desk</v>
      </c>
      <c r="AH117" t="str">
        <v>Standard</v>
      </c>
      <c r="AI117">
        <v>247.32</v>
      </c>
      <c r="AJ117" t="str">
        <v>ORD-1063</v>
      </c>
      <c r="AK117">
        <v>1063</v>
      </c>
      <c r="AL117" t="str">
        <v>Mar-2024</v>
      </c>
      <c r="AM117">
        <v>45382</v>
      </c>
    </row>
    <row r="118" spans="8:39" x14ac:dyDescent="0.25">
      <c r="H118" t="str">
        <v>ORD-1135</v>
      </c>
      <c r="I118" t="str">
        <v>10/22/2024</v>
      </c>
      <c r="J118" t="str">
        <v xml:space="preserve"> Aisha Tayloris</v>
      </c>
      <c r="K118" t="str">
        <v xml:space="preserve">North </v>
      </c>
      <c r="L118" t="str">
        <v>Islamabad</v>
      </c>
      <c r="M118" t="str">
        <v>Grocery</v>
      </c>
      <c r="N118" t="str">
        <v>Basmati Rice 5kg</v>
      </c>
      <c r="O118" t="str">
        <v xml:space="preserve">In-store </v>
      </c>
      <c r="P118">
        <v>7</v>
      </c>
      <c r="Q118" t="str">
        <v xml:space="preserve"> 217.67 </v>
      </c>
      <c r="R118">
        <v>0</v>
      </c>
      <c r="S118" t="str">
        <v>CC</v>
      </c>
      <c r="T118" t="str">
        <v>cancelled</v>
      </c>
      <c r="U118" t="str">
        <v>E. Tanaka</v>
      </c>
      <c r="V118" t="str">
        <v>Damaged on arrival - replaced</v>
      </c>
      <c r="W118" t="str">
        <v>Aisha Tayloris</v>
      </c>
      <c r="X118" t="str">
        <v>North</v>
      </c>
      <c r="Y118" t="str">
        <v>Groceries</v>
      </c>
      <c r="Z118" t="str">
        <v>In-Store</v>
      </c>
      <c r="AA118" t="str">
        <v>Credit Card</v>
      </c>
      <c r="AB118" t="str">
        <v>Cancelled</v>
      </c>
      <c r="AC118">
        <v>7</v>
      </c>
      <c r="AD118">
        <v>217.67</v>
      </c>
      <c r="AE118">
        <v>45587</v>
      </c>
      <c r="AF118">
        <v>0</v>
      </c>
      <c r="AG118" t="str">
        <v>Damaged on arrival - replaced</v>
      </c>
      <c r="AH118" t="str">
        <v>High Value</v>
      </c>
      <c r="AI118">
        <v>1523.6899999999998</v>
      </c>
      <c r="AJ118" t="str">
        <v>ORD-1135</v>
      </c>
      <c r="AK118">
        <v>1135</v>
      </c>
      <c r="AL118" t="str">
        <v>Oct-2024</v>
      </c>
      <c r="AM118">
        <v>45596</v>
      </c>
    </row>
    <row r="119" spans="8:39" x14ac:dyDescent="0.25">
      <c r="H119" t="str">
        <v>ORD-1135</v>
      </c>
      <c r="I119" t="str">
        <v>10/22/2024</v>
      </c>
      <c r="J119" t="str">
        <v>AISHA TAYLOR</v>
      </c>
      <c r="K119" t="str">
        <v xml:space="preserve">North </v>
      </c>
      <c r="L119" t="str">
        <v>Islamabad</v>
      </c>
      <c r="M119" t="str">
        <v>Grocery</v>
      </c>
      <c r="N119" t="str">
        <v>Basmati Rice 5kg</v>
      </c>
      <c r="O119" t="str">
        <v xml:space="preserve">In-store </v>
      </c>
      <c r="P119">
        <v>7</v>
      </c>
      <c r="Q119" t="str">
        <v xml:space="preserve"> 217.67 </v>
      </c>
      <c r="R119">
        <v>0</v>
      </c>
      <c r="S119" t="str">
        <v>CC</v>
      </c>
      <c r="T119" t="str">
        <v>cancelled</v>
      </c>
      <c r="U119" t="str">
        <v>E. Tanaka</v>
      </c>
      <c r="V119" t="str">
        <v>Damaged on arrival - replaced</v>
      </c>
      <c r="W119" t="str">
        <v>Aisha Taylor</v>
      </c>
      <c r="X119" t="str">
        <v>North</v>
      </c>
      <c r="Y119" t="str">
        <v>Groceries</v>
      </c>
      <c r="Z119" t="str">
        <v>In-Store</v>
      </c>
      <c r="AA119" t="str">
        <v>Credit Card</v>
      </c>
      <c r="AB119" t="str">
        <v>Cancelled</v>
      </c>
      <c r="AC119">
        <v>7</v>
      </c>
      <c r="AD119">
        <v>217.67</v>
      </c>
      <c r="AE119">
        <v>45587</v>
      </c>
      <c r="AF119">
        <v>0</v>
      </c>
      <c r="AG119" t="str">
        <v>Damaged on arrival - replaced</v>
      </c>
      <c r="AH119" t="str">
        <v>High Value</v>
      </c>
      <c r="AI119">
        <v>1523.6899999999998</v>
      </c>
      <c r="AJ119" t="str">
        <v>ORD-1135</v>
      </c>
      <c r="AK119">
        <v>1135</v>
      </c>
      <c r="AL119" t="str">
        <v>Oct-2024</v>
      </c>
      <c r="AM119">
        <v>45596</v>
      </c>
    </row>
    <row r="120" spans="8:39" x14ac:dyDescent="0.25">
      <c r="H120" t="str">
        <v>ORD-1048</v>
      </c>
      <c r="I120" t="str">
        <v>10/05/2024</v>
      </c>
      <c r="J120" t="str">
        <v>FATIMA SHEIKH</v>
      </c>
      <c r="K120" t="str">
        <v>south</v>
      </c>
      <c r="L120" t="str">
        <v>Hyderabad</v>
      </c>
      <c r="M120" t="str">
        <v>furniture</v>
      </c>
      <c r="N120" t="str">
        <v>Study Desk</v>
      </c>
      <c r="O120" t="str">
        <v>online</v>
      </c>
      <c r="P120">
        <v>10</v>
      </c>
      <c r="Q120">
        <v>311.76</v>
      </c>
      <c r="R120">
        <v>0.05</v>
      </c>
      <c r="S120" t="str">
        <v xml:space="preserve">Credit card </v>
      </c>
      <c r="T120" t="str">
        <v>CANCELLED</v>
      </c>
      <c r="U120">
        <v>0</v>
      </c>
      <c r="V120" t="str">
        <v xml:space="preserve">Leave at front desk  </v>
      </c>
      <c r="W120" t="str">
        <v>Fatima Sheikh</v>
      </c>
      <c r="X120" t="str">
        <v>South</v>
      </c>
      <c r="Y120" t="str">
        <v>Furniture</v>
      </c>
      <c r="Z120" t="str">
        <v>Online</v>
      </c>
      <c r="AA120" t="str">
        <v>Credit Card</v>
      </c>
      <c r="AB120" t="str">
        <v>Cancelled</v>
      </c>
      <c r="AC120">
        <v>10</v>
      </c>
      <c r="AD120">
        <v>311.76</v>
      </c>
      <c r="AE120">
        <v>45570</v>
      </c>
      <c r="AF120">
        <v>0.05</v>
      </c>
      <c r="AG120" t="str">
        <v>Leave at front desk</v>
      </c>
      <c r="AH120" t="str">
        <v>High Value</v>
      </c>
      <c r="AI120">
        <v>3117.6</v>
      </c>
      <c r="AJ120" t="str">
        <v>ORD-1048</v>
      </c>
      <c r="AK120">
        <v>1048</v>
      </c>
      <c r="AL120" t="str">
        <v>Oct-2024</v>
      </c>
      <c r="AM120">
        <v>45596</v>
      </c>
    </row>
    <row r="121" spans="8:39" x14ac:dyDescent="0.25">
      <c r="H121" t="str">
        <v>ORD-1109</v>
      </c>
      <c r="I121" t="str">
        <v>10/02/2024</v>
      </c>
      <c r="J121" t="str">
        <v xml:space="preserve"> Chen Malik</v>
      </c>
      <c r="K121" t="str">
        <v>west</v>
      </c>
      <c r="L121" t="str">
        <v>Quetta</v>
      </c>
      <c r="M121" t="str">
        <v xml:space="preserve"> Furniture</v>
      </c>
      <c r="N121" t="str">
        <v>Office Chair</v>
      </c>
      <c r="O121" t="str">
        <v xml:space="preserve">In-store </v>
      </c>
      <c r="P121">
        <v>7</v>
      </c>
      <c r="Q121" t="str">
        <v>$280.86</v>
      </c>
      <c r="R121">
        <v>0</v>
      </c>
      <c r="S121" t="str">
        <v xml:space="preserve">Credit card </v>
      </c>
      <c r="T121" t="str">
        <v>cancelled</v>
      </c>
      <c r="U121">
        <v>0</v>
      </c>
      <c r="V121">
        <v>0</v>
      </c>
      <c r="W121" t="str">
        <v>Chen Malik</v>
      </c>
      <c r="X121" t="str">
        <v>West</v>
      </c>
      <c r="Y121" t="str">
        <v>Furniture</v>
      </c>
      <c r="Z121" t="str">
        <v>In-Store</v>
      </c>
      <c r="AA121" t="str">
        <v>Credit Card</v>
      </c>
      <c r="AB121" t="str">
        <v>Cancelled</v>
      </c>
      <c r="AC121">
        <v>7</v>
      </c>
      <c r="AD121">
        <v>280.86</v>
      </c>
      <c r="AE121">
        <v>45567</v>
      </c>
      <c r="AF121">
        <v>0</v>
      </c>
      <c r="AG121" t="str">
        <v/>
      </c>
      <c r="AH121" t="str">
        <v>High Value</v>
      </c>
      <c r="AI121">
        <v>1966.02</v>
      </c>
      <c r="AJ121" t="str">
        <v>ORD-1109</v>
      </c>
      <c r="AK121">
        <v>1109</v>
      </c>
      <c r="AL121" t="str">
        <v>Oct-2024</v>
      </c>
      <c r="AM121">
        <v>45596</v>
      </c>
    </row>
    <row r="122" spans="8:39" x14ac:dyDescent="0.25">
      <c r="H122" t="str">
        <v>ORD-1065</v>
      </c>
      <c r="I122" t="str">
        <v>10/02/2024</v>
      </c>
      <c r="J122" t="str">
        <v xml:space="preserve">Noah Anderson </v>
      </c>
      <c r="K122" t="str">
        <v>WEST</v>
      </c>
      <c r="L122" t="str">
        <v>Quetta</v>
      </c>
      <c r="M122" t="str">
        <v>clothing</v>
      </c>
      <c r="N122" t="str">
        <v>Winter Coat</v>
      </c>
      <c r="O122" t="str">
        <v>instore</v>
      </c>
      <c r="P122">
        <v>12</v>
      </c>
      <c r="Q122">
        <v>48.62</v>
      </c>
      <c r="R122">
        <v>0</v>
      </c>
      <c r="S122" t="str">
        <v>cash</v>
      </c>
      <c r="T122" t="str">
        <v>Canceled</v>
      </c>
      <c r="U122" t="str">
        <v>E. Tanaka</v>
      </c>
      <c r="V122" t="str">
        <v xml:space="preserve">Leave at front desk  </v>
      </c>
      <c r="W122" t="str">
        <v>Noah Anderson</v>
      </c>
      <c r="X122" t="str">
        <v>West</v>
      </c>
      <c r="Y122" t="str">
        <v>Clothing</v>
      </c>
      <c r="Z122" t="str">
        <v>In-Store</v>
      </c>
      <c r="AA122" t="str">
        <v>Cash</v>
      </c>
      <c r="AB122" t="str">
        <v>Cancelled</v>
      </c>
      <c r="AC122">
        <v>12</v>
      </c>
      <c r="AD122">
        <v>48.62</v>
      </c>
      <c r="AE122">
        <v>45567</v>
      </c>
      <c r="AF122">
        <v>0</v>
      </c>
      <c r="AG122" t="str">
        <v>Leave at front desk</v>
      </c>
      <c r="AH122" t="str">
        <v>Standard</v>
      </c>
      <c r="AI122">
        <v>583.43999999999994</v>
      </c>
      <c r="AJ122" t="str">
        <v>ORD-1065</v>
      </c>
      <c r="AK122">
        <v>1065</v>
      </c>
      <c r="AL122" t="str">
        <v>Oct-2024</v>
      </c>
      <c r="AM122">
        <v>45596</v>
      </c>
    </row>
    <row r="123" spans="8:39" x14ac:dyDescent="0.25">
      <c r="H123" t="str">
        <v>ORD-1003</v>
      </c>
      <c r="I123" t="str">
        <v>09-Dec-24</v>
      </c>
      <c r="J123" t="str">
        <v>Yusuf Anderson</v>
      </c>
      <c r="K123" t="str">
        <v>EAST</v>
      </c>
      <c r="L123" t="str">
        <v>Multan</v>
      </c>
      <c r="M123" t="str">
        <v>electronics</v>
      </c>
      <c r="N123" t="str">
        <v>Bluetooth Speaker</v>
      </c>
      <c r="O123" t="str">
        <v>online</v>
      </c>
      <c r="P123">
        <v>4</v>
      </c>
      <c r="Q123">
        <v>193.16</v>
      </c>
      <c r="R123">
        <v>0.05</v>
      </c>
      <c r="S123" t="str">
        <v>Debit Card</v>
      </c>
      <c r="T123" t="str">
        <v>cancelled</v>
      </c>
      <c r="U123" t="str">
        <v>B. Fernandes</v>
      </c>
      <c r="V123" t="str">
        <v xml:space="preserve">  Customer called twice </v>
      </c>
      <c r="W123" t="str">
        <v>Yusuf Anderson</v>
      </c>
      <c r="X123" t="str">
        <v>East</v>
      </c>
      <c r="Y123" t="str">
        <v>Electronics</v>
      </c>
      <c r="Z123" t="str">
        <v>Online</v>
      </c>
      <c r="AA123" t="str">
        <v>Debit Card</v>
      </c>
      <c r="AB123" t="str">
        <v>Cancelled</v>
      </c>
      <c r="AC123">
        <v>4</v>
      </c>
      <c r="AD123">
        <v>193.16</v>
      </c>
      <c r="AE123">
        <v>45635</v>
      </c>
      <c r="AF123">
        <v>0.05</v>
      </c>
      <c r="AG123" t="str">
        <v>Customer called twice</v>
      </c>
      <c r="AH123" t="str">
        <v>Standard</v>
      </c>
      <c r="AI123">
        <v>772.64</v>
      </c>
      <c r="AJ123" t="str">
        <v>ORD-1003</v>
      </c>
      <c r="AK123">
        <v>1003</v>
      </c>
      <c r="AL123" t="str">
        <v>Dec-2024</v>
      </c>
      <c r="AM123">
        <v>45657</v>
      </c>
    </row>
    <row r="124" spans="8:39" x14ac:dyDescent="0.25">
      <c r="H124" t="str">
        <v>ORD-1102</v>
      </c>
      <c r="I124" t="str">
        <v>08/10/2024</v>
      </c>
      <c r="J124" t="str">
        <v>HINA ALI</v>
      </c>
      <c r="K124" t="str">
        <v>east</v>
      </c>
      <c r="L124" t="str">
        <v>Sialkot</v>
      </c>
      <c r="M124" t="str">
        <v>Clothing</v>
      </c>
      <c r="N124" t="str">
        <v>Formal Shirt</v>
      </c>
      <c r="O124" t="str">
        <v>in-store</v>
      </c>
      <c r="P124">
        <v>10</v>
      </c>
      <c r="Q124">
        <v>478.89</v>
      </c>
      <c r="R124">
        <v>0.2</v>
      </c>
      <c r="S124" t="str">
        <v>Debit Card</v>
      </c>
      <c r="T124" t="str">
        <v>Canceled</v>
      </c>
      <c r="U124">
        <v>0</v>
      </c>
      <c r="V124" t="str">
        <v>Bulk order - business account</v>
      </c>
      <c r="W124" t="str">
        <v>Hina Ali</v>
      </c>
      <c r="X124" t="str">
        <v>East</v>
      </c>
      <c r="Y124" t="str">
        <v>Clothing</v>
      </c>
      <c r="Z124" t="str">
        <v>In-Store</v>
      </c>
      <c r="AA124" t="str">
        <v>Debit Card</v>
      </c>
      <c r="AB124" t="str">
        <v>Cancelled</v>
      </c>
      <c r="AC124">
        <v>10</v>
      </c>
      <c r="AD124">
        <v>478.89</v>
      </c>
      <c r="AE124">
        <v>45514</v>
      </c>
      <c r="AF124">
        <v>0.2</v>
      </c>
      <c r="AG124" t="str">
        <v>Bulk order - business account</v>
      </c>
      <c r="AH124" t="str">
        <v>High Value</v>
      </c>
      <c r="AI124">
        <v>4788.8999999999996</v>
      </c>
      <c r="AJ124" t="str">
        <v>ORD-1102</v>
      </c>
      <c r="AK124">
        <v>1102</v>
      </c>
      <c r="AL124" t="str">
        <v>Aug-2024</v>
      </c>
      <c r="AM124">
        <v>45535</v>
      </c>
    </row>
    <row r="125" spans="8:39" x14ac:dyDescent="0.25">
      <c r="H125" t="str">
        <v>ORD-1102</v>
      </c>
      <c r="I125" t="str">
        <v>08/10/2024</v>
      </c>
      <c r="J125" t="str">
        <v>HINA ALI</v>
      </c>
      <c r="K125" t="str">
        <v>east</v>
      </c>
      <c r="L125" t="str">
        <v>Sialkot</v>
      </c>
      <c r="M125" t="str">
        <v>Clothing</v>
      </c>
      <c r="N125" t="str">
        <v>Formal Shirt</v>
      </c>
      <c r="O125" t="str">
        <v>in-store</v>
      </c>
      <c r="P125">
        <v>10</v>
      </c>
      <c r="Q125">
        <v>478.89</v>
      </c>
      <c r="R125">
        <v>0.2</v>
      </c>
      <c r="S125" t="str">
        <v>Debit Card</v>
      </c>
      <c r="T125" t="str">
        <v>Canceled</v>
      </c>
      <c r="U125">
        <v>0</v>
      </c>
      <c r="V125" t="str">
        <v>Bulk order - business account</v>
      </c>
      <c r="W125" t="str">
        <v>Hina Ali</v>
      </c>
      <c r="X125" t="str">
        <v>East</v>
      </c>
      <c r="Y125" t="str">
        <v>Clothing</v>
      </c>
      <c r="Z125" t="str">
        <v>In-Store</v>
      </c>
      <c r="AA125" t="str">
        <v>Debit Card</v>
      </c>
      <c r="AB125" t="str">
        <v>Cancelled</v>
      </c>
      <c r="AC125">
        <v>10</v>
      </c>
      <c r="AD125">
        <v>478.89</v>
      </c>
      <c r="AE125">
        <v>45514</v>
      </c>
      <c r="AF125">
        <v>0.2</v>
      </c>
      <c r="AG125" t="str">
        <v>Bulk order - business account</v>
      </c>
      <c r="AH125" t="str">
        <v>High Value</v>
      </c>
      <c r="AI125">
        <v>4788.8999999999996</v>
      </c>
      <c r="AJ125" t="str">
        <v>ORD-1102</v>
      </c>
      <c r="AK125">
        <v>1102</v>
      </c>
      <c r="AL125" t="str">
        <v>Aug-2024</v>
      </c>
      <c r="AM125">
        <v>45535</v>
      </c>
    </row>
    <row r="126" spans="8:39" x14ac:dyDescent="0.25">
      <c r="H126" t="str">
        <v>ORD-1102</v>
      </c>
      <c r="I126" t="str">
        <v>08/10/2024</v>
      </c>
      <c r="J126" t="str">
        <v>HINA ALI</v>
      </c>
      <c r="K126" t="str">
        <v>east</v>
      </c>
      <c r="L126" t="str">
        <v>Sialkot</v>
      </c>
      <c r="M126" t="str">
        <v>Clothing</v>
      </c>
      <c r="N126" t="str">
        <v>Formal Shirt</v>
      </c>
      <c r="O126" t="str">
        <v>in-store</v>
      </c>
      <c r="P126">
        <v>10</v>
      </c>
      <c r="Q126">
        <v>478.89</v>
      </c>
      <c r="R126">
        <v>0.2</v>
      </c>
      <c r="S126" t="str">
        <v>Debit Card</v>
      </c>
      <c r="T126" t="str">
        <v>Canceled</v>
      </c>
      <c r="U126">
        <v>0</v>
      </c>
      <c r="V126" t="str">
        <v>Bulk order - business account</v>
      </c>
      <c r="W126" t="str">
        <v>Hina Ali</v>
      </c>
      <c r="X126" t="str">
        <v>East</v>
      </c>
      <c r="Y126" t="str">
        <v>Clothing</v>
      </c>
      <c r="Z126" t="str">
        <v>In-Store</v>
      </c>
      <c r="AA126" t="str">
        <v>Debit Card</v>
      </c>
      <c r="AB126" t="str">
        <v>Cancelled</v>
      </c>
      <c r="AC126">
        <v>10</v>
      </c>
      <c r="AD126">
        <v>478.89</v>
      </c>
      <c r="AE126">
        <v>45514</v>
      </c>
      <c r="AF126">
        <v>0.2</v>
      </c>
      <c r="AG126" t="str">
        <v>Bulk order - business account</v>
      </c>
      <c r="AH126" t="str">
        <v>High Value</v>
      </c>
      <c r="AI126">
        <v>4788.8999999999996</v>
      </c>
      <c r="AJ126" t="str">
        <v>ORD-1102</v>
      </c>
      <c r="AK126">
        <v>1102</v>
      </c>
      <c r="AL126" t="str">
        <v>Aug-2024</v>
      </c>
      <c r="AM126">
        <v>45535</v>
      </c>
    </row>
    <row r="127" spans="8:39" x14ac:dyDescent="0.25">
      <c r="H127" t="str">
        <v>ORD-1067</v>
      </c>
      <c r="I127" t="str">
        <v>07-Feb-24</v>
      </c>
      <c r="J127" t="str">
        <v>Umar  Johnson</v>
      </c>
      <c r="K127" t="str">
        <v xml:space="preserve">West </v>
      </c>
      <c r="L127" t="str">
        <v>Peshawar</v>
      </c>
      <c r="M127" t="str">
        <v>Stationary</v>
      </c>
      <c r="N127" t="str">
        <v>Sticky Notes</v>
      </c>
      <c r="O127" t="str">
        <v>ONLINE</v>
      </c>
      <c r="P127" t="str">
        <v xml:space="preserve"> 8 </v>
      </c>
      <c r="Q127">
        <v>223.89</v>
      </c>
      <c r="R127">
        <v>0</v>
      </c>
      <c r="S127" t="str">
        <v>Credit Card</v>
      </c>
      <c r="T127" t="str">
        <v>cancelled</v>
      </c>
      <c r="U127" t="str">
        <v>E. Tanaka</v>
      </c>
      <c r="V127" t="str">
        <v>Damaged on arrival - replaced</v>
      </c>
      <c r="W127" t="str">
        <v>Umar Johnson</v>
      </c>
      <c r="X127" t="str">
        <v>West</v>
      </c>
      <c r="Y127" t="str">
        <v>Stationery</v>
      </c>
      <c r="Z127" t="str">
        <v>Online</v>
      </c>
      <c r="AA127" t="str">
        <v>Credit Card</v>
      </c>
      <c r="AB127" t="str">
        <v>Cancelled</v>
      </c>
      <c r="AC127">
        <v>8</v>
      </c>
      <c r="AD127">
        <v>223.89</v>
      </c>
      <c r="AE127">
        <v>45329</v>
      </c>
      <c r="AF127">
        <v>0</v>
      </c>
      <c r="AG127" t="str">
        <v>Damaged on arrival - replaced</v>
      </c>
      <c r="AH127" t="str">
        <v>High Value</v>
      </c>
      <c r="AI127">
        <v>1791.12</v>
      </c>
      <c r="AJ127" t="str">
        <v>ORD-1067</v>
      </c>
      <c r="AK127">
        <v>1067</v>
      </c>
      <c r="AL127" t="str">
        <v>Feb-2024</v>
      </c>
      <c r="AM127">
        <v>45351</v>
      </c>
    </row>
    <row r="128" spans="8:39" x14ac:dyDescent="0.25">
      <c r="H128" t="str">
        <v>ORD-1101</v>
      </c>
      <c r="I128" t="str">
        <v>07/03/2024</v>
      </c>
      <c r="J128" t="str">
        <v xml:space="preserve">Michael Anderson </v>
      </c>
      <c r="K128" t="str">
        <v>north</v>
      </c>
      <c r="L128" t="str">
        <v>Islamabad</v>
      </c>
      <c r="M128" t="str">
        <v>Furniture</v>
      </c>
      <c r="N128" t="str">
        <v>Bookshelf</v>
      </c>
      <c r="O128" t="str">
        <v>In Store</v>
      </c>
      <c r="P128">
        <v>4</v>
      </c>
      <c r="Q128">
        <v>137.16</v>
      </c>
      <c r="R128" t="str">
        <v>20%</v>
      </c>
      <c r="S128" t="str">
        <v>Credit Card</v>
      </c>
      <c r="T128" t="str">
        <v>Cancelled</v>
      </c>
      <c r="U128">
        <v>0</v>
      </c>
      <c r="V128" t="str">
        <v>Gift wrap requested</v>
      </c>
      <c r="W128" t="str">
        <v>Michael Anderson</v>
      </c>
      <c r="X128" t="str">
        <v>North</v>
      </c>
      <c r="Y128" t="str">
        <v>Furniture</v>
      </c>
      <c r="Z128" t="str">
        <v>In-Store</v>
      </c>
      <c r="AA128" t="str">
        <v>Credit Card</v>
      </c>
      <c r="AB128" t="str">
        <v>Cancelled</v>
      </c>
      <c r="AC128">
        <v>4</v>
      </c>
      <c r="AD128">
        <v>137.16</v>
      </c>
      <c r="AE128">
        <v>45476</v>
      </c>
      <c r="AF128" t="str">
        <v>20%</v>
      </c>
      <c r="AG128" t="str">
        <v>Gift wrap requested</v>
      </c>
      <c r="AH128" t="str">
        <v>Standard</v>
      </c>
      <c r="AI128">
        <v>548.64</v>
      </c>
      <c r="AJ128" t="str">
        <v>ORD-1101</v>
      </c>
      <c r="AK128">
        <v>1101</v>
      </c>
      <c r="AL128" t="str">
        <v>Jul-2024</v>
      </c>
      <c r="AM128">
        <v>45504</v>
      </c>
    </row>
    <row r="129" spans="8:39" x14ac:dyDescent="0.25">
      <c r="H129" t="str">
        <v>ORD-1095</v>
      </c>
      <c r="I129" t="str">
        <v>06-May-24</v>
      </c>
      <c r="J129" t="str">
        <v xml:space="preserve"> Kevin Garcia</v>
      </c>
      <c r="K129" t="str">
        <v xml:space="preserve"> East</v>
      </c>
      <c r="L129" t="str">
        <v>Sialkot</v>
      </c>
      <c r="M129" t="str">
        <v xml:space="preserve"> Furniture</v>
      </c>
      <c r="N129" t="str">
        <v>Sofa Set</v>
      </c>
      <c r="O129" t="str">
        <v>in-store</v>
      </c>
      <c r="P129">
        <v>9</v>
      </c>
      <c r="Q129">
        <v>387.13</v>
      </c>
      <c r="R129" t="str">
        <v>10%</v>
      </c>
      <c r="S129" t="str">
        <v>cash</v>
      </c>
      <c r="T129" t="str">
        <v>CANCELLED</v>
      </c>
      <c r="U129" t="str">
        <v>B. Fernandes</v>
      </c>
      <c r="V129" t="str">
        <v>Bulk order - business account</v>
      </c>
      <c r="W129" t="str">
        <v>Kevin Garcia</v>
      </c>
      <c r="X129" t="str">
        <v>East</v>
      </c>
      <c r="Y129" t="str">
        <v>Furniture</v>
      </c>
      <c r="Z129" t="str">
        <v>In-Store</v>
      </c>
      <c r="AA129" t="str">
        <v>Cash</v>
      </c>
      <c r="AB129" t="str">
        <v>Cancelled</v>
      </c>
      <c r="AC129">
        <v>9</v>
      </c>
      <c r="AD129">
        <v>387.13</v>
      </c>
      <c r="AE129">
        <v>45418</v>
      </c>
      <c r="AF129" t="str">
        <v>10%</v>
      </c>
      <c r="AG129" t="str">
        <v>Bulk order - business account</v>
      </c>
      <c r="AH129" t="str">
        <v>High Value</v>
      </c>
      <c r="AI129">
        <v>3484.17</v>
      </c>
      <c r="AJ129" t="str">
        <v>ORD-1095</v>
      </c>
      <c r="AK129">
        <v>1095</v>
      </c>
      <c r="AL129" t="str">
        <v>May-2024</v>
      </c>
      <c r="AM129">
        <v>45443</v>
      </c>
    </row>
    <row r="130" spans="8:39" x14ac:dyDescent="0.25">
      <c r="H130" t="str">
        <v>ORD-1202</v>
      </c>
      <c r="I130" t="str">
        <v>05/31/2024</v>
      </c>
      <c r="J130" t="str">
        <v>bilal johnson</v>
      </c>
      <c r="K130" t="str">
        <v>NORTH</v>
      </c>
      <c r="L130" t="str">
        <v>Faisalabad</v>
      </c>
      <c r="M130" t="str">
        <v>ELECTRONICS</v>
      </c>
      <c r="N130" t="str">
        <v>LED Monitor</v>
      </c>
      <c r="O130" t="str">
        <v>In Store</v>
      </c>
      <c r="P130">
        <v>7</v>
      </c>
      <c r="Q130" t="str">
        <v>$20.26</v>
      </c>
      <c r="R130">
        <v>0</v>
      </c>
      <c r="S130" t="str">
        <v>Bank Transfer</v>
      </c>
      <c r="T130" t="str">
        <v>Canceled</v>
      </c>
      <c r="U130" t="str">
        <v>E. Tanaka</v>
      </c>
      <c r="V130" t="str">
        <v xml:space="preserve">Leave at front desk  </v>
      </c>
      <c r="W130" t="str">
        <v>Bilal Johnson</v>
      </c>
      <c r="X130" t="str">
        <v>North</v>
      </c>
      <c r="Y130" t="str">
        <v>Electronics</v>
      </c>
      <c r="Z130" t="str">
        <v>In-Store</v>
      </c>
      <c r="AA130" t="str">
        <v>Bank Transfer</v>
      </c>
      <c r="AB130" t="str">
        <v>Cancelled</v>
      </c>
      <c r="AC130">
        <v>7</v>
      </c>
      <c r="AD130">
        <v>20.260000000000002</v>
      </c>
      <c r="AE130">
        <v>45443</v>
      </c>
      <c r="AF130">
        <v>0</v>
      </c>
      <c r="AG130" t="str">
        <v>Leave at front desk</v>
      </c>
      <c r="AH130" t="str">
        <v>Standard</v>
      </c>
      <c r="AI130">
        <v>141.82000000000002</v>
      </c>
      <c r="AJ130" t="str">
        <v>ORD-1202</v>
      </c>
      <c r="AK130">
        <v>1202</v>
      </c>
      <c r="AL130" t="str">
        <v>May-2024</v>
      </c>
      <c r="AM130">
        <v>45443</v>
      </c>
    </row>
    <row r="131" spans="8:39" x14ac:dyDescent="0.25">
      <c r="H131" t="str">
        <v>ORD-1154</v>
      </c>
      <c r="I131" t="str">
        <v>05/18/2024</v>
      </c>
      <c r="J131" t="str">
        <v>Aisha Khan</v>
      </c>
      <c r="K131" t="str">
        <v xml:space="preserve"> East</v>
      </c>
      <c r="L131" t="str">
        <v>Multan</v>
      </c>
      <c r="M131" t="str">
        <v>stationery</v>
      </c>
      <c r="N131" t="str">
        <v>Highlighter Set</v>
      </c>
      <c r="O131" t="str">
        <v>Online</v>
      </c>
      <c r="P131">
        <v>7</v>
      </c>
      <c r="Q131">
        <v>182.76</v>
      </c>
      <c r="R131">
        <v>0.2</v>
      </c>
      <c r="S131" t="str">
        <v>Cash</v>
      </c>
      <c r="T131" t="str">
        <v>cancelled</v>
      </c>
      <c r="U131" t="str">
        <v>D. Iqbal</v>
      </c>
      <c r="V131" t="str">
        <v>Gift wrap requested</v>
      </c>
      <c r="W131" t="str">
        <v>Aisha Khan</v>
      </c>
      <c r="X131" t="str">
        <v>East</v>
      </c>
      <c r="Y131" t="str">
        <v>Stationery</v>
      </c>
      <c r="Z131" t="str">
        <v>Online</v>
      </c>
      <c r="AA131" t="str">
        <v>Cash</v>
      </c>
      <c r="AB131" t="str">
        <v>Cancelled</v>
      </c>
      <c r="AC131">
        <v>7</v>
      </c>
      <c r="AD131">
        <v>182.76</v>
      </c>
      <c r="AE131">
        <v>45430</v>
      </c>
      <c r="AF131">
        <v>0.2</v>
      </c>
      <c r="AG131" t="str">
        <v>Gift wrap requested</v>
      </c>
      <c r="AH131" t="str">
        <v>High Value</v>
      </c>
      <c r="AI131">
        <v>1279.32</v>
      </c>
      <c r="AJ131" t="str">
        <v>ORD-1154</v>
      </c>
      <c r="AK131">
        <v>1154</v>
      </c>
      <c r="AL131" t="str">
        <v>May-2024</v>
      </c>
      <c r="AM131">
        <v>45443</v>
      </c>
    </row>
    <row r="132" spans="8:39" x14ac:dyDescent="0.25">
      <c r="H132" t="str">
        <v>ORD-1157</v>
      </c>
      <c r="I132" t="str">
        <v>05/12/2024</v>
      </c>
      <c r="J132" t="str">
        <v>Robert  Qureshi</v>
      </c>
      <c r="K132" t="str">
        <v>SOUTH</v>
      </c>
      <c r="L132" t="str">
        <v>Karachi</v>
      </c>
      <c r="M132" t="str">
        <v>Clothing</v>
      </c>
      <c r="N132" t="str">
        <v>Cotton T-Shirt</v>
      </c>
      <c r="O132" t="str">
        <v>ONLINE</v>
      </c>
      <c r="P132">
        <v>10</v>
      </c>
      <c r="Q132" t="str">
        <v>$75.12</v>
      </c>
      <c r="R132">
        <v>0.1</v>
      </c>
      <c r="S132" t="str">
        <v>credit card</v>
      </c>
      <c r="T132" t="str">
        <v>cancelled</v>
      </c>
      <c r="U132">
        <v>0</v>
      </c>
      <c r="V132" t="str">
        <v xml:space="preserve">  Customer called twice </v>
      </c>
      <c r="W132" t="str">
        <v>Robert Qureshi</v>
      </c>
      <c r="X132" t="str">
        <v>South</v>
      </c>
      <c r="Y132" t="str">
        <v>Clothing</v>
      </c>
      <c r="Z132" t="str">
        <v>Online</v>
      </c>
      <c r="AA132" t="str">
        <v>Credit Card</v>
      </c>
      <c r="AB132" t="str">
        <v>Cancelled</v>
      </c>
      <c r="AC132">
        <v>10</v>
      </c>
      <c r="AD132">
        <v>75.12</v>
      </c>
      <c r="AE132">
        <v>45424</v>
      </c>
      <c r="AF132">
        <v>0.1</v>
      </c>
      <c r="AG132" t="str">
        <v>Customer called twice</v>
      </c>
      <c r="AH132" t="str">
        <v>Standard</v>
      </c>
      <c r="AI132">
        <v>751.2</v>
      </c>
      <c r="AJ132" t="str">
        <v>ORD-1157</v>
      </c>
      <c r="AK132">
        <v>1157</v>
      </c>
      <c r="AL132" t="str">
        <v>May-2024</v>
      </c>
      <c r="AM132">
        <v>45443</v>
      </c>
    </row>
    <row r="133" spans="8:39" x14ac:dyDescent="0.25">
      <c r="H133" t="str">
        <v>ORD-1078</v>
      </c>
      <c r="I133" t="str">
        <v>04/03/2024</v>
      </c>
      <c r="J133" t="str">
        <v>james smith</v>
      </c>
      <c r="K133" t="str">
        <v>NORTH</v>
      </c>
      <c r="L133" t="str">
        <v>Islamabad</v>
      </c>
      <c r="M133" t="str">
        <v xml:space="preserve">Electronics </v>
      </c>
      <c r="N133" t="str">
        <v>Bluetooth Speaker</v>
      </c>
      <c r="O133" t="str">
        <v>ONLINE</v>
      </c>
      <c r="P133">
        <v>1</v>
      </c>
      <c r="Q133">
        <v>172.58</v>
      </c>
      <c r="R133">
        <v>0.15</v>
      </c>
      <c r="S133" t="str">
        <v>Bank Transfer</v>
      </c>
      <c r="T133" t="str">
        <v>CANCELLED</v>
      </c>
      <c r="U133">
        <v>0</v>
      </c>
      <c r="V133" t="str">
        <v xml:space="preserve">  Customer called twice </v>
      </c>
      <c r="W133" t="str">
        <v>James Smith</v>
      </c>
      <c r="X133" t="str">
        <v>North</v>
      </c>
      <c r="Y133" t="str">
        <v>Electronics</v>
      </c>
      <c r="Z133" t="str">
        <v>Online</v>
      </c>
      <c r="AA133" t="str">
        <v>Bank Transfer</v>
      </c>
      <c r="AB133" t="str">
        <v>Cancelled</v>
      </c>
      <c r="AC133">
        <v>1</v>
      </c>
      <c r="AD133">
        <v>172.58</v>
      </c>
      <c r="AE133">
        <v>45385</v>
      </c>
      <c r="AF133">
        <v>0.15</v>
      </c>
      <c r="AG133" t="str">
        <v>Customer called twice</v>
      </c>
      <c r="AH133" t="str">
        <v>Standard</v>
      </c>
      <c r="AI133">
        <v>172.58</v>
      </c>
      <c r="AJ133" t="str">
        <v>ORD-1078</v>
      </c>
      <c r="AK133">
        <v>1078</v>
      </c>
      <c r="AL133" t="str">
        <v>Apr-2024</v>
      </c>
      <c r="AM133">
        <v>45412</v>
      </c>
    </row>
    <row r="134" spans="8:39" x14ac:dyDescent="0.25">
      <c r="H134" t="str">
        <v>ORD-1220</v>
      </c>
      <c r="I134" t="str">
        <v>03-Jan-24</v>
      </c>
      <c r="J134" t="str">
        <v xml:space="preserve"> Noah Garcia</v>
      </c>
      <c r="K134" t="str">
        <v xml:space="preserve">North </v>
      </c>
      <c r="L134" t="str">
        <v>Faisalabad</v>
      </c>
      <c r="M134" t="str">
        <v xml:space="preserve">Electronics </v>
      </c>
      <c r="N134" t="str">
        <v>Bluetooth Speaker</v>
      </c>
      <c r="O134" t="str">
        <v xml:space="preserve">In-store </v>
      </c>
      <c r="P134">
        <v>10</v>
      </c>
      <c r="Q134">
        <v>481.83</v>
      </c>
      <c r="R134" t="str">
        <v>5%</v>
      </c>
      <c r="S134" t="str">
        <v>Debit card</v>
      </c>
      <c r="T134" t="str">
        <v>Canceled</v>
      </c>
      <c r="U134" t="str">
        <v>E. Tanaka</v>
      </c>
      <c r="V134" t="str">
        <v xml:space="preserve">Follow up needed	</v>
      </c>
      <c r="W134" t="str">
        <v>Noah Garcia</v>
      </c>
      <c r="X134" t="str">
        <v>North</v>
      </c>
      <c r="Y134" t="str">
        <v>Electronics</v>
      </c>
      <c r="Z134" t="str">
        <v>In-Store</v>
      </c>
      <c r="AA134" t="str">
        <v>Debit Card</v>
      </c>
      <c r="AB134" t="str">
        <v>Cancelled</v>
      </c>
      <c r="AC134">
        <v>10</v>
      </c>
      <c r="AD134">
        <v>481.83</v>
      </c>
      <c r="AE134">
        <v>45294</v>
      </c>
      <c r="AF134" t="str">
        <v>5%</v>
      </c>
      <c r="AG134" t="str">
        <v>Follow up needed</v>
      </c>
      <c r="AH134" t="str">
        <v>High Value</v>
      </c>
      <c r="AI134">
        <v>4818.3</v>
      </c>
      <c r="AJ134" t="str">
        <v>ORD-1220</v>
      </c>
      <c r="AK134">
        <v>1220</v>
      </c>
      <c r="AL134" t="str">
        <v>Jan-2024</v>
      </c>
      <c r="AM134">
        <v>45322</v>
      </c>
    </row>
    <row r="135" spans="8:39" x14ac:dyDescent="0.25">
      <c r="H135" t="str">
        <v>ORD-1212</v>
      </c>
      <c r="I135" t="str">
        <v>03/28/2024</v>
      </c>
      <c r="J135" t="str">
        <v>David Clark</v>
      </c>
      <c r="K135" t="str">
        <v>South</v>
      </c>
      <c r="L135" t="str">
        <v>Karachi</v>
      </c>
      <c r="M135" t="str">
        <v xml:space="preserve"> Furniture</v>
      </c>
      <c r="N135" t="str">
        <v>Sofa Set</v>
      </c>
      <c r="O135" t="str">
        <v>Online</v>
      </c>
      <c r="P135">
        <v>12</v>
      </c>
      <c r="Q135">
        <v>411.55</v>
      </c>
      <c r="R135">
        <v>0</v>
      </c>
      <c r="S135" t="str">
        <v>cash</v>
      </c>
      <c r="T135" t="str">
        <v>CANCELLED</v>
      </c>
      <c r="U135" t="str">
        <v>D. Iqbal</v>
      </c>
      <c r="V135" t="str">
        <v xml:space="preserve">  </v>
      </c>
      <c r="W135" t="str">
        <v>David Clark</v>
      </c>
      <c r="X135" t="str">
        <v>South</v>
      </c>
      <c r="Y135" t="str">
        <v>Furniture</v>
      </c>
      <c r="Z135" t="str">
        <v>Online</v>
      </c>
      <c r="AA135" t="str">
        <v>Cash</v>
      </c>
      <c r="AB135" t="str">
        <v>Cancelled</v>
      </c>
      <c r="AC135">
        <v>12</v>
      </c>
      <c r="AD135">
        <v>411.55</v>
      </c>
      <c r="AE135">
        <v>45379</v>
      </c>
      <c r="AF135">
        <v>0</v>
      </c>
      <c r="AG135" t="str">
        <v/>
      </c>
      <c r="AH135" t="str">
        <v>High Value</v>
      </c>
      <c r="AI135">
        <v>4938.6000000000004</v>
      </c>
      <c r="AJ135" t="str">
        <v>ORD-1212</v>
      </c>
      <c r="AK135">
        <v>1212</v>
      </c>
      <c r="AL135" t="str">
        <v>Mar-2024</v>
      </c>
      <c r="AM135">
        <v>45382</v>
      </c>
    </row>
    <row r="136" spans="8:39" x14ac:dyDescent="0.25">
      <c r="H136" t="str">
        <v>ORD-1031</v>
      </c>
      <c r="I136" t="str">
        <v>02/10/2024</v>
      </c>
      <c r="J136" t="str">
        <v xml:space="preserve">Grace Hussain </v>
      </c>
      <c r="K136" t="str">
        <v>East</v>
      </c>
      <c r="L136">
        <v>0</v>
      </c>
      <c r="M136" t="str">
        <v>GROCERIES</v>
      </c>
      <c r="N136" t="str">
        <v>Basmati Rice 5kg</v>
      </c>
      <c r="O136" t="str">
        <v>In Store</v>
      </c>
      <c r="P136">
        <v>6</v>
      </c>
      <c r="Q136">
        <v>415.21</v>
      </c>
      <c r="R136">
        <v>0.2</v>
      </c>
      <c r="S136" t="str">
        <v xml:space="preserve">Cash </v>
      </c>
      <c r="T136" t="str">
        <v>Cancelled</v>
      </c>
      <c r="U136" t="str">
        <v>E. Tanaka</v>
      </c>
      <c r="V136" t="str">
        <v>Damaged on arrival - replaced</v>
      </c>
      <c r="W136" t="str">
        <v>Grace Hussain</v>
      </c>
      <c r="X136" t="str">
        <v>East</v>
      </c>
      <c r="Y136" t="str">
        <v>Groceries</v>
      </c>
      <c r="Z136" t="str">
        <v>In-Store</v>
      </c>
      <c r="AA136" t="str">
        <v>Cash</v>
      </c>
      <c r="AB136" t="str">
        <v>Cancelled</v>
      </c>
      <c r="AC136">
        <v>6</v>
      </c>
      <c r="AD136">
        <v>415.21</v>
      </c>
      <c r="AE136">
        <v>45332</v>
      </c>
      <c r="AF136">
        <v>0.2</v>
      </c>
      <c r="AG136" t="str">
        <v>Damaged on arrival - replaced</v>
      </c>
      <c r="AH136" t="str">
        <v>High Value</v>
      </c>
      <c r="AI136">
        <v>2491.2599999999998</v>
      </c>
      <c r="AJ136" t="str">
        <v>ORD-1031</v>
      </c>
      <c r="AK136">
        <v>1031</v>
      </c>
      <c r="AL136" t="str">
        <v>Feb-2024</v>
      </c>
      <c r="AM136">
        <v>45351</v>
      </c>
    </row>
    <row r="137" spans="8:39" x14ac:dyDescent="0.25">
      <c r="H137" t="str">
        <v>ORD-1149</v>
      </c>
      <c r="I137" t="str">
        <v>02/08/2024</v>
      </c>
      <c r="J137" t="str">
        <v xml:space="preserve">Kevin Brown </v>
      </c>
      <c r="K137" t="str">
        <v>West</v>
      </c>
      <c r="L137" t="str">
        <v>Quetta</v>
      </c>
      <c r="M137" t="str">
        <v>furniture</v>
      </c>
      <c r="N137" t="str">
        <v>Bookshelf</v>
      </c>
      <c r="O137" t="str">
        <v>In-Store</v>
      </c>
      <c r="P137">
        <v>6</v>
      </c>
      <c r="Q137">
        <v>199.51</v>
      </c>
      <c r="R137">
        <v>0</v>
      </c>
      <c r="S137" t="str">
        <v>Debit card</v>
      </c>
      <c r="T137" t="str">
        <v>Cancelled</v>
      </c>
      <c r="U137" t="str">
        <v>B. Fernandes</v>
      </c>
      <c r="V137" t="str">
        <v xml:space="preserve">Follow up needed	</v>
      </c>
      <c r="W137" t="str">
        <v>Kevin Brown</v>
      </c>
      <c r="X137" t="str">
        <v>West</v>
      </c>
      <c r="Y137" t="str">
        <v>Furniture</v>
      </c>
      <c r="Z137" t="str">
        <v>In-Store</v>
      </c>
      <c r="AA137" t="str">
        <v>Debit Card</v>
      </c>
      <c r="AB137" t="str">
        <v>Cancelled</v>
      </c>
      <c r="AC137">
        <v>6</v>
      </c>
      <c r="AD137">
        <v>199.51</v>
      </c>
      <c r="AE137">
        <v>45330</v>
      </c>
      <c r="AF137">
        <v>0</v>
      </c>
      <c r="AG137" t="str">
        <v>Follow up needed</v>
      </c>
      <c r="AH137" t="str">
        <v>High Value</v>
      </c>
      <c r="AI137">
        <v>1197.06</v>
      </c>
      <c r="AJ137" t="str">
        <v>ORD-1149</v>
      </c>
      <c r="AK137">
        <v>1149</v>
      </c>
      <c r="AL137" t="str">
        <v>Feb-2024</v>
      </c>
      <c r="AM137">
        <v>45351</v>
      </c>
    </row>
    <row r="138" spans="8:39" x14ac:dyDescent="0.25">
      <c r="H138" t="str">
        <v>ORD-1079</v>
      </c>
      <c r="I138" t="str">
        <v>01-Dec-24</v>
      </c>
      <c r="J138" t="str">
        <v>Bilal Lee</v>
      </c>
      <c r="K138" t="str">
        <v>east</v>
      </c>
      <c r="L138" t="str">
        <v>Multan</v>
      </c>
      <c r="M138" t="str">
        <v>ELECTRONICS</v>
      </c>
      <c r="N138" t="str">
        <v>Bluetooth Speaker</v>
      </c>
      <c r="O138" t="str">
        <v xml:space="preserve">In-store </v>
      </c>
      <c r="P138">
        <v>7</v>
      </c>
      <c r="Q138">
        <v>273.8</v>
      </c>
      <c r="R138">
        <v>0.05</v>
      </c>
      <c r="S138" t="str">
        <v>CC</v>
      </c>
      <c r="T138" t="str">
        <v>cancelled</v>
      </c>
      <c r="U138" t="str">
        <v>A. Malik</v>
      </c>
      <c r="V138" t="str">
        <v xml:space="preserve">Leave at front desk  </v>
      </c>
      <c r="W138" t="str">
        <v>Bilal Lee</v>
      </c>
      <c r="X138" t="str">
        <v>East</v>
      </c>
      <c r="Y138" t="str">
        <v>Electronics</v>
      </c>
      <c r="Z138" t="str">
        <v>In-Store</v>
      </c>
      <c r="AA138" t="str">
        <v>Credit Card</v>
      </c>
      <c r="AB138" t="str">
        <v>Cancelled</v>
      </c>
      <c r="AC138">
        <v>7</v>
      </c>
      <c r="AD138">
        <v>273.8</v>
      </c>
      <c r="AE138">
        <v>45627</v>
      </c>
      <c r="AF138">
        <v>0.05</v>
      </c>
      <c r="AG138" t="str">
        <v>Leave at front desk</v>
      </c>
      <c r="AH138" t="str">
        <v>High Value</v>
      </c>
      <c r="AI138">
        <v>1916.6000000000001</v>
      </c>
      <c r="AJ138" t="str">
        <v>ORD-1079</v>
      </c>
      <c r="AK138">
        <v>1079</v>
      </c>
      <c r="AL138" t="str">
        <v>Dec-2024</v>
      </c>
      <c r="AM138">
        <v>45657</v>
      </c>
    </row>
    <row r="139" spans="8:39" x14ac:dyDescent="0.25">
      <c r="H139" t="str">
        <v>ORD-1167</v>
      </c>
      <c r="I139" t="str">
        <v>01/12/2024</v>
      </c>
      <c r="J139" t="str">
        <v xml:space="preserve"> Liam Wilson</v>
      </c>
      <c r="K139" t="str">
        <v>West</v>
      </c>
      <c r="L139" t="str">
        <v>Peshawar</v>
      </c>
      <c r="M139" t="str">
        <v>furniture</v>
      </c>
      <c r="N139" t="str">
        <v>Sofa Set</v>
      </c>
      <c r="O139" t="str">
        <v>online</v>
      </c>
      <c r="P139">
        <v>2</v>
      </c>
      <c r="Q139">
        <v>54.99</v>
      </c>
      <c r="R139">
        <v>0.1</v>
      </c>
      <c r="S139" t="str">
        <v>debit card</v>
      </c>
      <c r="T139" t="str">
        <v>Cancelled</v>
      </c>
      <c r="U139" t="str">
        <v>D. Iqbal</v>
      </c>
      <c r="V139" t="str">
        <v>Damaged on arrival - replaced</v>
      </c>
      <c r="W139" t="str">
        <v>Liam Wilson</v>
      </c>
      <c r="X139" t="str">
        <v>West</v>
      </c>
      <c r="Y139" t="str">
        <v>Furniture</v>
      </c>
      <c r="Z139" t="str">
        <v>Online</v>
      </c>
      <c r="AA139" t="str">
        <v>Debit Card</v>
      </c>
      <c r="AB139" t="str">
        <v>Cancelled</v>
      </c>
      <c r="AC139">
        <v>2</v>
      </c>
      <c r="AD139">
        <v>54.99</v>
      </c>
      <c r="AE139">
        <v>45303</v>
      </c>
      <c r="AF139">
        <v>0.1</v>
      </c>
      <c r="AG139" t="str">
        <v>Damaged on arrival - replaced</v>
      </c>
      <c r="AH139" t="str">
        <v>Standard</v>
      </c>
      <c r="AI139">
        <v>109.98</v>
      </c>
      <c r="AJ139" t="str">
        <v>ORD-1167</v>
      </c>
      <c r="AK139">
        <v>1167</v>
      </c>
      <c r="AL139" t="str">
        <v>Jan-2024</v>
      </c>
      <c r="AM139">
        <v>45322</v>
      </c>
    </row>
    <row r="152" spans="8:41" x14ac:dyDescent="0.25">
      <c r="H152" t="str" cm="1">
        <f t="array" ref="H152:AO279">_xlfn._xlws.FILTER(Orders_Raw!A2:AH245,(Orders_Raw!AB2:AB245&gt;400)*(Orders_Raw!U2:U245&lt;&gt;"Cancelled"),"No matching orders")</f>
        <v>ORD-1105</v>
      </c>
      <c r="I152" t="str">
        <v>03/01/2024</v>
      </c>
      <c r="J152" t="str">
        <v>Grace Khan</v>
      </c>
      <c r="K152" t="str">
        <v>West</v>
      </c>
      <c r="L152" t="str">
        <v>Peshawar</v>
      </c>
      <c r="M152" t="str">
        <v xml:space="preserve"> Furniture</v>
      </c>
      <c r="N152" t="str">
        <v>Bookshelf</v>
      </c>
      <c r="O152" t="str">
        <v>In Store</v>
      </c>
      <c r="P152">
        <v>8</v>
      </c>
      <c r="Q152">
        <v>453.85</v>
      </c>
      <c r="R152" t="str">
        <v>20%</v>
      </c>
      <c r="S152" t="str">
        <v>CREDIT CARD</v>
      </c>
      <c r="T152" t="str">
        <v>PENDING</v>
      </c>
      <c r="U152" t="str">
        <v>C. Osei</v>
      </c>
      <c r="V152" t="str">
        <v>Bulk order - business account</v>
      </c>
      <c r="W152" t="str">
        <v>Grace Khan</v>
      </c>
      <c r="X152" t="str">
        <v>West</v>
      </c>
      <c r="Y152" t="str">
        <v>Furniture</v>
      </c>
      <c r="Z152" t="str">
        <v>In-Store</v>
      </c>
      <c r="AA152" t="str">
        <v>Credit Card</v>
      </c>
      <c r="AB152" t="str">
        <v>Pending</v>
      </c>
      <c r="AC152">
        <v>8</v>
      </c>
      <c r="AD152">
        <v>453.85</v>
      </c>
      <c r="AE152">
        <v>45352</v>
      </c>
      <c r="AF152" t="str">
        <v>20%</v>
      </c>
      <c r="AG152" t="str">
        <v>Bulk order - business account</v>
      </c>
      <c r="AH152" t="str">
        <v>High Value</v>
      </c>
      <c r="AI152">
        <v>3630.8</v>
      </c>
      <c r="AJ152" t="str">
        <v>ORD-1105</v>
      </c>
      <c r="AK152">
        <v>1105</v>
      </c>
      <c r="AL152" t="str">
        <v>Mar-2024</v>
      </c>
      <c r="AM152">
        <v>45382</v>
      </c>
      <c r="AN152" t="str">
        <v>Grace</v>
      </c>
      <c r="AO152">
        <v>0.2</v>
      </c>
    </row>
    <row r="153" spans="8:41" x14ac:dyDescent="0.25">
      <c r="H153" t="str">
        <v>ORD-1200</v>
      </c>
      <c r="I153" t="str">
        <v>13/01/2024</v>
      </c>
      <c r="J153" t="str">
        <v xml:space="preserve">Grace Smith </v>
      </c>
      <c r="K153" t="str">
        <v>north</v>
      </c>
      <c r="L153" t="str">
        <v>Faisalabad</v>
      </c>
      <c r="M153" t="str">
        <v xml:space="preserve"> Furniture</v>
      </c>
      <c r="N153" t="str">
        <v>Office Chair</v>
      </c>
      <c r="O153" t="str">
        <v xml:space="preserve">Online </v>
      </c>
      <c r="P153">
        <v>9</v>
      </c>
      <c r="Q153">
        <v>439.93</v>
      </c>
      <c r="R153">
        <v>0</v>
      </c>
      <c r="S153" t="str">
        <v>Bank Transfer</v>
      </c>
      <c r="T153" t="str">
        <v>PENDING</v>
      </c>
      <c r="U153" t="str">
        <v>B. Fernandes</v>
      </c>
      <c r="V153">
        <v>0</v>
      </c>
      <c r="W153" t="str">
        <v>Grace Smith</v>
      </c>
      <c r="X153" t="str">
        <v>North</v>
      </c>
      <c r="Y153" t="str">
        <v>Furniture</v>
      </c>
      <c r="Z153" t="str">
        <v>Online</v>
      </c>
      <c r="AA153" t="str">
        <v>Bank Transfer</v>
      </c>
      <c r="AB153" t="str">
        <v>Pending</v>
      </c>
      <c r="AC153">
        <v>9</v>
      </c>
      <c r="AD153">
        <v>439.93</v>
      </c>
      <c r="AE153">
        <v>45304</v>
      </c>
      <c r="AF153">
        <v>0</v>
      </c>
      <c r="AG153" t="str">
        <v/>
      </c>
      <c r="AH153" t="str">
        <v>High Value</v>
      </c>
      <c r="AI153">
        <v>3959.37</v>
      </c>
      <c r="AJ153" t="str">
        <v>ORD-1200</v>
      </c>
      <c r="AK153">
        <v>1200</v>
      </c>
      <c r="AL153" t="str">
        <v>Jan-2024</v>
      </c>
      <c r="AM153">
        <v>45322</v>
      </c>
      <c r="AN153" t="str">
        <v>Grace</v>
      </c>
      <c r="AO153">
        <v>0</v>
      </c>
    </row>
    <row r="154" spans="8:41" x14ac:dyDescent="0.25">
      <c r="H154" t="str">
        <v>ORD-1018</v>
      </c>
      <c r="I154" t="str">
        <v>25/02/2024</v>
      </c>
      <c r="J154" t="str">
        <v>UMAR FAROOQ</v>
      </c>
      <c r="K154" t="str">
        <v>south</v>
      </c>
      <c r="L154" t="str">
        <v>Karachi</v>
      </c>
      <c r="M154" t="str">
        <v xml:space="preserve"> Furniture</v>
      </c>
      <c r="N154" t="str">
        <v>Office Chair</v>
      </c>
      <c r="O154" t="str">
        <v>ONLINE</v>
      </c>
      <c r="P154">
        <v>12</v>
      </c>
      <c r="Q154">
        <v>392.28</v>
      </c>
      <c r="R154" t="str">
        <v>5%</v>
      </c>
      <c r="S154" t="str">
        <v>CC</v>
      </c>
      <c r="T154" t="str">
        <v>COMPLETED</v>
      </c>
      <c r="U154">
        <v>0</v>
      </c>
      <c r="V154" t="str">
        <v>Gift wrap requested</v>
      </c>
      <c r="W154" t="str">
        <v>Umar Farooq</v>
      </c>
      <c r="X154" t="str">
        <v>South</v>
      </c>
      <c r="Y154" t="str">
        <v>Furniture</v>
      </c>
      <c r="Z154" t="str">
        <v>Online</v>
      </c>
      <c r="AA154" t="str">
        <v>Credit Card</v>
      </c>
      <c r="AB154" t="str">
        <v>Completed</v>
      </c>
      <c r="AC154">
        <v>12</v>
      </c>
      <c r="AD154">
        <v>392.28</v>
      </c>
      <c r="AE154">
        <v>45347</v>
      </c>
      <c r="AF154" t="str">
        <v>5%</v>
      </c>
      <c r="AG154" t="str">
        <v>Gift wrap requested</v>
      </c>
      <c r="AH154" t="str">
        <v>High Value</v>
      </c>
      <c r="AI154">
        <v>4707.3599999999997</v>
      </c>
      <c r="AJ154" t="str">
        <v>ORD-1018</v>
      </c>
      <c r="AK154">
        <v>1018</v>
      </c>
      <c r="AL154" t="str">
        <v>Feb-2024</v>
      </c>
      <c r="AM154">
        <v>45351</v>
      </c>
      <c r="AN154" t="str">
        <v>UMAR</v>
      </c>
      <c r="AO154">
        <v>0.05</v>
      </c>
    </row>
    <row r="155" spans="8:41" x14ac:dyDescent="0.25">
      <c r="H155" t="str">
        <v>ORD-1227</v>
      </c>
      <c r="I155" t="str">
        <v>2024-07-22</v>
      </c>
      <c r="J155" t="str">
        <v>Liam  Anderson</v>
      </c>
      <c r="K155" t="str">
        <v>south</v>
      </c>
      <c r="L155" t="str">
        <v>Hyderabad</v>
      </c>
      <c r="M155" t="str">
        <v xml:space="preserve"> Furniture</v>
      </c>
      <c r="N155" t="str">
        <v>Filing Cabinet</v>
      </c>
      <c r="O155" t="str">
        <v>ONLINE</v>
      </c>
      <c r="P155">
        <v>11</v>
      </c>
      <c r="Q155">
        <v>361.68</v>
      </c>
      <c r="R155">
        <v>0</v>
      </c>
      <c r="S155" t="str">
        <v>Cash</v>
      </c>
      <c r="T155" t="str">
        <v>pending</v>
      </c>
      <c r="U155" t="str">
        <v>A. Malik</v>
      </c>
      <c r="V155" t="str">
        <v xml:space="preserve">Follow up needed	</v>
      </c>
      <c r="W155" t="str">
        <v>Liam Anderson</v>
      </c>
      <c r="X155" t="str">
        <v>South</v>
      </c>
      <c r="Y155" t="str">
        <v>Furniture</v>
      </c>
      <c r="Z155" t="str">
        <v>Online</v>
      </c>
      <c r="AA155" t="str">
        <v>Cash</v>
      </c>
      <c r="AB155" t="str">
        <v>Pending</v>
      </c>
      <c r="AC155">
        <v>11</v>
      </c>
      <c r="AD155">
        <v>361.68</v>
      </c>
      <c r="AE155">
        <v>45495</v>
      </c>
      <c r="AF155">
        <v>0</v>
      </c>
      <c r="AG155" t="str">
        <v>Follow up needed</v>
      </c>
      <c r="AH155" t="str">
        <v>High Value</v>
      </c>
      <c r="AI155">
        <v>3978.48</v>
      </c>
      <c r="AJ155" t="str">
        <v>ORD-1227</v>
      </c>
      <c r="AK155">
        <v>1227</v>
      </c>
      <c r="AL155" t="str">
        <v>Jul-2024</v>
      </c>
      <c r="AM155">
        <v>45504</v>
      </c>
      <c r="AN155" t="str">
        <v>Liam</v>
      </c>
      <c r="AO155">
        <v>0</v>
      </c>
    </row>
    <row r="156" spans="8:41" x14ac:dyDescent="0.25">
      <c r="H156" t="str">
        <v>ORD-1147</v>
      </c>
      <c r="I156" t="str">
        <v>04-Oct-24</v>
      </c>
      <c r="J156" t="str">
        <v>daniel smith</v>
      </c>
      <c r="K156" t="str">
        <v>SOUTH</v>
      </c>
      <c r="L156" t="str">
        <v>Hyderabad</v>
      </c>
      <c r="M156" t="str">
        <v xml:space="preserve"> Furniture</v>
      </c>
      <c r="N156" t="str">
        <v>Bookshelf</v>
      </c>
      <c r="O156" t="str">
        <v>instore</v>
      </c>
      <c r="P156">
        <v>4</v>
      </c>
      <c r="Q156">
        <v>275.55</v>
      </c>
      <c r="R156">
        <v>0</v>
      </c>
      <c r="S156" t="str">
        <v>debit card</v>
      </c>
      <c r="T156" t="str">
        <v>Completed</v>
      </c>
      <c r="U156" t="str">
        <v>B. Fernandes</v>
      </c>
      <c r="V156" t="str">
        <v>Gift wrap requested</v>
      </c>
      <c r="W156" t="str">
        <v>Daniel Smith</v>
      </c>
      <c r="X156" t="str">
        <v>South</v>
      </c>
      <c r="Y156" t="str">
        <v>Furniture</v>
      </c>
      <c r="Z156" t="str">
        <v>In-Store</v>
      </c>
      <c r="AA156" t="str">
        <v>Debit Card</v>
      </c>
      <c r="AB156" t="str">
        <v>Completed</v>
      </c>
      <c r="AC156">
        <v>4</v>
      </c>
      <c r="AD156">
        <v>275.55</v>
      </c>
      <c r="AE156">
        <v>45569</v>
      </c>
      <c r="AF156">
        <v>0</v>
      </c>
      <c r="AG156" t="str">
        <v>Gift wrap requested</v>
      </c>
      <c r="AH156" t="str">
        <v>High Value</v>
      </c>
      <c r="AI156">
        <v>1102.2</v>
      </c>
      <c r="AJ156" t="str">
        <v>ORD-1147</v>
      </c>
      <c r="AK156">
        <v>1147</v>
      </c>
      <c r="AL156" t="str">
        <v>Oct-2024</v>
      </c>
      <c r="AM156">
        <v>45596</v>
      </c>
      <c r="AN156" t="str">
        <v>daniel</v>
      </c>
      <c r="AO156">
        <v>0</v>
      </c>
    </row>
    <row r="157" spans="8:41" x14ac:dyDescent="0.25">
      <c r="H157" t="str">
        <v>ORD-1046</v>
      </c>
      <c r="I157" t="str">
        <v>13-Jul-24</v>
      </c>
      <c r="J157" t="str">
        <v>LIAM ALI</v>
      </c>
      <c r="K157" t="str">
        <v xml:space="preserve"> North</v>
      </c>
      <c r="L157">
        <v>0</v>
      </c>
      <c r="M157" t="str">
        <v xml:space="preserve"> Furniture</v>
      </c>
      <c r="N157" t="str">
        <v>Study Desk</v>
      </c>
      <c r="O157" t="str">
        <v>online</v>
      </c>
      <c r="P157">
        <v>8</v>
      </c>
      <c r="Q157">
        <v>136.19</v>
      </c>
      <c r="R157">
        <v>0</v>
      </c>
      <c r="S157" t="str">
        <v>Debit Card</v>
      </c>
      <c r="T157" t="str">
        <v>PENDING</v>
      </c>
      <c r="U157" t="str">
        <v>E. Tanaka</v>
      </c>
      <c r="V157" t="str">
        <v>Damaged on arrival - replaced</v>
      </c>
      <c r="W157" t="str">
        <v>Liam Ali</v>
      </c>
      <c r="X157" t="str">
        <v>North</v>
      </c>
      <c r="Y157" t="str">
        <v>Furniture</v>
      </c>
      <c r="Z157" t="str">
        <v>Online</v>
      </c>
      <c r="AA157" t="str">
        <v>Debit Card</v>
      </c>
      <c r="AB157" t="str">
        <v>Pending</v>
      </c>
      <c r="AC157">
        <v>8</v>
      </c>
      <c r="AD157">
        <v>136.19</v>
      </c>
      <c r="AE157">
        <v>45486</v>
      </c>
      <c r="AF157">
        <v>0</v>
      </c>
      <c r="AG157" t="str">
        <v>Damaged on arrival - replaced</v>
      </c>
      <c r="AH157" t="str">
        <v>High Value</v>
      </c>
      <c r="AI157">
        <v>1089.52</v>
      </c>
      <c r="AJ157" t="str">
        <v>ORD-1046</v>
      </c>
      <c r="AK157">
        <v>1046</v>
      </c>
      <c r="AL157" t="str">
        <v>Jul-2024</v>
      </c>
      <c r="AM157">
        <v>45504</v>
      </c>
      <c r="AN157" t="str">
        <v>LIAM</v>
      </c>
      <c r="AO157">
        <v>0</v>
      </c>
    </row>
    <row r="158" spans="8:41" x14ac:dyDescent="0.25">
      <c r="H158" t="str">
        <v>ORD-1198</v>
      </c>
      <c r="I158" t="str">
        <v>08/16/2024</v>
      </c>
      <c r="J158" t="str">
        <v>GRACE ANDERSON</v>
      </c>
      <c r="K158" t="str">
        <v>east</v>
      </c>
      <c r="L158" t="str">
        <v>Multan</v>
      </c>
      <c r="M158" t="str">
        <v>Cloth ing</v>
      </c>
      <c r="N158" t="str">
        <v>Formal Shirt</v>
      </c>
      <c r="O158" t="str">
        <v xml:space="preserve">Online </v>
      </c>
      <c r="P158">
        <v>10</v>
      </c>
      <c r="Q158">
        <v>498.33</v>
      </c>
      <c r="R158">
        <v>0</v>
      </c>
      <c r="S158" t="str">
        <v>credit card</v>
      </c>
      <c r="T158" t="str">
        <v>PENDING</v>
      </c>
      <c r="U158" t="str">
        <v>C. Osei</v>
      </c>
      <c r="V158" t="str">
        <v>VIP customer</v>
      </c>
      <c r="W158" t="str">
        <v>Grace Anderson</v>
      </c>
      <c r="X158" t="str">
        <v>East</v>
      </c>
      <c r="Y158" t="str">
        <v>Clothing</v>
      </c>
      <c r="Z158" t="str">
        <v>Online</v>
      </c>
      <c r="AA158" t="str">
        <v>Credit Card</v>
      </c>
      <c r="AB158" t="str">
        <v>Pending</v>
      </c>
      <c r="AC158">
        <v>10</v>
      </c>
      <c r="AD158">
        <v>498.33</v>
      </c>
      <c r="AE158">
        <v>45520</v>
      </c>
      <c r="AF158">
        <v>0</v>
      </c>
      <c r="AG158" t="str">
        <v>VIP customer</v>
      </c>
      <c r="AH158" t="str">
        <v>High Value</v>
      </c>
      <c r="AI158">
        <v>4983.3</v>
      </c>
      <c r="AJ158" t="str">
        <v>ORD-1198</v>
      </c>
      <c r="AK158">
        <v>1198</v>
      </c>
      <c r="AL158" t="str">
        <v>Aug-2024</v>
      </c>
      <c r="AM158">
        <v>45535</v>
      </c>
      <c r="AN158" t="str">
        <v>GRACE</v>
      </c>
      <c r="AO158">
        <v>0</v>
      </c>
    </row>
    <row r="159" spans="8:41" x14ac:dyDescent="0.25">
      <c r="H159" t="str">
        <v>ORD-1198</v>
      </c>
      <c r="I159" t="str">
        <v>08/16/2024</v>
      </c>
      <c r="J159" t="str">
        <v>Grace Anderson</v>
      </c>
      <c r="K159" t="str">
        <v>east</v>
      </c>
      <c r="L159" t="str">
        <v>Multan</v>
      </c>
      <c r="M159" t="str">
        <v>Cloth ing</v>
      </c>
      <c r="N159" t="str">
        <v>Formal Shirt</v>
      </c>
      <c r="O159" t="str">
        <v xml:space="preserve">Online </v>
      </c>
      <c r="P159">
        <v>10</v>
      </c>
      <c r="Q159">
        <v>498.33</v>
      </c>
      <c r="R159">
        <v>0</v>
      </c>
      <c r="S159" t="str">
        <v>credit card</v>
      </c>
      <c r="T159" t="str">
        <v>PENDING</v>
      </c>
      <c r="U159" t="str">
        <v>C. Osei</v>
      </c>
      <c r="V159" t="str">
        <v>VIP customer</v>
      </c>
      <c r="W159" t="str">
        <v>Grace Anderson</v>
      </c>
      <c r="X159" t="str">
        <v>East</v>
      </c>
      <c r="Y159" t="str">
        <v>Clothing</v>
      </c>
      <c r="Z159" t="str">
        <v>Online</v>
      </c>
      <c r="AA159" t="str">
        <v>Credit Card</v>
      </c>
      <c r="AB159" t="str">
        <v>Pending</v>
      </c>
      <c r="AC159">
        <v>10</v>
      </c>
      <c r="AD159">
        <v>498.33</v>
      </c>
      <c r="AE159">
        <v>45520</v>
      </c>
      <c r="AF159">
        <v>0</v>
      </c>
      <c r="AG159" t="str">
        <v>VIP customer</v>
      </c>
      <c r="AH159" t="str">
        <v>High Value</v>
      </c>
      <c r="AI159">
        <v>4983.3</v>
      </c>
      <c r="AJ159" t="str">
        <v>ORD-1198</v>
      </c>
      <c r="AK159">
        <v>1198</v>
      </c>
      <c r="AL159" t="str">
        <v>Aug-2024</v>
      </c>
      <c r="AM159">
        <v>45535</v>
      </c>
      <c r="AN159" t="str">
        <v>Grace</v>
      </c>
      <c r="AO159">
        <v>0</v>
      </c>
    </row>
    <row r="160" spans="8:41" x14ac:dyDescent="0.25">
      <c r="H160" t="str">
        <v>ORD-1173</v>
      </c>
      <c r="I160" t="str">
        <v>06/01/2024</v>
      </c>
      <c r="J160" t="str">
        <v xml:space="preserve">Daniel Raza </v>
      </c>
      <c r="K160" t="str">
        <v>West</v>
      </c>
      <c r="L160" t="str">
        <v>Quetta</v>
      </c>
      <c r="M160" t="str">
        <v>Cloth ing</v>
      </c>
      <c r="N160" t="str">
        <v>Formal Shirt</v>
      </c>
      <c r="O160" t="str">
        <v>online</v>
      </c>
      <c r="P160" t="str">
        <v xml:space="preserve"> 8 </v>
      </c>
      <c r="Q160">
        <v>494.24</v>
      </c>
      <c r="R160">
        <v>0.1</v>
      </c>
      <c r="S160" t="str">
        <v xml:space="preserve">Cash </v>
      </c>
      <c r="T160" t="str">
        <v>Refunded</v>
      </c>
      <c r="U160">
        <v>0</v>
      </c>
      <c r="V160" t="str">
        <v xml:space="preserve">Follow up needed	</v>
      </c>
      <c r="W160" t="str">
        <v>Daniel Raza</v>
      </c>
      <c r="X160" t="str">
        <v>West</v>
      </c>
      <c r="Y160" t="str">
        <v>Clothing</v>
      </c>
      <c r="Z160" t="str">
        <v>Online</v>
      </c>
      <c r="AA160" t="str">
        <v>Cash</v>
      </c>
      <c r="AB160" t="str">
        <v>Refunded</v>
      </c>
      <c r="AC160">
        <v>8</v>
      </c>
      <c r="AD160">
        <v>494.24</v>
      </c>
      <c r="AE160">
        <v>45444</v>
      </c>
      <c r="AF160">
        <v>0.1</v>
      </c>
      <c r="AG160" t="str">
        <v>Follow up needed</v>
      </c>
      <c r="AH160" t="str">
        <v>High Value</v>
      </c>
      <c r="AI160">
        <v>3953.92</v>
      </c>
      <c r="AJ160" t="str">
        <v>ORD-1173</v>
      </c>
      <c r="AK160">
        <v>1173</v>
      </c>
      <c r="AL160" t="str">
        <v>Jun-2024</v>
      </c>
      <c r="AM160">
        <v>45473</v>
      </c>
      <c r="AN160" t="str">
        <v>Daniel</v>
      </c>
      <c r="AO160">
        <v>0.1</v>
      </c>
    </row>
    <row r="161" spans="8:41" x14ac:dyDescent="0.25">
      <c r="H161" t="str">
        <v>ORD-1224</v>
      </c>
      <c r="I161" t="str">
        <v>04/08/2024</v>
      </c>
      <c r="J161" t="str">
        <v xml:space="preserve">Emily Johnson </v>
      </c>
      <c r="K161" t="str">
        <v>West</v>
      </c>
      <c r="L161" t="str">
        <v>Quetta</v>
      </c>
      <c r="M161" t="str">
        <v>Cloth ing</v>
      </c>
      <c r="N161" t="str">
        <v>Running Shoes</v>
      </c>
      <c r="O161" t="str">
        <v>In-Store</v>
      </c>
      <c r="P161" t="str">
        <v xml:space="preserve"> 8 </v>
      </c>
      <c r="Q161">
        <v>383.31</v>
      </c>
      <c r="R161">
        <v>0.2</v>
      </c>
      <c r="S161" t="str">
        <v>CREDIT CARD</v>
      </c>
      <c r="T161" t="str">
        <v>Completed</v>
      </c>
      <c r="U161" t="str">
        <v>E. Tanaka</v>
      </c>
      <c r="V161" t="str">
        <v>Bulk order - business account</v>
      </c>
      <c r="W161" t="str">
        <v>Emily Johnson</v>
      </c>
      <c r="X161" t="str">
        <v>West</v>
      </c>
      <c r="Y161" t="str">
        <v>Clothing</v>
      </c>
      <c r="Z161" t="str">
        <v>In-Store</v>
      </c>
      <c r="AA161" t="str">
        <v>Credit Card</v>
      </c>
      <c r="AB161" t="str">
        <v>Completed</v>
      </c>
      <c r="AC161">
        <v>8</v>
      </c>
      <c r="AD161">
        <v>383.31</v>
      </c>
      <c r="AE161">
        <v>45390</v>
      </c>
      <c r="AF161">
        <v>0.2</v>
      </c>
      <c r="AG161" t="str">
        <v>Bulk order - business account</v>
      </c>
      <c r="AH161" t="str">
        <v>High Value</v>
      </c>
      <c r="AI161">
        <v>3066.48</v>
      </c>
      <c r="AJ161" t="str">
        <v>ORD-1224</v>
      </c>
      <c r="AK161">
        <v>1224</v>
      </c>
      <c r="AL161" t="str">
        <v>Apr-2024</v>
      </c>
      <c r="AM161">
        <v>45412</v>
      </c>
      <c r="AN161" t="str">
        <v>Emily</v>
      </c>
      <c r="AO161">
        <v>0.2</v>
      </c>
    </row>
    <row r="162" spans="8:41" x14ac:dyDescent="0.25">
      <c r="H162" t="str">
        <v>ORD-1082</v>
      </c>
      <c r="I162" t="str">
        <v>06/07/2024</v>
      </c>
      <c r="J162" t="str">
        <v xml:space="preserve"> John Brown</v>
      </c>
      <c r="K162" t="str">
        <v>West</v>
      </c>
      <c r="L162" t="str">
        <v>Quetta</v>
      </c>
      <c r="M162" t="str">
        <v>Cloth ing</v>
      </c>
      <c r="N162" t="str">
        <v>Running Shoes</v>
      </c>
      <c r="O162" t="str">
        <v>Online</v>
      </c>
      <c r="P162" t="str">
        <v xml:space="preserve"> 10 </v>
      </c>
      <c r="Q162">
        <v>227.71</v>
      </c>
      <c r="R162">
        <v>0</v>
      </c>
      <c r="S162" t="str">
        <v>cash</v>
      </c>
      <c r="T162" t="str">
        <v>COMPLETED</v>
      </c>
      <c r="U162" t="str">
        <v>E. Tanaka</v>
      </c>
      <c r="V162">
        <v>0</v>
      </c>
      <c r="W162" t="str">
        <v>John Brown</v>
      </c>
      <c r="X162" t="str">
        <v>West</v>
      </c>
      <c r="Y162" t="str">
        <v>Clothing</v>
      </c>
      <c r="Z162" t="str">
        <v>Online</v>
      </c>
      <c r="AA162" t="str">
        <v>Cash</v>
      </c>
      <c r="AB162" t="str">
        <v>Completed</v>
      </c>
      <c r="AC162">
        <v>10</v>
      </c>
      <c r="AD162">
        <v>227.71</v>
      </c>
      <c r="AE162">
        <v>45450</v>
      </c>
      <c r="AF162">
        <v>0</v>
      </c>
      <c r="AG162" t="str">
        <v/>
      </c>
      <c r="AH162" t="str">
        <v>High Value</v>
      </c>
      <c r="AI162">
        <v>2277.1</v>
      </c>
      <c r="AJ162" t="str">
        <v>ORD-1082</v>
      </c>
      <c r="AK162">
        <v>1082</v>
      </c>
      <c r="AL162" t="str">
        <v>Jun-2024</v>
      </c>
      <c r="AM162">
        <v>45473</v>
      </c>
      <c r="AN162" t="str">
        <v>John</v>
      </c>
      <c r="AO162">
        <v>0</v>
      </c>
    </row>
    <row r="163" spans="8:41" x14ac:dyDescent="0.25">
      <c r="H163" t="str">
        <v>ORD-1002</v>
      </c>
      <c r="I163" t="str">
        <v>August 23, 2024</v>
      </c>
      <c r="J163" t="str">
        <v xml:space="preserve"> Laura Lee</v>
      </c>
      <c r="K163" t="str">
        <v>East</v>
      </c>
      <c r="L163" t="str">
        <v>Multan</v>
      </c>
      <c r="M163" t="str">
        <v>Cloth ing</v>
      </c>
      <c r="N163" t="str">
        <v>Denim Jacket</v>
      </c>
      <c r="O163" t="str">
        <v xml:space="preserve">Online </v>
      </c>
      <c r="P163" t="str">
        <v xml:space="preserve"> 6 </v>
      </c>
      <c r="Q163">
        <v>193.06</v>
      </c>
      <c r="R163">
        <v>0</v>
      </c>
      <c r="S163" t="str">
        <v>CC</v>
      </c>
      <c r="T163" t="str">
        <v>refunded</v>
      </c>
      <c r="U163" t="str">
        <v>A. Malik</v>
      </c>
      <c r="V163" t="str">
        <v xml:space="preserve">  Customer called twice </v>
      </c>
      <c r="W163" t="str">
        <v>Laura Lee</v>
      </c>
      <c r="X163" t="str">
        <v>East</v>
      </c>
      <c r="Y163" t="str">
        <v>Clothing</v>
      </c>
      <c r="Z163" t="str">
        <v>Online</v>
      </c>
      <c r="AA163" t="str">
        <v>Credit Card</v>
      </c>
      <c r="AB163" t="str">
        <v>Refunded</v>
      </c>
      <c r="AC163">
        <v>6</v>
      </c>
      <c r="AD163">
        <v>193.06</v>
      </c>
      <c r="AE163">
        <v>45527</v>
      </c>
      <c r="AF163">
        <v>0</v>
      </c>
      <c r="AG163" t="str">
        <v>Customer called twice</v>
      </c>
      <c r="AH163" t="str">
        <v>High Value</v>
      </c>
      <c r="AI163">
        <v>1158.3600000000001</v>
      </c>
      <c r="AJ163" t="str">
        <v>ORD-1002</v>
      </c>
      <c r="AK163">
        <v>1002</v>
      </c>
      <c r="AL163" t="str">
        <v>Aug-2024</v>
      </c>
      <c r="AM163">
        <v>45535</v>
      </c>
      <c r="AN163" t="str">
        <v>Laura</v>
      </c>
      <c r="AO163">
        <v>0</v>
      </c>
    </row>
    <row r="164" spans="8:41" x14ac:dyDescent="0.25">
      <c r="H164" t="str">
        <v>ORD-1096</v>
      </c>
      <c r="I164" t="str">
        <v>2024-12-31</v>
      </c>
      <c r="J164" t="str">
        <v>maria ahmed</v>
      </c>
      <c r="K164" t="str">
        <v>east</v>
      </c>
      <c r="L164" t="str">
        <v>Sialkot</v>
      </c>
      <c r="M164" t="str">
        <v>Cloth ing</v>
      </c>
      <c r="N164" t="str">
        <v>Formal Shirt</v>
      </c>
      <c r="O164" t="str">
        <v>online</v>
      </c>
      <c r="P164">
        <v>10</v>
      </c>
      <c r="Q164">
        <v>192.95</v>
      </c>
      <c r="R164">
        <v>0.05</v>
      </c>
      <c r="S164" t="str">
        <v>CC</v>
      </c>
      <c r="T164" t="str">
        <v>Completed</v>
      </c>
      <c r="U164" t="str">
        <v>C. Osei</v>
      </c>
      <c r="V164">
        <v>0</v>
      </c>
      <c r="W164" t="str">
        <v>Maria Ahmed</v>
      </c>
      <c r="X164" t="str">
        <v>East</v>
      </c>
      <c r="Y164" t="str">
        <v>Clothing</v>
      </c>
      <c r="Z164" t="str">
        <v>Online</v>
      </c>
      <c r="AA164" t="str">
        <v>Credit Card</v>
      </c>
      <c r="AB164" t="str">
        <v>Completed</v>
      </c>
      <c r="AC164">
        <v>10</v>
      </c>
      <c r="AD164">
        <v>192.95</v>
      </c>
      <c r="AE164">
        <v>45657</v>
      </c>
      <c r="AF164">
        <v>0.05</v>
      </c>
      <c r="AG164" t="str">
        <v/>
      </c>
      <c r="AH164" t="str">
        <v>High Value</v>
      </c>
      <c r="AI164">
        <v>1929.5</v>
      </c>
      <c r="AJ164" t="str">
        <v>ORD-1096</v>
      </c>
      <c r="AK164">
        <v>1096</v>
      </c>
      <c r="AL164" t="str">
        <v>Dec-2024</v>
      </c>
      <c r="AM164">
        <v>45657</v>
      </c>
      <c r="AN164" t="str">
        <v>maria</v>
      </c>
      <c r="AO164">
        <v>0.05</v>
      </c>
    </row>
    <row r="165" spans="8:41" x14ac:dyDescent="0.25">
      <c r="H165" t="str">
        <v>ORD-1049</v>
      </c>
      <c r="I165" t="str">
        <v>21-Oct-24</v>
      </c>
      <c r="J165" t="str">
        <v>HINA SMITH</v>
      </c>
      <c r="K165" t="str">
        <v>east</v>
      </c>
      <c r="L165" t="str">
        <v>Multan</v>
      </c>
      <c r="M165" t="str">
        <v>Cloth ing</v>
      </c>
      <c r="N165" t="str">
        <v>Running Shoes</v>
      </c>
      <c r="O165" t="str">
        <v>In-Store</v>
      </c>
      <c r="P165">
        <v>8</v>
      </c>
      <c r="Q165">
        <v>103.61</v>
      </c>
      <c r="R165">
        <v>0.05</v>
      </c>
      <c r="S165" t="str">
        <v>debit card</v>
      </c>
      <c r="T165" t="str">
        <v>pending</v>
      </c>
      <c r="U165" t="str">
        <v>C. Osei</v>
      </c>
      <c r="V165" t="str">
        <v xml:space="preserve">Leave at front desk  </v>
      </c>
      <c r="W165" t="str">
        <v>Hina Smith</v>
      </c>
      <c r="X165" t="str">
        <v>East</v>
      </c>
      <c r="Y165" t="str">
        <v>Clothing</v>
      </c>
      <c r="Z165" t="str">
        <v>In-Store</v>
      </c>
      <c r="AA165" t="str">
        <v>Debit Card</v>
      </c>
      <c r="AB165" t="str">
        <v>Pending</v>
      </c>
      <c r="AC165">
        <v>8</v>
      </c>
      <c r="AD165">
        <v>103.61</v>
      </c>
      <c r="AE165">
        <v>45586</v>
      </c>
      <c r="AF165">
        <v>0.05</v>
      </c>
      <c r="AG165" t="str">
        <v>Leave at front desk</v>
      </c>
      <c r="AH165" t="str">
        <v>Standard</v>
      </c>
      <c r="AI165">
        <v>828.88</v>
      </c>
      <c r="AJ165" t="str">
        <v>ORD-1049</v>
      </c>
      <c r="AK165">
        <v>1049</v>
      </c>
      <c r="AL165" t="str">
        <v>Oct-2024</v>
      </c>
      <c r="AM165">
        <v>45596</v>
      </c>
      <c r="AN165" t="str">
        <v>HINA</v>
      </c>
      <c r="AO165">
        <v>0.05</v>
      </c>
    </row>
    <row r="166" spans="8:41" x14ac:dyDescent="0.25">
      <c r="H166" t="str">
        <v>ORD-1226</v>
      </c>
      <c r="I166" t="str">
        <v>April 30, 2024</v>
      </c>
      <c r="J166" t="str">
        <v>zara taylor</v>
      </c>
      <c r="K166" t="str">
        <v xml:space="preserve">South </v>
      </c>
      <c r="L166" t="str">
        <v>Hyderabad</v>
      </c>
      <c r="M166" t="str">
        <v>Cloth ing</v>
      </c>
      <c r="N166" t="str">
        <v>Running Shoes</v>
      </c>
      <c r="O166" t="str">
        <v>In-Store</v>
      </c>
      <c r="P166" t="str">
        <v xml:space="preserve"> 8 </v>
      </c>
      <c r="Q166">
        <v>69.91</v>
      </c>
      <c r="R166">
        <v>0</v>
      </c>
      <c r="S166" t="str">
        <v>credit card</v>
      </c>
      <c r="T166" t="str">
        <v>Refunded</v>
      </c>
      <c r="U166" t="str">
        <v>C. Osei</v>
      </c>
      <c r="V166" t="str">
        <v xml:space="preserve">  </v>
      </c>
      <c r="W166" t="str">
        <v>Zara Taylor</v>
      </c>
      <c r="X166" t="str">
        <v>South</v>
      </c>
      <c r="Y166" t="str">
        <v>Clothing</v>
      </c>
      <c r="Z166" t="str">
        <v>In-Store</v>
      </c>
      <c r="AA166" t="str">
        <v>Credit Card</v>
      </c>
      <c r="AB166" t="str">
        <v>Refunded</v>
      </c>
      <c r="AC166">
        <v>8</v>
      </c>
      <c r="AD166">
        <v>69.91</v>
      </c>
      <c r="AE166">
        <v>45412</v>
      </c>
      <c r="AF166">
        <v>0</v>
      </c>
      <c r="AG166" t="str">
        <v/>
      </c>
      <c r="AH166" t="str">
        <v>Standard</v>
      </c>
      <c r="AI166">
        <v>559.28</v>
      </c>
      <c r="AJ166" t="str">
        <v>ORD-1226</v>
      </c>
      <c r="AK166">
        <v>1226</v>
      </c>
      <c r="AL166" t="str">
        <v>Apr-2024</v>
      </c>
      <c r="AM166">
        <v>45412</v>
      </c>
      <c r="AN166" t="str">
        <v>zara</v>
      </c>
      <c r="AO166">
        <v>0</v>
      </c>
    </row>
    <row r="167" spans="8:41" x14ac:dyDescent="0.25">
      <c r="H167" t="str">
        <v>ORD-1016</v>
      </c>
      <c r="I167" t="str">
        <v>07-Mar-24</v>
      </c>
      <c r="J167" t="str">
        <v>James Ali</v>
      </c>
      <c r="K167" t="str">
        <v>SOUTH</v>
      </c>
      <c r="L167" t="str">
        <v>Hyderabad</v>
      </c>
      <c r="M167" t="str">
        <v>clothing</v>
      </c>
      <c r="N167" t="str">
        <v>Formal Shirt</v>
      </c>
      <c r="O167" t="str">
        <v xml:space="preserve">In-store </v>
      </c>
      <c r="P167">
        <v>8</v>
      </c>
      <c r="Q167" t="str">
        <v>$454.54</v>
      </c>
      <c r="R167" t="str">
        <v>10%</v>
      </c>
      <c r="S167" t="str">
        <v>Credit Card</v>
      </c>
      <c r="T167" t="str">
        <v>Completed</v>
      </c>
      <c r="U167" t="str">
        <v>C. Osei</v>
      </c>
      <c r="V167" t="str">
        <v xml:space="preserve">Follow up needed	</v>
      </c>
      <c r="W167" t="str">
        <v>James Ali</v>
      </c>
      <c r="X167" t="str">
        <v>South</v>
      </c>
      <c r="Y167" t="str">
        <v>Clothing</v>
      </c>
      <c r="Z167" t="str">
        <v>In-Store</v>
      </c>
      <c r="AA167" t="str">
        <v>Credit Card</v>
      </c>
      <c r="AB167" t="str">
        <v>Completed</v>
      </c>
      <c r="AC167">
        <v>8</v>
      </c>
      <c r="AD167">
        <v>454.54</v>
      </c>
      <c r="AE167">
        <v>45358</v>
      </c>
      <c r="AF167" t="str">
        <v>10%</v>
      </c>
      <c r="AG167" t="str">
        <v>Follow up needed</v>
      </c>
      <c r="AH167" t="str">
        <v>High Value</v>
      </c>
      <c r="AI167">
        <v>3636.32</v>
      </c>
      <c r="AJ167" t="str">
        <v>ORD-1016</v>
      </c>
      <c r="AK167">
        <v>1016</v>
      </c>
      <c r="AL167" t="str">
        <v>Mar-2024</v>
      </c>
      <c r="AM167">
        <v>45382</v>
      </c>
      <c r="AN167" t="str">
        <v>James</v>
      </c>
      <c r="AO167">
        <v>0.1</v>
      </c>
    </row>
    <row r="168" spans="8:41" x14ac:dyDescent="0.25">
      <c r="H168" t="str">
        <v>ORD-1047</v>
      </c>
      <c r="I168" t="str">
        <v>2024-06-15</v>
      </c>
      <c r="J168" t="str">
        <v>Liam Farooq</v>
      </c>
      <c r="K168" t="str">
        <v>north</v>
      </c>
      <c r="L168" t="str">
        <v>Faisalabad</v>
      </c>
      <c r="M168" t="str">
        <v>clothing</v>
      </c>
      <c r="N168" t="str">
        <v>Cotton T-Shirt</v>
      </c>
      <c r="O168" t="str">
        <v>In Store</v>
      </c>
      <c r="P168">
        <v>2</v>
      </c>
      <c r="Q168" t="str">
        <v>$353.43</v>
      </c>
      <c r="R168">
        <v>0</v>
      </c>
      <c r="S168" t="str">
        <v>CC</v>
      </c>
      <c r="T168" t="str">
        <v>Completed</v>
      </c>
      <c r="U168" t="str">
        <v>A. Malik</v>
      </c>
      <c r="V168" t="str">
        <v xml:space="preserve">Leave at front desk  </v>
      </c>
      <c r="W168" t="str">
        <v>Liam Farooq</v>
      </c>
      <c r="X168" t="str">
        <v>North</v>
      </c>
      <c r="Y168" t="str">
        <v>Clothing</v>
      </c>
      <c r="Z168" t="str">
        <v>In-Store</v>
      </c>
      <c r="AA168" t="str">
        <v>Credit Card</v>
      </c>
      <c r="AB168" t="str">
        <v>Completed</v>
      </c>
      <c r="AC168">
        <v>2</v>
      </c>
      <c r="AD168">
        <v>353.43</v>
      </c>
      <c r="AE168">
        <v>45458</v>
      </c>
      <c r="AF168">
        <v>0</v>
      </c>
      <c r="AG168" t="str">
        <v>Leave at front desk</v>
      </c>
      <c r="AH168" t="str">
        <v>Standard</v>
      </c>
      <c r="AI168">
        <v>706.86</v>
      </c>
      <c r="AJ168" t="str">
        <v>ORD-1047</v>
      </c>
      <c r="AK168">
        <v>1047</v>
      </c>
      <c r="AL168" t="str">
        <v>Jun-2024</v>
      </c>
      <c r="AM168">
        <v>45473</v>
      </c>
      <c r="AN168" t="str">
        <v>Liam</v>
      </c>
      <c r="AO168">
        <v>0</v>
      </c>
    </row>
    <row r="169" spans="8:41" x14ac:dyDescent="0.25">
      <c r="H169" t="str">
        <v>ORD-1103</v>
      </c>
      <c r="I169" t="str">
        <v>02/29/2024</v>
      </c>
      <c r="J169" t="str">
        <v>Nida  Garcia</v>
      </c>
      <c r="K169" t="str">
        <v xml:space="preserve"> North</v>
      </c>
      <c r="L169" t="str">
        <v>Lahore</v>
      </c>
      <c r="M169" t="str">
        <v>Clothing</v>
      </c>
      <c r="N169" t="str">
        <v>Winter Coat</v>
      </c>
      <c r="O169" t="str">
        <v>online</v>
      </c>
      <c r="P169">
        <v>1</v>
      </c>
      <c r="Q169" t="str">
        <v xml:space="preserve"> 451.93 </v>
      </c>
      <c r="R169">
        <v>0.05</v>
      </c>
      <c r="S169" t="str">
        <v>Debit Card</v>
      </c>
      <c r="T169" t="str">
        <v>Pending</v>
      </c>
      <c r="U169" t="str">
        <v>D. Iqbal</v>
      </c>
      <c r="V169" t="str">
        <v>Damaged on arrival - replaced</v>
      </c>
      <c r="W169" t="str">
        <v>Nida Garcia</v>
      </c>
      <c r="X169" t="str">
        <v>North</v>
      </c>
      <c r="Y169" t="str">
        <v>Clothing</v>
      </c>
      <c r="Z169" t="str">
        <v>Online</v>
      </c>
      <c r="AA169" t="str">
        <v>Debit Card</v>
      </c>
      <c r="AB169" t="str">
        <v>Pending</v>
      </c>
      <c r="AC169">
        <v>1</v>
      </c>
      <c r="AD169">
        <v>451.93</v>
      </c>
      <c r="AE169">
        <v>45351</v>
      </c>
      <c r="AF169">
        <v>0.05</v>
      </c>
      <c r="AG169" t="str">
        <v>Damaged on arrival - replaced</v>
      </c>
      <c r="AH169" t="str">
        <v>Standard</v>
      </c>
      <c r="AI169">
        <v>451.93</v>
      </c>
      <c r="AJ169" t="str">
        <v>ORD-1103</v>
      </c>
      <c r="AK169">
        <v>1103</v>
      </c>
      <c r="AL169" t="str">
        <v>Feb-2024</v>
      </c>
      <c r="AM169">
        <v>45351</v>
      </c>
      <c r="AN169" t="str">
        <v>Nida</v>
      </c>
      <c r="AO169">
        <v>0.05</v>
      </c>
    </row>
    <row r="170" spans="8:41" x14ac:dyDescent="0.25">
      <c r="H170" t="str">
        <v>ORD-1117</v>
      </c>
      <c r="I170" t="str">
        <v>18/06/2024</v>
      </c>
      <c r="J170" t="str">
        <v xml:space="preserve">Yusuf Johnson </v>
      </c>
      <c r="K170" t="str">
        <v>East</v>
      </c>
      <c r="L170" t="str">
        <v>Multan</v>
      </c>
      <c r="M170" t="str">
        <v>Clothing</v>
      </c>
      <c r="N170" t="str">
        <v>Denim Jacket</v>
      </c>
      <c r="O170" t="str">
        <v>ONLINE</v>
      </c>
      <c r="P170">
        <v>12</v>
      </c>
      <c r="Q170">
        <v>464.79</v>
      </c>
      <c r="R170" t="str">
        <v>20%</v>
      </c>
      <c r="S170" t="str">
        <v>debit card</v>
      </c>
      <c r="T170" t="str">
        <v>PENDING</v>
      </c>
      <c r="U170" t="str">
        <v>E. Tanaka</v>
      </c>
      <c r="V170" t="str">
        <v xml:space="preserve">Follow up needed	</v>
      </c>
      <c r="W170" t="str">
        <v>Yusuf Johnson</v>
      </c>
      <c r="X170" t="str">
        <v>East</v>
      </c>
      <c r="Y170" t="str">
        <v>Clothing</v>
      </c>
      <c r="Z170" t="str">
        <v>Online</v>
      </c>
      <c r="AA170" t="str">
        <v>Debit Card</v>
      </c>
      <c r="AB170" t="str">
        <v>Pending</v>
      </c>
      <c r="AC170">
        <v>12</v>
      </c>
      <c r="AD170">
        <v>464.79</v>
      </c>
      <c r="AE170">
        <v>45461</v>
      </c>
      <c r="AF170" t="str">
        <v>20%</v>
      </c>
      <c r="AG170" t="str">
        <v>Follow up needed</v>
      </c>
      <c r="AH170" t="str">
        <v>High Value</v>
      </c>
      <c r="AI170">
        <v>5577.4800000000005</v>
      </c>
      <c r="AJ170" t="str">
        <v>ORD-1117</v>
      </c>
      <c r="AK170">
        <v>1117</v>
      </c>
      <c r="AL170" t="str">
        <v>Jun-2024</v>
      </c>
      <c r="AM170">
        <v>45473</v>
      </c>
      <c r="AN170" t="str">
        <v>Yusuf</v>
      </c>
      <c r="AO170">
        <v>0.2</v>
      </c>
    </row>
    <row r="171" spans="8:41" x14ac:dyDescent="0.25">
      <c r="H171" t="str">
        <v>ORD-1061</v>
      </c>
      <c r="I171" t="str">
        <v>2024-07-24</v>
      </c>
      <c r="J171" t="str">
        <v xml:space="preserve"> Nida Hussain</v>
      </c>
      <c r="K171" t="str">
        <v xml:space="preserve"> North</v>
      </c>
      <c r="L171" t="str">
        <v>Faisalabad</v>
      </c>
      <c r="M171" t="str">
        <v>Clothing</v>
      </c>
      <c r="N171" t="str">
        <v>Denim Jacket</v>
      </c>
      <c r="O171" t="str">
        <v>In-Store</v>
      </c>
      <c r="P171">
        <v>12</v>
      </c>
      <c r="Q171">
        <v>461.16</v>
      </c>
      <c r="R171">
        <v>0</v>
      </c>
      <c r="S171" t="str">
        <v>CREDIT CARD</v>
      </c>
      <c r="T171" t="str">
        <v>pending</v>
      </c>
      <c r="U171">
        <v>0</v>
      </c>
      <c r="V171" t="str">
        <v xml:space="preserve">Follow up needed	</v>
      </c>
      <c r="W171" t="str">
        <v>Nida Hussain</v>
      </c>
      <c r="X171" t="str">
        <v>North</v>
      </c>
      <c r="Y171" t="str">
        <v>Clothing</v>
      </c>
      <c r="Z171" t="str">
        <v>In-Store</v>
      </c>
      <c r="AA171" t="str">
        <v>Credit Card</v>
      </c>
      <c r="AB171" t="str">
        <v>Pending</v>
      </c>
      <c r="AC171">
        <v>12</v>
      </c>
      <c r="AD171">
        <v>461.16</v>
      </c>
      <c r="AE171">
        <v>45497</v>
      </c>
      <c r="AF171">
        <v>0</v>
      </c>
      <c r="AG171" t="str">
        <v>Follow up needed</v>
      </c>
      <c r="AH171" t="str">
        <v>High Value</v>
      </c>
      <c r="AI171">
        <v>5533.92</v>
      </c>
      <c r="AJ171" t="str">
        <v>ORD-1061</v>
      </c>
      <c r="AK171">
        <v>1061</v>
      </c>
      <c r="AL171" t="str">
        <v>Jul-2024</v>
      </c>
      <c r="AM171">
        <v>45504</v>
      </c>
      <c r="AN171" t="str">
        <v>Nida</v>
      </c>
      <c r="AO171">
        <v>0</v>
      </c>
    </row>
    <row r="172" spans="8:41" x14ac:dyDescent="0.25">
      <c r="H172" t="str">
        <v>ORD-1223</v>
      </c>
      <c r="I172" t="str">
        <v>07/01/2024</v>
      </c>
      <c r="J172" t="str">
        <v>YUSUF MALIK</v>
      </c>
      <c r="K172" t="str">
        <v>EAST</v>
      </c>
      <c r="L172" t="str">
        <v>Multan</v>
      </c>
      <c r="M172" t="str">
        <v>clothing</v>
      </c>
      <c r="N172" t="str">
        <v>Denim Jacket</v>
      </c>
      <c r="O172" t="str">
        <v>instore</v>
      </c>
      <c r="P172" t="str">
        <v xml:space="preserve"> 12 </v>
      </c>
      <c r="Q172">
        <v>369.04</v>
      </c>
      <c r="R172">
        <v>0</v>
      </c>
      <c r="S172" t="str">
        <v xml:space="preserve">Credit card </v>
      </c>
      <c r="T172" t="str">
        <v>Complete</v>
      </c>
      <c r="U172" t="str">
        <v>E. Tanaka</v>
      </c>
      <c r="V172" t="str">
        <v xml:space="preserve">  Customer called twice </v>
      </c>
      <c r="W172" t="str">
        <v>Yusuf Malik</v>
      </c>
      <c r="X172" t="str">
        <v>East</v>
      </c>
      <c r="Y172" t="str">
        <v>Clothing</v>
      </c>
      <c r="Z172" t="str">
        <v>In-Store</v>
      </c>
      <c r="AA172" t="str">
        <v>Credit Card</v>
      </c>
      <c r="AB172" t="str">
        <v>Completed</v>
      </c>
      <c r="AC172">
        <v>12</v>
      </c>
      <c r="AD172">
        <v>369.04</v>
      </c>
      <c r="AE172">
        <v>45474</v>
      </c>
      <c r="AF172">
        <v>0</v>
      </c>
      <c r="AG172" t="str">
        <v>Customer called twice</v>
      </c>
      <c r="AH172" t="str">
        <v>High Value</v>
      </c>
      <c r="AI172">
        <v>4428.4800000000005</v>
      </c>
      <c r="AJ172" t="str">
        <v>ORD-1223</v>
      </c>
      <c r="AK172">
        <v>1223</v>
      </c>
      <c r="AL172" t="str">
        <v>Jul-2024</v>
      </c>
      <c r="AM172">
        <v>45504</v>
      </c>
      <c r="AN172" t="str">
        <v>YUSUF</v>
      </c>
      <c r="AO172">
        <v>0</v>
      </c>
    </row>
    <row r="173" spans="8:41" x14ac:dyDescent="0.25">
      <c r="H173" t="str">
        <v>ORD-1197</v>
      </c>
      <c r="I173" t="str">
        <v>22/03/2024</v>
      </c>
      <c r="J173" t="str">
        <v>sarah brown</v>
      </c>
      <c r="K173" t="str">
        <v xml:space="preserve">North </v>
      </c>
      <c r="L173" t="str">
        <v>Faisalabad</v>
      </c>
      <c r="M173" t="str">
        <v>CLOTHING</v>
      </c>
      <c r="N173" t="str">
        <v>Winter Coat</v>
      </c>
      <c r="O173" t="str">
        <v xml:space="preserve">In-store </v>
      </c>
      <c r="P173" t="str">
        <v xml:space="preserve"> 6 </v>
      </c>
      <c r="Q173">
        <v>355.3</v>
      </c>
      <c r="R173">
        <v>0.2</v>
      </c>
      <c r="S173" t="str">
        <v>credit card</v>
      </c>
      <c r="T173" t="str">
        <v>refunded</v>
      </c>
      <c r="U173" t="str">
        <v>E. Tanaka</v>
      </c>
      <c r="V173" t="str">
        <v>Bulk order - business account</v>
      </c>
      <c r="W173" t="str">
        <v>Sarah Brown</v>
      </c>
      <c r="X173" t="str">
        <v>North</v>
      </c>
      <c r="Y173" t="str">
        <v>Clothing</v>
      </c>
      <c r="Z173" t="str">
        <v>In-Store</v>
      </c>
      <c r="AA173" t="str">
        <v>Credit Card</v>
      </c>
      <c r="AB173" t="str">
        <v>Refunded</v>
      </c>
      <c r="AC173">
        <v>6</v>
      </c>
      <c r="AD173">
        <v>355.3</v>
      </c>
      <c r="AE173">
        <v>45373</v>
      </c>
      <c r="AF173">
        <v>0.2</v>
      </c>
      <c r="AG173" t="str">
        <v>Bulk order - business account</v>
      </c>
      <c r="AH173" t="str">
        <v>High Value</v>
      </c>
      <c r="AI173">
        <v>2131.8000000000002</v>
      </c>
      <c r="AJ173" t="str">
        <v>ORD-1197</v>
      </c>
      <c r="AK173">
        <v>1197</v>
      </c>
      <c r="AL173" t="str">
        <v>Mar-2024</v>
      </c>
      <c r="AM173">
        <v>45382</v>
      </c>
      <c r="AN173" t="str">
        <v>sarah</v>
      </c>
      <c r="AO173">
        <v>0.2</v>
      </c>
    </row>
    <row r="174" spans="8:41" x14ac:dyDescent="0.25">
      <c r="H174" t="str">
        <v>ORD-1034</v>
      </c>
      <c r="I174" t="str">
        <v>May 21, 2024</v>
      </c>
      <c r="J174" t="str">
        <v xml:space="preserve">Fatima Hussain </v>
      </c>
      <c r="K174" t="str">
        <v>EAST</v>
      </c>
      <c r="L174" t="str">
        <v>Sialkot</v>
      </c>
      <c r="M174" t="str">
        <v>clothing</v>
      </c>
      <c r="N174" t="str">
        <v>Cotton T-Shirt</v>
      </c>
      <c r="O174" t="str">
        <v xml:space="preserve">Online </v>
      </c>
      <c r="P174" t="str">
        <v xml:space="preserve"> 6 </v>
      </c>
      <c r="Q174">
        <v>270.25</v>
      </c>
      <c r="R174">
        <v>0</v>
      </c>
      <c r="S174" t="str">
        <v xml:space="preserve">Credit card </v>
      </c>
      <c r="T174" t="str">
        <v>Refunded</v>
      </c>
      <c r="U174" t="str">
        <v>D. Iqbal</v>
      </c>
      <c r="V174" t="str">
        <v>Bulk order - business account</v>
      </c>
      <c r="W174" t="str">
        <v>Fatima Hussain</v>
      </c>
      <c r="X174" t="str">
        <v>East</v>
      </c>
      <c r="Y174" t="str">
        <v>Clothing</v>
      </c>
      <c r="Z174" t="str">
        <v>Online</v>
      </c>
      <c r="AA174" t="str">
        <v>Credit Card</v>
      </c>
      <c r="AB174" t="str">
        <v>Refunded</v>
      </c>
      <c r="AC174">
        <v>6</v>
      </c>
      <c r="AD174">
        <v>270.25</v>
      </c>
      <c r="AE174">
        <v>45433</v>
      </c>
      <c r="AF174">
        <v>0</v>
      </c>
      <c r="AG174" t="str">
        <v>Bulk order - business account</v>
      </c>
      <c r="AH174" t="str">
        <v>High Value</v>
      </c>
      <c r="AI174">
        <v>1621.5</v>
      </c>
      <c r="AJ174" t="str">
        <v>ORD-1034</v>
      </c>
      <c r="AK174">
        <v>1034</v>
      </c>
      <c r="AL174" t="str">
        <v>May-2024</v>
      </c>
      <c r="AM174">
        <v>45443</v>
      </c>
      <c r="AN174" t="str">
        <v>Fatima</v>
      </c>
      <c r="AO174">
        <v>0</v>
      </c>
    </row>
    <row r="175" spans="8:41" x14ac:dyDescent="0.25">
      <c r="H175" t="str">
        <v>ORD-1071</v>
      </c>
      <c r="I175" t="str">
        <v>2024-05-31</v>
      </c>
      <c r="J175" t="str">
        <v>Chen  Taylor</v>
      </c>
      <c r="K175" t="str">
        <v xml:space="preserve">North </v>
      </c>
      <c r="L175" t="str">
        <v>Faisalabad</v>
      </c>
      <c r="M175" t="str">
        <v>Clothing</v>
      </c>
      <c r="N175" t="str">
        <v>Formal Shirt</v>
      </c>
      <c r="O175" t="str">
        <v>In-Store</v>
      </c>
      <c r="P175">
        <v>3</v>
      </c>
      <c r="Q175">
        <v>174.16</v>
      </c>
      <c r="R175">
        <v>0</v>
      </c>
      <c r="S175" t="str">
        <v>CREDIT CARD</v>
      </c>
      <c r="T175" t="str">
        <v>COMPLETED</v>
      </c>
      <c r="U175" t="str">
        <v>A. Malik</v>
      </c>
      <c r="V175" t="str">
        <v>Bulk order - business account</v>
      </c>
      <c r="W175" t="str">
        <v>Chen Taylor</v>
      </c>
      <c r="X175" t="str">
        <v>North</v>
      </c>
      <c r="Y175" t="str">
        <v>Clothing</v>
      </c>
      <c r="Z175" t="str">
        <v>In-Store</v>
      </c>
      <c r="AA175" t="str">
        <v>Credit Card</v>
      </c>
      <c r="AB175" t="str">
        <v>Completed</v>
      </c>
      <c r="AC175">
        <v>3</v>
      </c>
      <c r="AD175">
        <v>174.16</v>
      </c>
      <c r="AE175">
        <v>45443</v>
      </c>
      <c r="AF175">
        <v>0</v>
      </c>
      <c r="AG175" t="str">
        <v>Bulk order - business account</v>
      </c>
      <c r="AH175" t="str">
        <v>Standard</v>
      </c>
      <c r="AI175">
        <v>522.48</v>
      </c>
      <c r="AJ175" t="str">
        <v>ORD-1071</v>
      </c>
      <c r="AK175">
        <v>1071</v>
      </c>
      <c r="AL175" t="str">
        <v>May-2024</v>
      </c>
      <c r="AM175">
        <v>45443</v>
      </c>
      <c r="AN175" t="str">
        <v>Chen</v>
      </c>
      <c r="AO175">
        <v>0</v>
      </c>
    </row>
    <row r="176" spans="8:41" x14ac:dyDescent="0.25">
      <c r="H176" t="str">
        <v>ORD-1025</v>
      </c>
      <c r="I176" t="str">
        <v>03/18/2024</v>
      </c>
      <c r="J176" t="str">
        <v xml:space="preserve">Sofia Malik </v>
      </c>
      <c r="K176" t="str">
        <v xml:space="preserve">West </v>
      </c>
      <c r="L176" t="str">
        <v>Peshawar</v>
      </c>
      <c r="M176" t="str">
        <v>CLOTHING</v>
      </c>
      <c r="N176" t="str">
        <v>Denim Jacket</v>
      </c>
      <c r="O176" t="str">
        <v>In-Store</v>
      </c>
      <c r="P176" t="str">
        <v xml:space="preserve"> 8 </v>
      </c>
      <c r="Q176">
        <v>146.44</v>
      </c>
      <c r="R176">
        <v>0</v>
      </c>
      <c r="S176" t="str">
        <v>Cash</v>
      </c>
      <c r="T176" t="str">
        <v>completed</v>
      </c>
      <c r="U176" t="str">
        <v>B. Fernandes</v>
      </c>
      <c r="V176" t="str">
        <v xml:space="preserve">  </v>
      </c>
      <c r="W176" t="str">
        <v>Sofia Malik</v>
      </c>
      <c r="X176" t="str">
        <v>West</v>
      </c>
      <c r="Y176" t="str">
        <v>Clothing</v>
      </c>
      <c r="Z176" t="str">
        <v>In-Store</v>
      </c>
      <c r="AA176" t="str">
        <v>Cash</v>
      </c>
      <c r="AB176" t="str">
        <v>Completed</v>
      </c>
      <c r="AC176">
        <v>8</v>
      </c>
      <c r="AD176">
        <v>146.44</v>
      </c>
      <c r="AE176">
        <v>45369</v>
      </c>
      <c r="AF176">
        <v>0</v>
      </c>
      <c r="AG176" t="str">
        <v/>
      </c>
      <c r="AH176" t="str">
        <v>High Value</v>
      </c>
      <c r="AI176">
        <v>1171.52</v>
      </c>
      <c r="AJ176" t="str">
        <v>ORD-1025</v>
      </c>
      <c r="AK176">
        <v>1025</v>
      </c>
      <c r="AL176" t="str">
        <v>Mar-2024</v>
      </c>
      <c r="AM176">
        <v>45382</v>
      </c>
      <c r="AN176" t="str">
        <v>Sofia</v>
      </c>
      <c r="AO176">
        <v>0</v>
      </c>
    </row>
    <row r="177" spans="8:41" x14ac:dyDescent="0.25">
      <c r="H177" t="str">
        <v>ORD-1025</v>
      </c>
      <c r="I177" t="str">
        <v>03/18/2024</v>
      </c>
      <c r="J177" t="str">
        <v xml:space="preserve">Sofia Malik </v>
      </c>
      <c r="K177" t="str">
        <v xml:space="preserve">West </v>
      </c>
      <c r="L177" t="str">
        <v>Peshawar</v>
      </c>
      <c r="M177" t="str">
        <v>CLOTHING</v>
      </c>
      <c r="N177" t="str">
        <v>Denim Jacket</v>
      </c>
      <c r="O177" t="str">
        <v>In-Store</v>
      </c>
      <c r="P177" t="str">
        <v xml:space="preserve"> 8 </v>
      </c>
      <c r="Q177">
        <v>146.44</v>
      </c>
      <c r="R177">
        <v>0</v>
      </c>
      <c r="S177" t="str">
        <v>Cash</v>
      </c>
      <c r="T177" t="str">
        <v>completed</v>
      </c>
      <c r="U177" t="str">
        <v>B. Fernandes</v>
      </c>
      <c r="V177" t="str">
        <v xml:space="preserve">  </v>
      </c>
      <c r="W177" t="str">
        <v>Sofia Malik</v>
      </c>
      <c r="X177" t="str">
        <v>West</v>
      </c>
      <c r="Y177" t="str">
        <v>Clothing</v>
      </c>
      <c r="Z177" t="str">
        <v>In-Store</v>
      </c>
      <c r="AA177" t="str">
        <v>Cash</v>
      </c>
      <c r="AB177" t="str">
        <v>Completed</v>
      </c>
      <c r="AC177">
        <v>8</v>
      </c>
      <c r="AD177">
        <v>146.44</v>
      </c>
      <c r="AE177">
        <v>45369</v>
      </c>
      <c r="AF177">
        <v>0</v>
      </c>
      <c r="AG177" t="str">
        <v/>
      </c>
      <c r="AH177" t="str">
        <v>High Value</v>
      </c>
      <c r="AI177">
        <v>1171.52</v>
      </c>
      <c r="AJ177" t="str">
        <v>ORD-1025</v>
      </c>
      <c r="AK177">
        <v>1025</v>
      </c>
      <c r="AL177" t="str">
        <v>Mar-2024</v>
      </c>
      <c r="AM177">
        <v>45382</v>
      </c>
      <c r="AN177" t="str">
        <v>Sofia</v>
      </c>
      <c r="AO177">
        <v>0</v>
      </c>
    </row>
    <row r="178" spans="8:41" x14ac:dyDescent="0.25">
      <c r="H178" t="str">
        <v>ORD-1081</v>
      </c>
      <c r="I178" t="str">
        <v>July 05, 2024</v>
      </c>
      <c r="J178" t="str">
        <v>hina raza</v>
      </c>
      <c r="K178" t="str">
        <v xml:space="preserve">West </v>
      </c>
      <c r="L178" t="str">
        <v>Quetta</v>
      </c>
      <c r="M178" t="str">
        <v>CLOTHING</v>
      </c>
      <c r="N178" t="str">
        <v>Cotton T-Shirt</v>
      </c>
      <c r="O178" t="str">
        <v>in-store</v>
      </c>
      <c r="P178">
        <v>10</v>
      </c>
      <c r="Q178">
        <v>140.9</v>
      </c>
      <c r="R178">
        <v>0</v>
      </c>
      <c r="S178" t="str">
        <v xml:space="preserve">Cash </v>
      </c>
      <c r="T178" t="str">
        <v>PENDING</v>
      </c>
      <c r="U178" t="str">
        <v>D. Iqbal</v>
      </c>
      <c r="V178" t="str">
        <v xml:space="preserve">Follow up needed	</v>
      </c>
      <c r="W178" t="str">
        <v>Hina Raza</v>
      </c>
      <c r="X178" t="str">
        <v>West</v>
      </c>
      <c r="Y178" t="str">
        <v>Clothing</v>
      </c>
      <c r="Z178" t="str">
        <v>In-Store</v>
      </c>
      <c r="AA178" t="str">
        <v>Cash</v>
      </c>
      <c r="AB178" t="str">
        <v>Pending</v>
      </c>
      <c r="AC178">
        <v>10</v>
      </c>
      <c r="AD178">
        <v>140.9</v>
      </c>
      <c r="AE178">
        <v>45478</v>
      </c>
      <c r="AF178">
        <v>0</v>
      </c>
      <c r="AG178" t="str">
        <v>Follow up needed</v>
      </c>
      <c r="AH178" t="str">
        <v>High Value</v>
      </c>
      <c r="AI178">
        <v>1409</v>
      </c>
      <c r="AJ178" t="str">
        <v>ORD-1081</v>
      </c>
      <c r="AK178">
        <v>1081</v>
      </c>
      <c r="AL178" t="str">
        <v>Jul-2024</v>
      </c>
      <c r="AM178">
        <v>45504</v>
      </c>
      <c r="AN178" t="str">
        <v>hina</v>
      </c>
      <c r="AO178">
        <v>0</v>
      </c>
    </row>
    <row r="179" spans="8:41" x14ac:dyDescent="0.25">
      <c r="H179" t="str">
        <v>ORD-1134</v>
      </c>
      <c r="I179" t="str">
        <v>22-May-24</v>
      </c>
      <c r="J179" t="str">
        <v>Umar Hussain</v>
      </c>
      <c r="K179" t="str">
        <v>east</v>
      </c>
      <c r="L179" t="str">
        <v>Multan</v>
      </c>
      <c r="M179" t="str">
        <v>clothing</v>
      </c>
      <c r="N179" t="str">
        <v>Running Shoes</v>
      </c>
      <c r="O179" t="str">
        <v>instore</v>
      </c>
      <c r="P179">
        <v>3</v>
      </c>
      <c r="Q179">
        <v>138.01</v>
      </c>
      <c r="R179">
        <v>0</v>
      </c>
      <c r="S179" t="str">
        <v>debit card</v>
      </c>
      <c r="T179" t="str">
        <v>Pending</v>
      </c>
      <c r="U179">
        <v>0</v>
      </c>
      <c r="V179" t="str">
        <v>Damaged on arrival - replaced</v>
      </c>
      <c r="W179" t="str">
        <v>Umar Hussain</v>
      </c>
      <c r="X179" t="str">
        <v>East</v>
      </c>
      <c r="Y179" t="str">
        <v>Clothing</v>
      </c>
      <c r="Z179" t="str">
        <v>In-Store</v>
      </c>
      <c r="AA179" t="str">
        <v>Debit Card</v>
      </c>
      <c r="AB179" t="str">
        <v>Pending</v>
      </c>
      <c r="AC179">
        <v>3</v>
      </c>
      <c r="AD179">
        <v>138.01</v>
      </c>
      <c r="AE179">
        <v>45434</v>
      </c>
      <c r="AF179">
        <v>0</v>
      </c>
      <c r="AG179" t="str">
        <v>Damaged on arrival - replaced</v>
      </c>
      <c r="AH179" t="str">
        <v>Standard</v>
      </c>
      <c r="AI179">
        <v>414.03</v>
      </c>
      <c r="AJ179" t="str">
        <v>ORD-1134</v>
      </c>
      <c r="AK179">
        <v>1134</v>
      </c>
      <c r="AL179" t="str">
        <v>May-2024</v>
      </c>
      <c r="AM179">
        <v>45443</v>
      </c>
      <c r="AN179" t="str">
        <v>Umar</v>
      </c>
      <c r="AO179">
        <v>0</v>
      </c>
    </row>
    <row r="180" spans="8:41" x14ac:dyDescent="0.25">
      <c r="H180" t="str">
        <v>ORD-1111</v>
      </c>
      <c r="I180" t="str">
        <v>06/12/2024</v>
      </c>
      <c r="J180" t="str">
        <v xml:space="preserve">Yusuf Ahmed </v>
      </c>
      <c r="K180" t="str">
        <v xml:space="preserve">South </v>
      </c>
      <c r="L180" t="str">
        <v>Karachi</v>
      </c>
      <c r="M180" t="str">
        <v>CLOTHING</v>
      </c>
      <c r="N180" t="str">
        <v>Running Shoes</v>
      </c>
      <c r="O180" t="str">
        <v xml:space="preserve">In-store </v>
      </c>
      <c r="P180">
        <v>11</v>
      </c>
      <c r="Q180">
        <v>134.47</v>
      </c>
      <c r="R180">
        <v>0</v>
      </c>
      <c r="S180" t="str">
        <v>bank transfer</v>
      </c>
      <c r="T180" t="str">
        <v>Refunded</v>
      </c>
      <c r="U180" t="str">
        <v>D. Iqbal</v>
      </c>
      <c r="V180">
        <v>0</v>
      </c>
      <c r="W180" t="str">
        <v>Yusuf Ahmed</v>
      </c>
      <c r="X180" t="str">
        <v>South</v>
      </c>
      <c r="Y180" t="str">
        <v>Clothing</v>
      </c>
      <c r="Z180" t="str">
        <v>In-Store</v>
      </c>
      <c r="AA180" t="str">
        <v>Bank Transfer</v>
      </c>
      <c r="AB180" t="str">
        <v>Refunded</v>
      </c>
      <c r="AC180">
        <v>11</v>
      </c>
      <c r="AD180">
        <v>134.47</v>
      </c>
      <c r="AE180">
        <v>45455</v>
      </c>
      <c r="AF180">
        <v>0</v>
      </c>
      <c r="AG180" t="str">
        <v/>
      </c>
      <c r="AH180" t="str">
        <v>High Value</v>
      </c>
      <c r="AI180">
        <v>1479.17</v>
      </c>
      <c r="AJ180" t="str">
        <v>ORD-1111</v>
      </c>
      <c r="AK180">
        <v>1111</v>
      </c>
      <c r="AL180" t="str">
        <v>Jun-2024</v>
      </c>
      <c r="AM180">
        <v>45473</v>
      </c>
      <c r="AN180" t="str">
        <v>Yusuf</v>
      </c>
      <c r="AO180">
        <v>0</v>
      </c>
    </row>
    <row r="181" spans="8:41" x14ac:dyDescent="0.25">
      <c r="H181" t="str">
        <v>ORD-1150</v>
      </c>
      <c r="I181" t="str">
        <v>17-Dec-24</v>
      </c>
      <c r="J181" t="str">
        <v>Umar Lewis</v>
      </c>
      <c r="K181" t="str">
        <v>South</v>
      </c>
      <c r="L181" t="str">
        <v>Karachi</v>
      </c>
      <c r="M181" t="str">
        <v>CLOTHING</v>
      </c>
      <c r="N181" t="str">
        <v>Cotton T-Shirt</v>
      </c>
      <c r="O181" t="str">
        <v xml:space="preserve">In-store </v>
      </c>
      <c r="P181">
        <v>6</v>
      </c>
      <c r="Q181">
        <v>107.78</v>
      </c>
      <c r="R181">
        <v>0</v>
      </c>
      <c r="S181" t="str">
        <v>credit card</v>
      </c>
      <c r="T181" t="str">
        <v>completed</v>
      </c>
      <c r="U181" t="str">
        <v>B. Fernandes</v>
      </c>
      <c r="V181" t="str">
        <v>Gift wrap requested</v>
      </c>
      <c r="W181" t="str">
        <v>Umar Lewis</v>
      </c>
      <c r="X181" t="str">
        <v>South</v>
      </c>
      <c r="Y181" t="str">
        <v>Clothing</v>
      </c>
      <c r="Z181" t="str">
        <v>In-Store</v>
      </c>
      <c r="AA181" t="str">
        <v>Credit Card</v>
      </c>
      <c r="AB181" t="str">
        <v>Completed</v>
      </c>
      <c r="AC181">
        <v>6</v>
      </c>
      <c r="AD181">
        <v>107.78</v>
      </c>
      <c r="AE181">
        <v>45643</v>
      </c>
      <c r="AF181">
        <v>0</v>
      </c>
      <c r="AG181" t="str">
        <v>Gift wrap requested</v>
      </c>
      <c r="AH181" t="str">
        <v>Standard</v>
      </c>
      <c r="AI181">
        <v>646.68000000000006</v>
      </c>
      <c r="AJ181" t="str">
        <v>ORD-1150</v>
      </c>
      <c r="AK181">
        <v>1150</v>
      </c>
      <c r="AL181" t="str">
        <v>Dec-2024</v>
      </c>
      <c r="AM181">
        <v>45657</v>
      </c>
      <c r="AN181" t="str">
        <v>Umar</v>
      </c>
      <c r="AO181">
        <v>0</v>
      </c>
    </row>
    <row r="182" spans="8:41" x14ac:dyDescent="0.25">
      <c r="H182" t="str">
        <v>ORD-1116</v>
      </c>
      <c r="I182" t="str">
        <v>31-Aug-24</v>
      </c>
      <c r="J182" t="str">
        <v>CHEN FAROOQ</v>
      </c>
      <c r="K182" t="str">
        <v xml:space="preserve">North </v>
      </c>
      <c r="L182" t="str">
        <v>Islamabad</v>
      </c>
      <c r="M182" t="str">
        <v>Electronic</v>
      </c>
      <c r="N182" t="str">
        <v>LED Monitor</v>
      </c>
      <c r="O182" t="str">
        <v>in-store</v>
      </c>
      <c r="P182">
        <v>10</v>
      </c>
      <c r="Q182">
        <v>487.05</v>
      </c>
      <c r="R182">
        <v>0.05</v>
      </c>
      <c r="S182" t="str">
        <v xml:space="preserve">Credit card </v>
      </c>
      <c r="T182" t="str">
        <v>Refunded</v>
      </c>
      <c r="U182" t="str">
        <v>E. Tanaka</v>
      </c>
      <c r="V182" t="str">
        <v>Gift wrap requested</v>
      </c>
      <c r="W182" t="str">
        <v>Chen Farooq</v>
      </c>
      <c r="X182" t="str">
        <v>North</v>
      </c>
      <c r="Y182" t="str">
        <v>Electronics</v>
      </c>
      <c r="Z182" t="str">
        <v>In-Store</v>
      </c>
      <c r="AA182" t="str">
        <v>Credit Card</v>
      </c>
      <c r="AB182" t="str">
        <v>Refunded</v>
      </c>
      <c r="AC182">
        <v>10</v>
      </c>
      <c r="AD182">
        <v>487.05</v>
      </c>
      <c r="AE182">
        <v>45535</v>
      </c>
      <c r="AF182">
        <v>0.05</v>
      </c>
      <c r="AG182" t="str">
        <v>Gift wrap requested</v>
      </c>
      <c r="AH182" t="str">
        <v>High Value</v>
      </c>
      <c r="AI182">
        <v>4870.5</v>
      </c>
      <c r="AJ182" t="str">
        <v>ORD-1116</v>
      </c>
      <c r="AK182">
        <v>1116</v>
      </c>
      <c r="AL182" t="str">
        <v>Aug-2024</v>
      </c>
      <c r="AM182">
        <v>45535</v>
      </c>
      <c r="AN182" t="str">
        <v>CHEN</v>
      </c>
      <c r="AO182">
        <v>0.05</v>
      </c>
    </row>
    <row r="183" spans="8:41" x14ac:dyDescent="0.25">
      <c r="H183" t="str">
        <v>ORD-1124</v>
      </c>
      <c r="I183" t="str">
        <v>December 25, 2024</v>
      </c>
      <c r="J183" t="str">
        <v>Tom  Raza</v>
      </c>
      <c r="K183" t="str">
        <v>east</v>
      </c>
      <c r="L183" t="str">
        <v>Sialkot</v>
      </c>
      <c r="M183" t="str">
        <v>Electronic</v>
      </c>
      <c r="N183" t="str">
        <v>Power Bank</v>
      </c>
      <c r="O183" t="str">
        <v>instore</v>
      </c>
      <c r="P183">
        <v>10</v>
      </c>
      <c r="Q183">
        <v>255.77</v>
      </c>
      <c r="R183" t="str">
        <v>20%</v>
      </c>
      <c r="S183" t="str">
        <v>Credit Card</v>
      </c>
      <c r="T183" t="str">
        <v>refunded</v>
      </c>
      <c r="U183" t="str">
        <v>C. Osei</v>
      </c>
      <c r="V183" t="str">
        <v xml:space="preserve">  Customer called twice </v>
      </c>
      <c r="W183" t="str">
        <v>Tom Raza</v>
      </c>
      <c r="X183" t="str">
        <v>East</v>
      </c>
      <c r="Y183" t="str">
        <v>Electronics</v>
      </c>
      <c r="Z183" t="str">
        <v>In-Store</v>
      </c>
      <c r="AA183" t="str">
        <v>Credit Card</v>
      </c>
      <c r="AB183" t="str">
        <v>Refunded</v>
      </c>
      <c r="AC183">
        <v>10</v>
      </c>
      <c r="AD183">
        <v>255.77</v>
      </c>
      <c r="AE183">
        <v>45651</v>
      </c>
      <c r="AF183" t="str">
        <v>20%</v>
      </c>
      <c r="AG183" t="str">
        <v>Customer called twice</v>
      </c>
      <c r="AH183" t="str">
        <v>High Value</v>
      </c>
      <c r="AI183">
        <v>2557.7000000000003</v>
      </c>
      <c r="AJ183" t="str">
        <v>ORD-1124</v>
      </c>
      <c r="AK183">
        <v>1124</v>
      </c>
      <c r="AL183" t="str">
        <v>Dec-2024</v>
      </c>
      <c r="AM183">
        <v>45657</v>
      </c>
      <c r="AN183" t="str">
        <v>Tom</v>
      </c>
      <c r="AO183">
        <v>0.2</v>
      </c>
    </row>
    <row r="184" spans="8:41" x14ac:dyDescent="0.25">
      <c r="H184" t="str">
        <v>ORD-1076</v>
      </c>
      <c r="I184" t="str">
        <v>September 20, 2024</v>
      </c>
      <c r="J184" t="str">
        <v xml:space="preserve"> Ahmed Brown</v>
      </c>
      <c r="K184" t="str">
        <v>West</v>
      </c>
      <c r="L184" t="str">
        <v>Peshawar</v>
      </c>
      <c r="M184" t="str">
        <v>Electronics</v>
      </c>
      <c r="N184" t="str">
        <v>USB-C Cable</v>
      </c>
      <c r="O184" t="str">
        <v>In Store</v>
      </c>
      <c r="P184">
        <v>11</v>
      </c>
      <c r="Q184" t="str">
        <v>$231.27</v>
      </c>
      <c r="R184">
        <v>0.2</v>
      </c>
      <c r="S184" t="str">
        <v>Cash</v>
      </c>
      <c r="T184" t="str">
        <v>Completed</v>
      </c>
      <c r="U184">
        <v>0</v>
      </c>
      <c r="V184" t="str">
        <v>VIP customer</v>
      </c>
      <c r="W184" t="str">
        <v>Ahmed Brown</v>
      </c>
      <c r="X184" t="str">
        <v>West</v>
      </c>
      <c r="Y184" t="str">
        <v>Electronics</v>
      </c>
      <c r="Z184" t="str">
        <v>In-Store</v>
      </c>
      <c r="AA184" t="str">
        <v>Cash</v>
      </c>
      <c r="AB184" t="str">
        <v>Completed</v>
      </c>
      <c r="AC184">
        <v>11</v>
      </c>
      <c r="AD184">
        <v>231.27</v>
      </c>
      <c r="AE184">
        <v>45555</v>
      </c>
      <c r="AF184">
        <v>0.2</v>
      </c>
      <c r="AG184" t="str">
        <v>VIP customer</v>
      </c>
      <c r="AH184" t="str">
        <v>High Value</v>
      </c>
      <c r="AI184">
        <v>2543.9700000000003</v>
      </c>
      <c r="AJ184" t="str">
        <v>ORD-1076</v>
      </c>
      <c r="AK184">
        <v>1076</v>
      </c>
      <c r="AL184" t="str">
        <v>Sep-2024</v>
      </c>
      <c r="AM184">
        <v>45565</v>
      </c>
      <c r="AN184" t="str">
        <v>Ahmed</v>
      </c>
      <c r="AO184">
        <v>0.2</v>
      </c>
    </row>
    <row r="185" spans="8:41" x14ac:dyDescent="0.25">
      <c r="H185" t="str">
        <v>ORD-1006</v>
      </c>
      <c r="I185" t="str">
        <v>09/13/2024</v>
      </c>
      <c r="J185" t="str">
        <v>ZARA JOHNSON</v>
      </c>
      <c r="K185" t="str">
        <v xml:space="preserve">West </v>
      </c>
      <c r="L185" t="str">
        <v>Peshawar</v>
      </c>
      <c r="M185" t="str">
        <v>Electronics</v>
      </c>
      <c r="N185" t="str">
        <v>Power Bank</v>
      </c>
      <c r="O185" t="str">
        <v>In-Store</v>
      </c>
      <c r="P185">
        <v>11</v>
      </c>
      <c r="Q185" t="str">
        <v>$150.28</v>
      </c>
      <c r="R185">
        <v>0</v>
      </c>
      <c r="S185" t="str">
        <v>Bank Transfer</v>
      </c>
      <c r="T185" t="str">
        <v>Refunded</v>
      </c>
      <c r="U185" t="str">
        <v>C. Osei</v>
      </c>
      <c r="V185" t="str">
        <v>Bulk order - business account</v>
      </c>
      <c r="W185" t="str">
        <v>Zara Johnson</v>
      </c>
      <c r="X185" t="str">
        <v>West</v>
      </c>
      <c r="Y185" t="str">
        <v>Electronics</v>
      </c>
      <c r="Z185" t="str">
        <v>In-Store</v>
      </c>
      <c r="AA185" t="str">
        <v>Bank Transfer</v>
      </c>
      <c r="AB185" t="str">
        <v>Refunded</v>
      </c>
      <c r="AC185">
        <v>11</v>
      </c>
      <c r="AD185">
        <v>150.28</v>
      </c>
      <c r="AE185">
        <v>45548</v>
      </c>
      <c r="AF185">
        <v>0</v>
      </c>
      <c r="AG185" t="str">
        <v>Bulk order - business account</v>
      </c>
      <c r="AH185" t="str">
        <v>High Value</v>
      </c>
      <c r="AI185">
        <v>1653.08</v>
      </c>
      <c r="AJ185" t="str">
        <v>ORD-1006</v>
      </c>
      <c r="AK185">
        <v>1006</v>
      </c>
      <c r="AL185" t="str">
        <v>Sep-2024</v>
      </c>
      <c r="AM185">
        <v>45565</v>
      </c>
      <c r="AN185" t="str">
        <v>ZARA</v>
      </c>
      <c r="AO185">
        <v>0</v>
      </c>
    </row>
    <row r="186" spans="8:41" x14ac:dyDescent="0.25">
      <c r="H186" t="str">
        <v>ORD-1023</v>
      </c>
      <c r="I186" t="str">
        <v>2024-12-01</v>
      </c>
      <c r="J186" t="str">
        <v xml:space="preserve">Michael Ahmed </v>
      </c>
      <c r="K186" t="str">
        <v>east</v>
      </c>
      <c r="L186" t="str">
        <v>Multan</v>
      </c>
      <c r="M186" t="str">
        <v>electronics</v>
      </c>
      <c r="N186" t="str">
        <v>LED Monitor</v>
      </c>
      <c r="O186" t="str">
        <v>online</v>
      </c>
      <c r="P186">
        <v>8</v>
      </c>
      <c r="Q186" t="str">
        <v xml:space="preserve"> 316.73 </v>
      </c>
      <c r="R186" t="str">
        <v>15%</v>
      </c>
      <c r="S186" t="str">
        <v>debit card</v>
      </c>
      <c r="T186" t="str">
        <v>Complete</v>
      </c>
      <c r="U186" t="str">
        <v>B. Fernandes</v>
      </c>
      <c r="V186" t="str">
        <v xml:space="preserve">  Customer called twice </v>
      </c>
      <c r="W186" t="str">
        <v>Michael Ahmed</v>
      </c>
      <c r="X186" t="str">
        <v>East</v>
      </c>
      <c r="Y186" t="str">
        <v>Electronics</v>
      </c>
      <c r="Z186" t="str">
        <v>Online</v>
      </c>
      <c r="AA186" t="str">
        <v>Debit Card</v>
      </c>
      <c r="AB186" t="str">
        <v>Completed</v>
      </c>
      <c r="AC186">
        <v>8</v>
      </c>
      <c r="AD186">
        <v>316.73</v>
      </c>
      <c r="AE186">
        <v>45627</v>
      </c>
      <c r="AF186" t="str">
        <v>15%</v>
      </c>
      <c r="AG186" t="str">
        <v>Customer called twice</v>
      </c>
      <c r="AH186" t="str">
        <v>High Value</v>
      </c>
      <c r="AI186">
        <v>2533.84</v>
      </c>
      <c r="AJ186" t="str">
        <v>ORD-1023</v>
      </c>
      <c r="AK186">
        <v>1023</v>
      </c>
      <c r="AL186" t="str">
        <v>Dec-2024</v>
      </c>
      <c r="AM186">
        <v>45657</v>
      </c>
      <c r="AN186" t="str">
        <v>Michael</v>
      </c>
      <c r="AO186">
        <v>0.15</v>
      </c>
    </row>
    <row r="187" spans="8:41" x14ac:dyDescent="0.25">
      <c r="H187" t="str">
        <v>ORD-1160</v>
      </c>
      <c r="I187" t="str">
        <v>21/02/2024</v>
      </c>
      <c r="J187" t="str">
        <v>John  Wilson</v>
      </c>
      <c r="K187" t="str">
        <v>South</v>
      </c>
      <c r="L187" t="str">
        <v>Hyderabad</v>
      </c>
      <c r="M187" t="str">
        <v>Electronics</v>
      </c>
      <c r="N187" t="str">
        <v>Wireless Mouse</v>
      </c>
      <c r="O187" t="str">
        <v>In Store</v>
      </c>
      <c r="P187">
        <v>8</v>
      </c>
      <c r="Q187">
        <v>484.71</v>
      </c>
      <c r="R187">
        <v>0.15</v>
      </c>
      <c r="S187" t="str">
        <v>Debit Card</v>
      </c>
      <c r="T187" t="str">
        <v>Pending</v>
      </c>
      <c r="U187" t="str">
        <v>D. Iqbal</v>
      </c>
      <c r="V187" t="str">
        <v>VIP customer</v>
      </c>
      <c r="W187" t="str">
        <v>John Wilson</v>
      </c>
      <c r="X187" t="str">
        <v>South</v>
      </c>
      <c r="Y187" t="str">
        <v>Electronics</v>
      </c>
      <c r="Z187" t="str">
        <v>In-Store</v>
      </c>
      <c r="AA187" t="str">
        <v>Debit Card</v>
      </c>
      <c r="AB187" t="str">
        <v>Pending</v>
      </c>
      <c r="AC187">
        <v>8</v>
      </c>
      <c r="AD187">
        <v>484.71</v>
      </c>
      <c r="AE187">
        <v>45343</v>
      </c>
      <c r="AF187">
        <v>0.15</v>
      </c>
      <c r="AG187" t="str">
        <v>VIP customer</v>
      </c>
      <c r="AH187" t="str">
        <v>High Value</v>
      </c>
      <c r="AI187">
        <v>3877.68</v>
      </c>
      <c r="AJ187" t="str">
        <v>ORD-1160</v>
      </c>
      <c r="AK187">
        <v>1160</v>
      </c>
      <c r="AL187" t="str">
        <v>Feb-2024</v>
      </c>
      <c r="AM187">
        <v>45351</v>
      </c>
      <c r="AN187" t="str">
        <v>John</v>
      </c>
      <c r="AO187">
        <v>0.15</v>
      </c>
    </row>
    <row r="188" spans="8:41" x14ac:dyDescent="0.25">
      <c r="H188" t="str">
        <v>ORD-1138</v>
      </c>
      <c r="I188" t="str">
        <v>September 28, 2024</v>
      </c>
      <c r="J188" t="str">
        <v>BILAL BROWN</v>
      </c>
      <c r="K188" t="str">
        <v>north</v>
      </c>
      <c r="L188" t="str">
        <v>Lahore</v>
      </c>
      <c r="M188" t="str">
        <v>Electronics</v>
      </c>
      <c r="N188" t="str">
        <v>Bluetooth Speaker</v>
      </c>
      <c r="O188" t="str">
        <v>in-store</v>
      </c>
      <c r="P188" t="str">
        <v xml:space="preserve"> 5 </v>
      </c>
      <c r="Q188">
        <v>387.86</v>
      </c>
      <c r="R188">
        <v>0</v>
      </c>
      <c r="S188" t="str">
        <v xml:space="preserve">Cash </v>
      </c>
      <c r="T188" t="str">
        <v>COMPLETED</v>
      </c>
      <c r="U188" t="str">
        <v>A. Malik</v>
      </c>
      <c r="V188" t="str">
        <v>Gift wrap requested</v>
      </c>
      <c r="W188" t="str">
        <v>Bilal Brown</v>
      </c>
      <c r="X188" t="str">
        <v>North</v>
      </c>
      <c r="Y188" t="str">
        <v>Electronics</v>
      </c>
      <c r="Z188" t="str">
        <v>In-Store</v>
      </c>
      <c r="AA188" t="str">
        <v>Cash</v>
      </c>
      <c r="AB188" t="str">
        <v>Completed</v>
      </c>
      <c r="AC188">
        <v>5</v>
      </c>
      <c r="AD188">
        <v>387.86</v>
      </c>
      <c r="AE188">
        <v>45563</v>
      </c>
      <c r="AF188">
        <v>0</v>
      </c>
      <c r="AG188" t="str">
        <v>Gift wrap requested</v>
      </c>
      <c r="AH188" t="str">
        <v>High Value</v>
      </c>
      <c r="AI188">
        <v>1939.3000000000002</v>
      </c>
      <c r="AJ188" t="str">
        <v>ORD-1138</v>
      </c>
      <c r="AK188">
        <v>1138</v>
      </c>
      <c r="AL188" t="str">
        <v>Sep-2024</v>
      </c>
      <c r="AM188">
        <v>45565</v>
      </c>
      <c r="AN188" t="str">
        <v>BILAL</v>
      </c>
      <c r="AO188">
        <v>0</v>
      </c>
    </row>
    <row r="189" spans="8:41" x14ac:dyDescent="0.25">
      <c r="H189" t="str">
        <v>ORD-1115</v>
      </c>
      <c r="I189" t="str">
        <v>17/02/2024</v>
      </c>
      <c r="J189" t="str">
        <v xml:space="preserve"> Laura Garcia</v>
      </c>
      <c r="K189" t="str">
        <v>EAST</v>
      </c>
      <c r="L189" t="str">
        <v>Sialkot</v>
      </c>
      <c r="M189" t="str">
        <v>ELECTRONICS</v>
      </c>
      <c r="N189" t="str">
        <v>LED Monitor</v>
      </c>
      <c r="O189" t="str">
        <v>instore</v>
      </c>
      <c r="P189">
        <v>10</v>
      </c>
      <c r="Q189">
        <v>350.13</v>
      </c>
      <c r="R189">
        <v>0</v>
      </c>
      <c r="S189" t="str">
        <v xml:space="preserve">Cash </v>
      </c>
      <c r="T189" t="str">
        <v>PENDING</v>
      </c>
      <c r="U189" t="str">
        <v>A. Malik</v>
      </c>
      <c r="V189" t="str">
        <v xml:space="preserve">  </v>
      </c>
      <c r="W189" t="str">
        <v>Laura Garcia</v>
      </c>
      <c r="X189" t="str">
        <v>East</v>
      </c>
      <c r="Y189" t="str">
        <v>Electronics</v>
      </c>
      <c r="Z189" t="str">
        <v>In-Store</v>
      </c>
      <c r="AA189" t="str">
        <v>Cash</v>
      </c>
      <c r="AB189" t="str">
        <v>Pending</v>
      </c>
      <c r="AC189">
        <v>10</v>
      </c>
      <c r="AD189">
        <v>350.13</v>
      </c>
      <c r="AE189">
        <v>45339</v>
      </c>
      <c r="AF189">
        <v>0</v>
      </c>
      <c r="AG189" t="str">
        <v/>
      </c>
      <c r="AH189" t="str">
        <v>High Value</v>
      </c>
      <c r="AI189">
        <v>3501.3</v>
      </c>
      <c r="AJ189" t="str">
        <v>ORD-1115</v>
      </c>
      <c r="AK189">
        <v>1115</v>
      </c>
      <c r="AL189" t="str">
        <v>Feb-2024</v>
      </c>
      <c r="AM189">
        <v>45351</v>
      </c>
      <c r="AN189" t="str">
        <v>Laura</v>
      </c>
      <c r="AO189">
        <v>0</v>
      </c>
    </row>
    <row r="190" spans="8:41" x14ac:dyDescent="0.25">
      <c r="H190" t="str">
        <v>ORD-1211</v>
      </c>
      <c r="I190" t="str">
        <v>March 06, 2024</v>
      </c>
      <c r="J190" t="str">
        <v>Kevin  Wilson</v>
      </c>
      <c r="K190" t="str">
        <v>south</v>
      </c>
      <c r="L190" t="str">
        <v>Karachi</v>
      </c>
      <c r="M190" t="str">
        <v>electronics</v>
      </c>
      <c r="N190" t="str">
        <v>LED Monitor</v>
      </c>
      <c r="O190" t="str">
        <v>in-store</v>
      </c>
      <c r="P190" t="str">
        <v xml:space="preserve"> 12 </v>
      </c>
      <c r="Q190">
        <v>339.24</v>
      </c>
      <c r="R190" t="str">
        <v>15%</v>
      </c>
      <c r="S190" t="str">
        <v>Credit Card</v>
      </c>
      <c r="T190" t="str">
        <v>Complete</v>
      </c>
      <c r="U190" t="str">
        <v>A. Malik</v>
      </c>
      <c r="V190" t="str">
        <v xml:space="preserve">Follow up needed	</v>
      </c>
      <c r="W190" t="str">
        <v>Kevin Wilson</v>
      </c>
      <c r="X190" t="str">
        <v>South</v>
      </c>
      <c r="Y190" t="str">
        <v>Electronics</v>
      </c>
      <c r="Z190" t="str">
        <v>In-Store</v>
      </c>
      <c r="AA190" t="str">
        <v>Credit Card</v>
      </c>
      <c r="AB190" t="str">
        <v>Completed</v>
      </c>
      <c r="AC190">
        <v>12</v>
      </c>
      <c r="AD190">
        <v>339.24</v>
      </c>
      <c r="AE190">
        <v>45357</v>
      </c>
      <c r="AF190" t="str">
        <v>15%</v>
      </c>
      <c r="AG190" t="str">
        <v>Follow up needed</v>
      </c>
      <c r="AH190" t="str">
        <v>High Value</v>
      </c>
      <c r="AI190">
        <v>4070.88</v>
      </c>
      <c r="AJ190" t="str">
        <v>ORD-1211</v>
      </c>
      <c r="AK190">
        <v>1211</v>
      </c>
      <c r="AL190" t="str">
        <v>Mar-2024</v>
      </c>
      <c r="AM190">
        <v>45382</v>
      </c>
      <c r="AN190" t="str">
        <v>Kevin</v>
      </c>
      <c r="AO190">
        <v>0.15</v>
      </c>
    </row>
    <row r="191" spans="8:41" x14ac:dyDescent="0.25">
      <c r="H191" t="str">
        <v>ORD-1189</v>
      </c>
      <c r="I191" t="str">
        <v>2024-04-23</v>
      </c>
      <c r="J191" t="str">
        <v xml:space="preserve"> Sofia Clark</v>
      </c>
      <c r="K191" t="str">
        <v xml:space="preserve">South </v>
      </c>
      <c r="L191" t="str">
        <v>Hyderabad</v>
      </c>
      <c r="M191" t="str">
        <v>electronics</v>
      </c>
      <c r="N191" t="str">
        <v>LED Monitor</v>
      </c>
      <c r="O191" t="str">
        <v>in-store</v>
      </c>
      <c r="P191">
        <v>9</v>
      </c>
      <c r="Q191">
        <v>301.98</v>
      </c>
      <c r="R191">
        <v>0.15</v>
      </c>
      <c r="S191" t="str">
        <v>credit card</v>
      </c>
      <c r="T191" t="str">
        <v>completed</v>
      </c>
      <c r="U191">
        <v>0</v>
      </c>
      <c r="V191">
        <v>0</v>
      </c>
      <c r="W191" t="str">
        <v>Sofia Clark</v>
      </c>
      <c r="X191" t="str">
        <v>South</v>
      </c>
      <c r="Y191" t="str">
        <v>Electronics</v>
      </c>
      <c r="Z191" t="str">
        <v>In-Store</v>
      </c>
      <c r="AA191" t="str">
        <v>Credit Card</v>
      </c>
      <c r="AB191" t="str">
        <v>Completed</v>
      </c>
      <c r="AC191">
        <v>9</v>
      </c>
      <c r="AD191">
        <v>301.98</v>
      </c>
      <c r="AE191">
        <v>45405</v>
      </c>
      <c r="AF191">
        <v>0.15</v>
      </c>
      <c r="AG191" t="str">
        <v/>
      </c>
      <c r="AH191" t="str">
        <v>High Value</v>
      </c>
      <c r="AI191">
        <v>2717.82</v>
      </c>
      <c r="AJ191" t="str">
        <v>ORD-1189</v>
      </c>
      <c r="AK191">
        <v>1189</v>
      </c>
      <c r="AL191" t="str">
        <v>Apr-2024</v>
      </c>
      <c r="AM191">
        <v>45412</v>
      </c>
      <c r="AN191" t="str">
        <v>Sofia</v>
      </c>
      <c r="AO191">
        <v>0.15</v>
      </c>
    </row>
    <row r="192" spans="8:41" x14ac:dyDescent="0.25">
      <c r="H192" t="str">
        <v>ORD-1185</v>
      </c>
      <c r="I192" t="str">
        <v>07/03/2024</v>
      </c>
      <c r="J192" t="str">
        <v>BILAL IQBAL</v>
      </c>
      <c r="K192" t="str">
        <v>South</v>
      </c>
      <c r="L192" t="str">
        <v>Karachi</v>
      </c>
      <c r="M192" t="str">
        <v>electronics</v>
      </c>
      <c r="N192" t="str">
        <v>Wireless Mouse</v>
      </c>
      <c r="O192" t="str">
        <v>In Store</v>
      </c>
      <c r="P192">
        <v>10</v>
      </c>
      <c r="Q192">
        <v>286.63</v>
      </c>
      <c r="R192" t="str">
        <v>10%</v>
      </c>
      <c r="S192" t="str">
        <v>cash</v>
      </c>
      <c r="T192" t="str">
        <v>Completed</v>
      </c>
      <c r="U192">
        <v>0</v>
      </c>
      <c r="V192" t="str">
        <v>Damaged on arrival - replaced</v>
      </c>
      <c r="W192" t="str">
        <v>Bilal Iqbal</v>
      </c>
      <c r="X192" t="str">
        <v>South</v>
      </c>
      <c r="Y192" t="str">
        <v>Electronics</v>
      </c>
      <c r="Z192" t="str">
        <v>In-Store</v>
      </c>
      <c r="AA192" t="str">
        <v>Cash</v>
      </c>
      <c r="AB192" t="str">
        <v>Completed</v>
      </c>
      <c r="AC192">
        <v>10</v>
      </c>
      <c r="AD192">
        <v>286.63</v>
      </c>
      <c r="AE192">
        <v>45476</v>
      </c>
      <c r="AF192" t="str">
        <v>10%</v>
      </c>
      <c r="AG192" t="str">
        <v>Damaged on arrival - replaced</v>
      </c>
      <c r="AH192" t="str">
        <v>High Value</v>
      </c>
      <c r="AI192">
        <v>2866.3</v>
      </c>
      <c r="AJ192" t="str">
        <v>ORD-1185</v>
      </c>
      <c r="AK192">
        <v>1185</v>
      </c>
      <c r="AL192" t="str">
        <v>Jul-2024</v>
      </c>
      <c r="AM192">
        <v>45504</v>
      </c>
      <c r="AN192" t="str">
        <v>BILAL</v>
      </c>
      <c r="AO192">
        <v>0.1</v>
      </c>
    </row>
    <row r="193" spans="8:41" x14ac:dyDescent="0.25">
      <c r="H193" t="str">
        <v>ORD-1043</v>
      </c>
      <c r="I193" t="str">
        <v>April 07, 2024</v>
      </c>
      <c r="J193" t="str">
        <v>JOHN FAROOQ</v>
      </c>
      <c r="K193" t="str">
        <v>north</v>
      </c>
      <c r="L193" t="str">
        <v>Islamabad</v>
      </c>
      <c r="M193" t="str">
        <v>electronics</v>
      </c>
      <c r="N193" t="str">
        <v>LED Monitor</v>
      </c>
      <c r="O193" t="str">
        <v>In-Store</v>
      </c>
      <c r="P193">
        <v>9</v>
      </c>
      <c r="Q193">
        <v>210.67</v>
      </c>
      <c r="R193">
        <v>0.15</v>
      </c>
      <c r="S193" t="str">
        <v>Cash</v>
      </c>
      <c r="T193" t="str">
        <v>COMPLETED</v>
      </c>
      <c r="U193" t="str">
        <v>D. Iqbal</v>
      </c>
      <c r="V193" t="str">
        <v>Bulk order - business account</v>
      </c>
      <c r="W193" t="str">
        <v>John Farooq</v>
      </c>
      <c r="X193" t="str">
        <v>North</v>
      </c>
      <c r="Y193" t="str">
        <v>Electronics</v>
      </c>
      <c r="Z193" t="str">
        <v>In-Store</v>
      </c>
      <c r="AA193" t="str">
        <v>Cash</v>
      </c>
      <c r="AB193" t="str">
        <v>Completed</v>
      </c>
      <c r="AC193">
        <v>9</v>
      </c>
      <c r="AD193">
        <v>210.67</v>
      </c>
      <c r="AE193">
        <v>45389</v>
      </c>
      <c r="AF193">
        <v>0.15</v>
      </c>
      <c r="AG193" t="str">
        <v>Bulk order - business account</v>
      </c>
      <c r="AH193" t="str">
        <v>High Value</v>
      </c>
      <c r="AI193">
        <v>1896.03</v>
      </c>
      <c r="AJ193" t="str">
        <v>ORD-1043</v>
      </c>
      <c r="AK193">
        <v>1043</v>
      </c>
      <c r="AL193" t="str">
        <v>Apr-2024</v>
      </c>
      <c r="AM193">
        <v>45412</v>
      </c>
      <c r="AN193" t="str">
        <v>JOHN</v>
      </c>
      <c r="AO193">
        <v>0.15</v>
      </c>
    </row>
    <row r="194" spans="8:41" x14ac:dyDescent="0.25">
      <c r="H194" t="str">
        <v>ORD-1021</v>
      </c>
      <c r="I194" t="str">
        <v>12/12/2024</v>
      </c>
      <c r="J194" t="str">
        <v>hina garcia</v>
      </c>
      <c r="K194" t="str">
        <v>West</v>
      </c>
      <c r="L194" t="str">
        <v>Peshawar</v>
      </c>
      <c r="M194" t="str">
        <v>ELECTRONICS</v>
      </c>
      <c r="N194" t="str">
        <v>Power Bank</v>
      </c>
      <c r="O194" t="str">
        <v>In-Store</v>
      </c>
      <c r="P194">
        <v>11</v>
      </c>
      <c r="Q194">
        <v>204.19</v>
      </c>
      <c r="R194">
        <v>0</v>
      </c>
      <c r="S194" t="str">
        <v>debit card</v>
      </c>
      <c r="T194" t="str">
        <v>PENDING</v>
      </c>
      <c r="U194" t="str">
        <v>D. Iqbal</v>
      </c>
      <c r="V194" t="str">
        <v xml:space="preserve">Leave at front desk  </v>
      </c>
      <c r="W194" t="str">
        <v>Hina Garcia</v>
      </c>
      <c r="X194" t="str">
        <v>West</v>
      </c>
      <c r="Y194" t="str">
        <v>Electronics</v>
      </c>
      <c r="Z194" t="str">
        <v>In-Store</v>
      </c>
      <c r="AA194" t="str">
        <v>Debit Card</v>
      </c>
      <c r="AB194" t="str">
        <v>Pending</v>
      </c>
      <c r="AC194">
        <v>11</v>
      </c>
      <c r="AD194">
        <v>204.19</v>
      </c>
      <c r="AE194">
        <v>45638</v>
      </c>
      <c r="AF194">
        <v>0</v>
      </c>
      <c r="AG194" t="str">
        <v>Leave at front desk</v>
      </c>
      <c r="AH194" t="str">
        <v>High Value</v>
      </c>
      <c r="AI194">
        <v>2246.09</v>
      </c>
      <c r="AJ194" t="str">
        <v>ORD-1021</v>
      </c>
      <c r="AK194">
        <v>1021</v>
      </c>
      <c r="AL194" t="str">
        <v>Dec-2024</v>
      </c>
      <c r="AM194">
        <v>45657</v>
      </c>
      <c r="AN194" t="str">
        <v>hina</v>
      </c>
      <c r="AO194">
        <v>0</v>
      </c>
    </row>
    <row r="195" spans="8:41" x14ac:dyDescent="0.25">
      <c r="H195" t="str">
        <v>ORD-1183</v>
      </c>
      <c r="I195" t="str">
        <v>03-Jul-24</v>
      </c>
      <c r="J195" t="str">
        <v xml:space="preserve">Kate Lewis </v>
      </c>
      <c r="K195" t="str">
        <v>west</v>
      </c>
      <c r="L195" t="str">
        <v>Quetta</v>
      </c>
      <c r="M195" t="str">
        <v>Electronics</v>
      </c>
      <c r="N195" t="str">
        <v>Bluetooth Speaker</v>
      </c>
      <c r="O195" t="str">
        <v xml:space="preserve">Online </v>
      </c>
      <c r="P195">
        <v>8</v>
      </c>
      <c r="Q195">
        <v>151.53</v>
      </c>
      <c r="R195">
        <v>0</v>
      </c>
      <c r="S195" t="str">
        <v>CREDIT CARD</v>
      </c>
      <c r="T195" t="str">
        <v>Completed</v>
      </c>
      <c r="U195" t="str">
        <v>C. Osei</v>
      </c>
      <c r="V195" t="str">
        <v xml:space="preserve">  </v>
      </c>
      <c r="W195" t="str">
        <v>Kate Lewis</v>
      </c>
      <c r="X195" t="str">
        <v>West</v>
      </c>
      <c r="Y195" t="str">
        <v>Electronics</v>
      </c>
      <c r="Z195" t="str">
        <v>Online</v>
      </c>
      <c r="AA195" t="str">
        <v>Credit Card</v>
      </c>
      <c r="AB195" t="str">
        <v>Completed</v>
      </c>
      <c r="AC195">
        <v>8</v>
      </c>
      <c r="AD195">
        <v>151.53</v>
      </c>
      <c r="AE195">
        <v>45476</v>
      </c>
      <c r="AF195">
        <v>0</v>
      </c>
      <c r="AG195" t="str">
        <v/>
      </c>
      <c r="AH195" t="str">
        <v>High Value</v>
      </c>
      <c r="AI195">
        <v>1212.24</v>
      </c>
      <c r="AJ195" t="str">
        <v>ORD-1183</v>
      </c>
      <c r="AK195">
        <v>1183</v>
      </c>
      <c r="AL195" t="str">
        <v>Jul-2024</v>
      </c>
      <c r="AM195">
        <v>45504</v>
      </c>
      <c r="AN195" t="str">
        <v>Kate</v>
      </c>
      <c r="AO195">
        <v>0</v>
      </c>
    </row>
    <row r="196" spans="8:41" x14ac:dyDescent="0.25">
      <c r="H196" t="str">
        <v>ORD-1131</v>
      </c>
      <c r="I196" t="str">
        <v>2024-10-20</v>
      </c>
      <c r="J196" t="str">
        <v>OLIVIA IQBAL</v>
      </c>
      <c r="K196" t="str">
        <v xml:space="preserve">West </v>
      </c>
      <c r="L196" t="str">
        <v>Quetta</v>
      </c>
      <c r="M196" t="str">
        <v>electronics</v>
      </c>
      <c r="N196" t="str">
        <v>Bluetooth Speaker</v>
      </c>
      <c r="O196" t="str">
        <v>Online</v>
      </c>
      <c r="P196">
        <v>5</v>
      </c>
      <c r="Q196">
        <v>147.88999999999999</v>
      </c>
      <c r="R196" t="str">
        <v>15%</v>
      </c>
      <c r="S196" t="str">
        <v>Cash</v>
      </c>
      <c r="T196" t="str">
        <v>Pending</v>
      </c>
      <c r="U196" t="str">
        <v>A. Malik</v>
      </c>
      <c r="V196" t="str">
        <v xml:space="preserve">Leave at front desk  </v>
      </c>
      <c r="W196" t="str">
        <v>Olivia Iqbal</v>
      </c>
      <c r="X196" t="str">
        <v>West</v>
      </c>
      <c r="Y196" t="str">
        <v>Electronics</v>
      </c>
      <c r="Z196" t="str">
        <v>Online</v>
      </c>
      <c r="AA196" t="str">
        <v>Cash</v>
      </c>
      <c r="AB196" t="str">
        <v>Pending</v>
      </c>
      <c r="AC196">
        <v>5</v>
      </c>
      <c r="AD196">
        <v>147.88999999999999</v>
      </c>
      <c r="AE196">
        <v>45585</v>
      </c>
      <c r="AF196" t="str">
        <v>15%</v>
      </c>
      <c r="AG196" t="str">
        <v>Leave at front desk</v>
      </c>
      <c r="AH196" t="str">
        <v>Standard</v>
      </c>
      <c r="AI196">
        <v>739.44999999999993</v>
      </c>
      <c r="AJ196" t="str">
        <v>ORD-1131</v>
      </c>
      <c r="AK196">
        <v>1131</v>
      </c>
      <c r="AL196" t="str">
        <v>Oct-2024</v>
      </c>
      <c r="AM196">
        <v>45596</v>
      </c>
      <c r="AN196" t="str">
        <v>OLIVIA</v>
      </c>
      <c r="AO196">
        <v>0.15</v>
      </c>
    </row>
    <row r="197" spans="8:41" x14ac:dyDescent="0.25">
      <c r="H197" t="str">
        <v>ORD-1066</v>
      </c>
      <c r="I197" t="str">
        <v>04/11/2024</v>
      </c>
      <c r="J197" t="str">
        <v>Sana  Taylor</v>
      </c>
      <c r="K197" t="str">
        <v>east</v>
      </c>
      <c r="L197" t="str">
        <v>Multan</v>
      </c>
      <c r="M197" t="str">
        <v xml:space="preserve">Electronics </v>
      </c>
      <c r="N197" t="str">
        <v>Power Bank</v>
      </c>
      <c r="O197" t="str">
        <v xml:space="preserve">Online </v>
      </c>
      <c r="P197">
        <v>6</v>
      </c>
      <c r="Q197">
        <v>479.32</v>
      </c>
      <c r="R197">
        <v>0</v>
      </c>
      <c r="S197" t="str">
        <v>credit card</v>
      </c>
      <c r="T197" t="str">
        <v>COMPLETED</v>
      </c>
      <c r="U197" t="str">
        <v>C. Osei</v>
      </c>
      <c r="V197" t="str">
        <v xml:space="preserve">Follow up needed	</v>
      </c>
      <c r="W197" t="str">
        <v>Sana Taylor</v>
      </c>
      <c r="X197" t="str">
        <v>East</v>
      </c>
      <c r="Y197" t="str">
        <v>Electronics</v>
      </c>
      <c r="Z197" t="str">
        <v>Online</v>
      </c>
      <c r="AA197" t="str">
        <v>Credit Card</v>
      </c>
      <c r="AB197" t="str">
        <v>Completed</v>
      </c>
      <c r="AC197">
        <v>6</v>
      </c>
      <c r="AD197">
        <v>479.32</v>
      </c>
      <c r="AE197">
        <v>45393</v>
      </c>
      <c r="AF197">
        <v>0</v>
      </c>
      <c r="AG197" t="str">
        <v>Follow up needed</v>
      </c>
      <c r="AH197" t="str">
        <v>High Value</v>
      </c>
      <c r="AI197">
        <v>2875.92</v>
      </c>
      <c r="AJ197" t="str">
        <v>ORD-1066</v>
      </c>
      <c r="AK197">
        <v>1066</v>
      </c>
      <c r="AL197" t="str">
        <v>Apr-2024</v>
      </c>
      <c r="AM197">
        <v>45412</v>
      </c>
      <c r="AN197" t="str">
        <v>Sana</v>
      </c>
      <c r="AO197">
        <v>0</v>
      </c>
    </row>
    <row r="198" spans="8:41" x14ac:dyDescent="0.25">
      <c r="H198" t="str">
        <v>ORD-1068</v>
      </c>
      <c r="I198" t="str">
        <v>06-Apr-24</v>
      </c>
      <c r="J198" t="str">
        <v>Daniel Khan</v>
      </c>
      <c r="K198" t="str">
        <v>EAST</v>
      </c>
      <c r="L198" t="str">
        <v>Multan</v>
      </c>
      <c r="M198" t="str">
        <v xml:space="preserve">Electronics </v>
      </c>
      <c r="N198" t="str">
        <v>Power Bank</v>
      </c>
      <c r="O198" t="str">
        <v xml:space="preserve">In-store </v>
      </c>
      <c r="P198">
        <v>7</v>
      </c>
      <c r="Q198">
        <v>279.39</v>
      </c>
      <c r="R198">
        <v>0.15</v>
      </c>
      <c r="S198" t="str">
        <v>bank transfer</v>
      </c>
      <c r="T198" t="str">
        <v>pending</v>
      </c>
      <c r="U198">
        <v>0</v>
      </c>
      <c r="V198" t="str">
        <v>Damaged on arrival - replaced</v>
      </c>
      <c r="W198" t="str">
        <v>Daniel Khan</v>
      </c>
      <c r="X198" t="str">
        <v>East</v>
      </c>
      <c r="Y198" t="str">
        <v>Electronics</v>
      </c>
      <c r="Z198" t="str">
        <v>In-Store</v>
      </c>
      <c r="AA198" t="str">
        <v>Bank Transfer</v>
      </c>
      <c r="AB198" t="str">
        <v>Pending</v>
      </c>
      <c r="AC198">
        <v>7</v>
      </c>
      <c r="AD198">
        <v>279.39</v>
      </c>
      <c r="AE198">
        <v>45388</v>
      </c>
      <c r="AF198">
        <v>0.15</v>
      </c>
      <c r="AG198" t="str">
        <v>Damaged on arrival - replaced</v>
      </c>
      <c r="AH198" t="str">
        <v>High Value</v>
      </c>
      <c r="AI198">
        <v>1955.73</v>
      </c>
      <c r="AJ198" t="str">
        <v>ORD-1068</v>
      </c>
      <c r="AK198">
        <v>1068</v>
      </c>
      <c r="AL198" t="str">
        <v>Apr-2024</v>
      </c>
      <c r="AM198">
        <v>45412</v>
      </c>
      <c r="AN198" t="str">
        <v>Daniel</v>
      </c>
      <c r="AO198">
        <v>0.15</v>
      </c>
    </row>
    <row r="199" spans="8:41" x14ac:dyDescent="0.25">
      <c r="H199" t="str">
        <v>ORD-1186</v>
      </c>
      <c r="I199" t="str">
        <v>03-Sep-24</v>
      </c>
      <c r="J199" t="str">
        <v>EMILY HUSSAIN</v>
      </c>
      <c r="K199" t="str">
        <v>North</v>
      </c>
      <c r="L199" t="str">
        <v>Lahore</v>
      </c>
      <c r="M199" t="str">
        <v xml:space="preserve">Electronics </v>
      </c>
      <c r="N199" t="str">
        <v>Power Bank</v>
      </c>
      <c r="O199" t="str">
        <v xml:space="preserve">Online </v>
      </c>
      <c r="P199">
        <v>11</v>
      </c>
      <c r="Q199">
        <v>261.95</v>
      </c>
      <c r="R199" t="str">
        <v>15%</v>
      </c>
      <c r="S199" t="str">
        <v xml:space="preserve">Cash </v>
      </c>
      <c r="T199" t="str">
        <v>Refunded</v>
      </c>
      <c r="U199" t="str">
        <v>B. Fernandes</v>
      </c>
      <c r="V199" t="str">
        <v xml:space="preserve">  </v>
      </c>
      <c r="W199" t="str">
        <v>Emily Hussain</v>
      </c>
      <c r="X199" t="str">
        <v>North</v>
      </c>
      <c r="Y199" t="str">
        <v>Electronics</v>
      </c>
      <c r="Z199" t="str">
        <v>Online</v>
      </c>
      <c r="AA199" t="str">
        <v>Cash</v>
      </c>
      <c r="AB199" t="str">
        <v>Refunded</v>
      </c>
      <c r="AC199">
        <v>11</v>
      </c>
      <c r="AD199">
        <v>261.95</v>
      </c>
      <c r="AE199">
        <v>45538</v>
      </c>
      <c r="AF199" t="str">
        <v>15%</v>
      </c>
      <c r="AG199" t="str">
        <v/>
      </c>
      <c r="AH199" t="str">
        <v>High Value</v>
      </c>
      <c r="AI199">
        <v>2881.45</v>
      </c>
      <c r="AJ199" t="str">
        <v>ORD-1186</v>
      </c>
      <c r="AK199">
        <v>1186</v>
      </c>
      <c r="AL199" t="str">
        <v>Sep-2024</v>
      </c>
      <c r="AM199">
        <v>45565</v>
      </c>
      <c r="AN199" t="str">
        <v>EMILY</v>
      </c>
      <c r="AO199">
        <v>0.15</v>
      </c>
    </row>
    <row r="200" spans="8:41" x14ac:dyDescent="0.25">
      <c r="H200" t="str">
        <v>ORD-1191</v>
      </c>
      <c r="I200" t="str">
        <v>2024-03-06</v>
      </c>
      <c r="J200" t="str">
        <v>Sarah Lewis</v>
      </c>
      <c r="K200" t="str">
        <v xml:space="preserve">West </v>
      </c>
      <c r="L200" t="str">
        <v>Quetta</v>
      </c>
      <c r="M200" t="str">
        <v xml:space="preserve">Electronics </v>
      </c>
      <c r="N200" t="str">
        <v>Wireless Mouse</v>
      </c>
      <c r="O200" t="str">
        <v xml:space="preserve">In-store </v>
      </c>
      <c r="P200">
        <v>7</v>
      </c>
      <c r="Q200">
        <v>244.05</v>
      </c>
      <c r="R200">
        <v>0.05</v>
      </c>
      <c r="S200" t="str">
        <v>Bank Transfer</v>
      </c>
      <c r="T200" t="str">
        <v>pending</v>
      </c>
      <c r="U200" t="str">
        <v>B. Fernandes</v>
      </c>
      <c r="V200" t="str">
        <v xml:space="preserve">  </v>
      </c>
      <c r="W200" t="str">
        <v>Sarah Lewis</v>
      </c>
      <c r="X200" t="str">
        <v>West</v>
      </c>
      <c r="Y200" t="str">
        <v>Electronics</v>
      </c>
      <c r="Z200" t="str">
        <v>In-Store</v>
      </c>
      <c r="AA200" t="str">
        <v>Bank Transfer</v>
      </c>
      <c r="AB200" t="str">
        <v>Pending</v>
      </c>
      <c r="AC200">
        <v>7</v>
      </c>
      <c r="AD200">
        <v>244.05</v>
      </c>
      <c r="AE200">
        <v>45357</v>
      </c>
      <c r="AF200">
        <v>0.05</v>
      </c>
      <c r="AG200" t="str">
        <v/>
      </c>
      <c r="AH200" t="str">
        <v>High Value</v>
      </c>
      <c r="AI200">
        <v>1708.3500000000001</v>
      </c>
      <c r="AJ200" t="str">
        <v>ORD-1191</v>
      </c>
      <c r="AK200">
        <v>1191</v>
      </c>
      <c r="AL200" t="str">
        <v>Mar-2024</v>
      </c>
      <c r="AM200">
        <v>45382</v>
      </c>
      <c r="AN200" t="str">
        <v>Sarah</v>
      </c>
      <c r="AO200">
        <v>0.05</v>
      </c>
    </row>
    <row r="201" spans="8:41" x14ac:dyDescent="0.25">
      <c r="H201" t="str">
        <v>ORD-1050</v>
      </c>
      <c r="I201" t="str">
        <v>2024-11-26</v>
      </c>
      <c r="J201" t="str">
        <v>john anderson</v>
      </c>
      <c r="K201" t="str">
        <v xml:space="preserve"> North</v>
      </c>
      <c r="L201" t="str">
        <v>Faisalabad</v>
      </c>
      <c r="M201" t="str">
        <v xml:space="preserve">Electronics </v>
      </c>
      <c r="N201" t="str">
        <v>LED Monitor</v>
      </c>
      <c r="O201" t="str">
        <v>In-Store</v>
      </c>
      <c r="P201">
        <v>4</v>
      </c>
      <c r="Q201">
        <v>179.4</v>
      </c>
      <c r="R201" t="str">
        <v>5%</v>
      </c>
      <c r="S201" t="str">
        <v xml:space="preserve">Cash </v>
      </c>
      <c r="T201" t="str">
        <v>completed</v>
      </c>
      <c r="U201">
        <v>0</v>
      </c>
      <c r="V201" t="str">
        <v xml:space="preserve">Leave at front desk  </v>
      </c>
      <c r="W201" t="str">
        <v>John Anderson</v>
      </c>
      <c r="X201" t="str">
        <v>North</v>
      </c>
      <c r="Y201" t="str">
        <v>Electronics</v>
      </c>
      <c r="Z201" t="str">
        <v>In-Store</v>
      </c>
      <c r="AA201" t="str">
        <v>Cash</v>
      </c>
      <c r="AB201" t="str">
        <v>Completed</v>
      </c>
      <c r="AC201">
        <v>4</v>
      </c>
      <c r="AD201">
        <v>179.4</v>
      </c>
      <c r="AE201">
        <v>45622</v>
      </c>
      <c r="AF201" t="str">
        <v>5%</v>
      </c>
      <c r="AG201" t="str">
        <v>Leave at front desk</v>
      </c>
      <c r="AH201" t="str">
        <v>Standard</v>
      </c>
      <c r="AI201">
        <v>717.6</v>
      </c>
      <c r="AJ201" t="str">
        <v>ORD-1050</v>
      </c>
      <c r="AK201">
        <v>1050</v>
      </c>
      <c r="AL201" t="str">
        <v>Nov-2024</v>
      </c>
      <c r="AM201">
        <v>45626</v>
      </c>
      <c r="AN201" t="str">
        <v>john</v>
      </c>
      <c r="AO201">
        <v>0.05</v>
      </c>
    </row>
    <row r="202" spans="8:41" x14ac:dyDescent="0.25">
      <c r="H202" t="str">
        <v>ORD-1062</v>
      </c>
      <c r="I202" t="str">
        <v>14/08/2024</v>
      </c>
      <c r="J202" t="str">
        <v>Sana Smith</v>
      </c>
      <c r="K202" t="str">
        <v xml:space="preserve">South </v>
      </c>
      <c r="L202" t="str">
        <v>Hyderabad</v>
      </c>
      <c r="M202" t="str">
        <v>FURNITURE</v>
      </c>
      <c r="N202" t="str">
        <v>Bookshelf</v>
      </c>
      <c r="O202" t="str">
        <v>in-store</v>
      </c>
      <c r="P202">
        <v>10</v>
      </c>
      <c r="Q202" t="str">
        <v>$442.25</v>
      </c>
      <c r="R202">
        <v>0</v>
      </c>
      <c r="S202" t="str">
        <v xml:space="preserve">Cash </v>
      </c>
      <c r="T202" t="str">
        <v>completed</v>
      </c>
      <c r="U202" t="str">
        <v>C. Osei</v>
      </c>
      <c r="V202" t="str">
        <v>Damaged on arrival - replaced</v>
      </c>
      <c r="W202" t="str">
        <v>Sana Smith</v>
      </c>
      <c r="X202" t="str">
        <v>South</v>
      </c>
      <c r="Y202" t="str">
        <v>Furniture</v>
      </c>
      <c r="Z202" t="str">
        <v>In-Store</v>
      </c>
      <c r="AA202" t="str">
        <v>Cash</v>
      </c>
      <c r="AB202" t="str">
        <v>Completed</v>
      </c>
      <c r="AC202">
        <v>10</v>
      </c>
      <c r="AD202">
        <v>442.25</v>
      </c>
      <c r="AE202">
        <v>45518</v>
      </c>
      <c r="AF202">
        <v>0</v>
      </c>
      <c r="AG202" t="str">
        <v>Damaged on arrival - replaced</v>
      </c>
      <c r="AH202" t="str">
        <v>High Value</v>
      </c>
      <c r="AI202">
        <v>4422.5</v>
      </c>
      <c r="AJ202" t="str">
        <v>ORD-1062</v>
      </c>
      <c r="AK202">
        <v>1062</v>
      </c>
      <c r="AL202" t="str">
        <v>Aug-2024</v>
      </c>
      <c r="AM202">
        <v>45535</v>
      </c>
      <c r="AN202" t="str">
        <v>Sana</v>
      </c>
      <c r="AO202">
        <v>0</v>
      </c>
    </row>
    <row r="203" spans="8:41" x14ac:dyDescent="0.25">
      <c r="H203" t="str">
        <v>ORD-1177</v>
      </c>
      <c r="I203" t="str">
        <v>March 07, 2024</v>
      </c>
      <c r="J203" t="str">
        <v xml:space="preserve">David Taylor </v>
      </c>
      <c r="K203" t="str">
        <v>South</v>
      </c>
      <c r="L203" t="str">
        <v>Hyderabad</v>
      </c>
      <c r="M203" t="str">
        <v>FURNITURE</v>
      </c>
      <c r="N203" t="str">
        <v>Office Chair</v>
      </c>
      <c r="O203" t="str">
        <v>Online</v>
      </c>
      <c r="P203">
        <v>8</v>
      </c>
      <c r="Q203" t="str">
        <v>$381.79</v>
      </c>
      <c r="R203">
        <v>0.15</v>
      </c>
      <c r="S203" t="str">
        <v>bank transfer</v>
      </c>
      <c r="T203" t="str">
        <v>refunded</v>
      </c>
      <c r="U203" t="str">
        <v>A. Malik</v>
      </c>
      <c r="V203" t="str">
        <v xml:space="preserve">  </v>
      </c>
      <c r="W203" t="str">
        <v>David Taylor</v>
      </c>
      <c r="X203" t="str">
        <v>South</v>
      </c>
      <c r="Y203" t="str">
        <v>Furniture</v>
      </c>
      <c r="Z203" t="str">
        <v>Online</v>
      </c>
      <c r="AA203" t="str">
        <v>Bank Transfer</v>
      </c>
      <c r="AB203" t="str">
        <v>Refunded</v>
      </c>
      <c r="AC203">
        <v>8</v>
      </c>
      <c r="AD203">
        <v>381.79</v>
      </c>
      <c r="AE203">
        <v>45358</v>
      </c>
      <c r="AF203">
        <v>0.15</v>
      </c>
      <c r="AG203" t="str">
        <v/>
      </c>
      <c r="AH203" t="str">
        <v>High Value</v>
      </c>
      <c r="AI203">
        <v>3054.32</v>
      </c>
      <c r="AJ203" t="str">
        <v>ORD-1177</v>
      </c>
      <c r="AK203">
        <v>1177</v>
      </c>
      <c r="AL203" t="str">
        <v>Mar-2024</v>
      </c>
      <c r="AM203">
        <v>45382</v>
      </c>
      <c r="AN203" t="str">
        <v>David</v>
      </c>
      <c r="AO203">
        <v>0.15</v>
      </c>
    </row>
    <row r="204" spans="8:41" x14ac:dyDescent="0.25">
      <c r="H204" t="str">
        <v>ORD-1042</v>
      </c>
      <c r="I204" t="str">
        <v>22-Mar-24</v>
      </c>
      <c r="J204" t="str">
        <v xml:space="preserve"> Sarah Garcia</v>
      </c>
      <c r="K204" t="str">
        <v xml:space="preserve"> East</v>
      </c>
      <c r="L204" t="str">
        <v>Sialkot</v>
      </c>
      <c r="M204" t="str">
        <v>FURNITURE</v>
      </c>
      <c r="N204" t="str">
        <v>Sofa Set</v>
      </c>
      <c r="O204" t="str">
        <v>ONLINE</v>
      </c>
      <c r="P204">
        <v>5</v>
      </c>
      <c r="Q204" t="str">
        <v>$350.63</v>
      </c>
      <c r="R204">
        <v>0.2</v>
      </c>
      <c r="S204" t="str">
        <v>bank transfer</v>
      </c>
      <c r="T204" t="str">
        <v>Complete</v>
      </c>
      <c r="U204">
        <v>0</v>
      </c>
      <c r="V204" t="str">
        <v>Bulk order - business account</v>
      </c>
      <c r="W204" t="str">
        <v>Sarah Garcia</v>
      </c>
      <c r="X204" t="str">
        <v>East</v>
      </c>
      <c r="Y204" t="str">
        <v>Furniture</v>
      </c>
      <c r="Z204" t="str">
        <v>Online</v>
      </c>
      <c r="AA204" t="str">
        <v>Bank Transfer</v>
      </c>
      <c r="AB204" t="str">
        <v>Completed</v>
      </c>
      <c r="AC204">
        <v>5</v>
      </c>
      <c r="AD204">
        <v>350.63</v>
      </c>
      <c r="AE204">
        <v>45373</v>
      </c>
      <c r="AF204">
        <v>0.2</v>
      </c>
      <c r="AG204" t="str">
        <v>Bulk order - business account</v>
      </c>
      <c r="AH204" t="str">
        <v>High Value</v>
      </c>
      <c r="AI204">
        <v>1753.15</v>
      </c>
      <c r="AJ204" t="str">
        <v>ORD-1042</v>
      </c>
      <c r="AK204">
        <v>1042</v>
      </c>
      <c r="AL204" t="str">
        <v>Mar-2024</v>
      </c>
      <c r="AM204">
        <v>45382</v>
      </c>
      <c r="AN204" t="str">
        <v>Sarah</v>
      </c>
      <c r="AO204">
        <v>0.2</v>
      </c>
    </row>
    <row r="205" spans="8:41" x14ac:dyDescent="0.25">
      <c r="H205" t="str">
        <v>ORD-1128</v>
      </c>
      <c r="I205" t="str">
        <v>09/12/2024</v>
      </c>
      <c r="J205" t="str">
        <v>John  Qureshi</v>
      </c>
      <c r="K205" t="str">
        <v xml:space="preserve">West </v>
      </c>
      <c r="L205">
        <v>0</v>
      </c>
      <c r="M205" t="str">
        <v>furniture</v>
      </c>
      <c r="N205" t="str">
        <v>Bookshelf</v>
      </c>
      <c r="O205" t="str">
        <v>online</v>
      </c>
      <c r="P205" t="str">
        <v xml:space="preserve"> 10 </v>
      </c>
      <c r="Q205" t="str">
        <v xml:space="preserve"> 436.63 </v>
      </c>
      <c r="R205">
        <v>0</v>
      </c>
      <c r="S205" t="str">
        <v>Debit card</v>
      </c>
      <c r="T205" t="str">
        <v>completed</v>
      </c>
      <c r="U205" t="str">
        <v>C. Osei</v>
      </c>
      <c r="V205" t="str">
        <v>Bulk order - business account</v>
      </c>
      <c r="W205" t="str">
        <v>John Qureshi</v>
      </c>
      <c r="X205" t="str">
        <v>West</v>
      </c>
      <c r="Y205" t="str">
        <v>Furniture</v>
      </c>
      <c r="Z205" t="str">
        <v>Online</v>
      </c>
      <c r="AA205" t="str">
        <v>Debit Card</v>
      </c>
      <c r="AB205" t="str">
        <v>Completed</v>
      </c>
      <c r="AC205">
        <v>10</v>
      </c>
      <c r="AD205">
        <v>436.63</v>
      </c>
      <c r="AE205">
        <v>45547</v>
      </c>
      <c r="AF205">
        <v>0</v>
      </c>
      <c r="AG205" t="str">
        <v>Bulk order - business account</v>
      </c>
      <c r="AH205" t="str">
        <v>High Value</v>
      </c>
      <c r="AI205">
        <v>4366.3</v>
      </c>
      <c r="AJ205" t="str">
        <v>ORD-1128</v>
      </c>
      <c r="AK205">
        <v>1128</v>
      </c>
      <c r="AL205" t="str">
        <v>Sep-2024</v>
      </c>
      <c r="AM205">
        <v>45565</v>
      </c>
      <c r="AN205" t="str">
        <v>John</v>
      </c>
      <c r="AO205">
        <v>0</v>
      </c>
    </row>
    <row r="206" spans="8:41" x14ac:dyDescent="0.25">
      <c r="H206" t="str">
        <v>ORD-1024</v>
      </c>
      <c r="I206" t="str">
        <v>August 06, 2024</v>
      </c>
      <c r="J206" t="str">
        <v>Umar  Hussain</v>
      </c>
      <c r="K206" t="str">
        <v xml:space="preserve"> South</v>
      </c>
      <c r="L206" t="str">
        <v>Hyderabad</v>
      </c>
      <c r="M206" t="str">
        <v>Furniture</v>
      </c>
      <c r="N206" t="str">
        <v>Filing Cabinet</v>
      </c>
      <c r="O206" t="str">
        <v>ONLINE</v>
      </c>
      <c r="P206">
        <v>8</v>
      </c>
      <c r="Q206">
        <v>494.01</v>
      </c>
      <c r="R206">
        <v>0.15</v>
      </c>
      <c r="S206" t="str">
        <v>cash</v>
      </c>
      <c r="T206" t="str">
        <v>Refunded</v>
      </c>
      <c r="U206" t="str">
        <v>E. Tanaka</v>
      </c>
      <c r="V206" t="str">
        <v>Damaged on arrival - replaced</v>
      </c>
      <c r="W206" t="str">
        <v>Umar Hussain</v>
      </c>
      <c r="X206" t="str">
        <v>South</v>
      </c>
      <c r="Y206" t="str">
        <v>Furniture</v>
      </c>
      <c r="Z206" t="str">
        <v>Online</v>
      </c>
      <c r="AA206" t="str">
        <v>Cash</v>
      </c>
      <c r="AB206" t="str">
        <v>Refunded</v>
      </c>
      <c r="AC206">
        <v>8</v>
      </c>
      <c r="AD206">
        <v>494.01</v>
      </c>
      <c r="AE206">
        <v>45510</v>
      </c>
      <c r="AF206">
        <v>0.15</v>
      </c>
      <c r="AG206" t="str">
        <v>Damaged on arrival - replaced</v>
      </c>
      <c r="AH206" t="str">
        <v>High Value</v>
      </c>
      <c r="AI206">
        <v>3952.08</v>
      </c>
      <c r="AJ206" t="str">
        <v>ORD-1024</v>
      </c>
      <c r="AK206">
        <v>1024</v>
      </c>
      <c r="AL206" t="str">
        <v>Aug-2024</v>
      </c>
      <c r="AM206">
        <v>45535</v>
      </c>
      <c r="AN206" t="str">
        <v>Umar</v>
      </c>
      <c r="AO206">
        <v>0.15</v>
      </c>
    </row>
    <row r="207" spans="8:41" x14ac:dyDescent="0.25">
      <c r="H207" t="str">
        <v>ORD-1038</v>
      </c>
      <c r="I207" t="str">
        <v>04/25/2024</v>
      </c>
      <c r="J207" t="str">
        <v>Michael Malik</v>
      </c>
      <c r="K207" t="str">
        <v xml:space="preserve">West </v>
      </c>
      <c r="L207" t="str">
        <v>Peshawar</v>
      </c>
      <c r="M207" t="str">
        <v>FURNITURE</v>
      </c>
      <c r="N207" t="str">
        <v>Bookshelf</v>
      </c>
      <c r="O207" t="str">
        <v>instore</v>
      </c>
      <c r="P207">
        <v>2</v>
      </c>
      <c r="Q207">
        <v>462.34</v>
      </c>
      <c r="R207" t="str">
        <v>5%</v>
      </c>
      <c r="S207" t="str">
        <v>debit card</v>
      </c>
      <c r="T207" t="str">
        <v>completed</v>
      </c>
      <c r="U207" t="str">
        <v>E. Tanaka</v>
      </c>
      <c r="V207" t="str">
        <v xml:space="preserve">Leave at front desk  </v>
      </c>
      <c r="W207" t="str">
        <v>Michael Malik</v>
      </c>
      <c r="X207" t="str">
        <v>West</v>
      </c>
      <c r="Y207" t="str">
        <v>Furniture</v>
      </c>
      <c r="Z207" t="str">
        <v>In-Store</v>
      </c>
      <c r="AA207" t="str">
        <v>Debit Card</v>
      </c>
      <c r="AB207" t="str">
        <v>Completed</v>
      </c>
      <c r="AC207">
        <v>2</v>
      </c>
      <c r="AD207">
        <v>462.34</v>
      </c>
      <c r="AE207">
        <v>45407</v>
      </c>
      <c r="AF207" t="str">
        <v>5%</v>
      </c>
      <c r="AG207" t="str">
        <v>Leave at front desk</v>
      </c>
      <c r="AH207" t="str">
        <v>Standard</v>
      </c>
      <c r="AI207">
        <v>924.68</v>
      </c>
      <c r="AJ207" t="str">
        <v>ORD-1038</v>
      </c>
      <c r="AK207">
        <v>1038</v>
      </c>
      <c r="AL207" t="str">
        <v>Apr-2024</v>
      </c>
      <c r="AM207">
        <v>45412</v>
      </c>
      <c r="AN207" t="str">
        <v>Michael</v>
      </c>
      <c r="AO207">
        <v>0.05</v>
      </c>
    </row>
    <row r="208" spans="8:41" x14ac:dyDescent="0.25">
      <c r="H208" t="str">
        <v>ORD-1019</v>
      </c>
      <c r="I208" t="str">
        <v>December 13, 2024</v>
      </c>
      <c r="J208" t="str">
        <v>Liam  Iqbal</v>
      </c>
      <c r="K208" t="str">
        <v xml:space="preserve">South </v>
      </c>
      <c r="L208" t="str">
        <v>Hyderabad</v>
      </c>
      <c r="M208" t="str">
        <v>furniture</v>
      </c>
      <c r="N208" t="str">
        <v>Office Chair</v>
      </c>
      <c r="O208" t="str">
        <v xml:space="preserve">Online </v>
      </c>
      <c r="P208">
        <v>7</v>
      </c>
      <c r="Q208">
        <v>432.85</v>
      </c>
      <c r="R208">
        <v>0</v>
      </c>
      <c r="S208" t="str">
        <v xml:space="preserve">Cash </v>
      </c>
      <c r="T208" t="str">
        <v>Pending</v>
      </c>
      <c r="U208" t="str">
        <v>D. Iqbal</v>
      </c>
      <c r="V208">
        <v>0</v>
      </c>
      <c r="W208" t="str">
        <v>Liam Iqbal</v>
      </c>
      <c r="X208" t="str">
        <v>South</v>
      </c>
      <c r="Y208" t="str">
        <v>Furniture</v>
      </c>
      <c r="Z208" t="str">
        <v>Online</v>
      </c>
      <c r="AA208" t="str">
        <v>Cash</v>
      </c>
      <c r="AB208" t="str">
        <v>Pending</v>
      </c>
      <c r="AC208">
        <v>7</v>
      </c>
      <c r="AD208">
        <v>432.85</v>
      </c>
      <c r="AE208">
        <v>45639</v>
      </c>
      <c r="AF208">
        <v>0</v>
      </c>
      <c r="AG208" t="str">
        <v/>
      </c>
      <c r="AH208" t="str">
        <v>High Value</v>
      </c>
      <c r="AI208">
        <v>3029.9500000000003</v>
      </c>
      <c r="AJ208" t="str">
        <v>ORD-1019</v>
      </c>
      <c r="AK208">
        <v>1019</v>
      </c>
      <c r="AL208" t="str">
        <v>Dec-2024</v>
      </c>
      <c r="AM208">
        <v>45657</v>
      </c>
      <c r="AN208" t="str">
        <v>Liam</v>
      </c>
      <c r="AO208">
        <v>0</v>
      </c>
    </row>
    <row r="209" spans="8:41" x14ac:dyDescent="0.25">
      <c r="H209" t="str">
        <v>ORD-1008</v>
      </c>
      <c r="I209" t="str">
        <v>August 12, 2024</v>
      </c>
      <c r="J209" t="str">
        <v>Sana Iqbal</v>
      </c>
      <c r="K209" t="str">
        <v>south</v>
      </c>
      <c r="L209" t="str">
        <v>Hyderabad</v>
      </c>
      <c r="M209" t="str">
        <v>FURNITURE</v>
      </c>
      <c r="N209" t="str">
        <v>Sofa Set</v>
      </c>
      <c r="O209" t="str">
        <v>In Store</v>
      </c>
      <c r="P209">
        <v>4</v>
      </c>
      <c r="Q209">
        <v>378.86</v>
      </c>
      <c r="R209">
        <v>0.15</v>
      </c>
      <c r="S209" t="str">
        <v xml:space="preserve">Cash </v>
      </c>
      <c r="T209" t="str">
        <v>PENDING</v>
      </c>
      <c r="U209" t="str">
        <v>C. Osei</v>
      </c>
      <c r="V209" t="str">
        <v>Damaged on arrival - replaced</v>
      </c>
      <c r="W209" t="str">
        <v>Sana Iqbal</v>
      </c>
      <c r="X209" t="str">
        <v>South</v>
      </c>
      <c r="Y209" t="str">
        <v>Furniture</v>
      </c>
      <c r="Z209" t="str">
        <v>In-Store</v>
      </c>
      <c r="AA209" t="str">
        <v>Cash</v>
      </c>
      <c r="AB209" t="str">
        <v>Pending</v>
      </c>
      <c r="AC209">
        <v>4</v>
      </c>
      <c r="AD209">
        <v>378.86</v>
      </c>
      <c r="AE209">
        <v>45516</v>
      </c>
      <c r="AF209">
        <v>0.15</v>
      </c>
      <c r="AG209" t="str">
        <v>Damaged on arrival - replaced</v>
      </c>
      <c r="AH209" t="str">
        <v>High Value</v>
      </c>
      <c r="AI209">
        <v>1515.44</v>
      </c>
      <c r="AJ209" t="str">
        <v>ORD-1008</v>
      </c>
      <c r="AK209">
        <v>1008</v>
      </c>
      <c r="AL209" t="str">
        <v>Aug-2024</v>
      </c>
      <c r="AM209">
        <v>45535</v>
      </c>
      <c r="AN209" t="str">
        <v>Sana</v>
      </c>
      <c r="AO209">
        <v>0.15</v>
      </c>
    </row>
    <row r="210" spans="8:41" x14ac:dyDescent="0.25">
      <c r="H210" t="str">
        <v>ORD-1123</v>
      </c>
      <c r="I210" t="str">
        <v>10/12/2024</v>
      </c>
      <c r="J210" t="str">
        <v>robert anderson</v>
      </c>
      <c r="K210" t="str">
        <v>WEST</v>
      </c>
      <c r="L210" t="str">
        <v>Quetta</v>
      </c>
      <c r="M210" t="str">
        <v>furniture</v>
      </c>
      <c r="N210" t="str">
        <v>Sofa Set</v>
      </c>
      <c r="O210" t="str">
        <v>Online</v>
      </c>
      <c r="P210">
        <v>12</v>
      </c>
      <c r="Q210">
        <v>355.64</v>
      </c>
      <c r="R210">
        <v>0</v>
      </c>
      <c r="S210" t="str">
        <v>Bank Transfer</v>
      </c>
      <c r="T210" t="str">
        <v>completed</v>
      </c>
      <c r="U210" t="str">
        <v>D. Iqbal</v>
      </c>
      <c r="V210" t="str">
        <v xml:space="preserve">Follow up needed	</v>
      </c>
      <c r="W210" t="str">
        <v>Robert Anderson</v>
      </c>
      <c r="X210" t="str">
        <v>West</v>
      </c>
      <c r="Y210" t="str">
        <v>Furniture</v>
      </c>
      <c r="Z210" t="str">
        <v>Online</v>
      </c>
      <c r="AA210" t="str">
        <v>Bank Transfer</v>
      </c>
      <c r="AB210" t="str">
        <v>Completed</v>
      </c>
      <c r="AC210">
        <v>12</v>
      </c>
      <c r="AD210">
        <v>355.64</v>
      </c>
      <c r="AE210">
        <v>45577</v>
      </c>
      <c r="AF210">
        <v>0</v>
      </c>
      <c r="AG210" t="str">
        <v>Follow up needed</v>
      </c>
      <c r="AH210" t="str">
        <v>High Value</v>
      </c>
      <c r="AI210">
        <v>4267.68</v>
      </c>
      <c r="AJ210" t="str">
        <v>ORD-1123</v>
      </c>
      <c r="AK210">
        <v>1123</v>
      </c>
      <c r="AL210" t="str">
        <v>Oct-2024</v>
      </c>
      <c r="AM210">
        <v>45596</v>
      </c>
      <c r="AN210" t="str">
        <v>robert</v>
      </c>
      <c r="AO210">
        <v>0</v>
      </c>
    </row>
    <row r="211" spans="8:41" x14ac:dyDescent="0.25">
      <c r="H211" t="str">
        <v>ORD-1015</v>
      </c>
      <c r="I211" t="str">
        <v>2024-06-02</v>
      </c>
      <c r="J211" t="str">
        <v xml:space="preserve"> Grace Garcia</v>
      </c>
      <c r="K211" t="str">
        <v>east</v>
      </c>
      <c r="L211" t="str">
        <v>Sialkot</v>
      </c>
      <c r="M211" t="str">
        <v>FURNITURE</v>
      </c>
      <c r="N211" t="str">
        <v>Bookshelf</v>
      </c>
      <c r="O211" t="str">
        <v>ONLINE</v>
      </c>
      <c r="P211">
        <v>8</v>
      </c>
      <c r="Q211">
        <v>353.25</v>
      </c>
      <c r="R211">
        <v>0.2</v>
      </c>
      <c r="S211" t="str">
        <v>Credit Card</v>
      </c>
      <c r="T211" t="str">
        <v>PENDING</v>
      </c>
      <c r="U211" t="str">
        <v>E. Tanaka</v>
      </c>
      <c r="V211" t="str">
        <v xml:space="preserve">Follow up needed	</v>
      </c>
      <c r="W211" t="str">
        <v>Grace Garcia</v>
      </c>
      <c r="X211" t="str">
        <v>East</v>
      </c>
      <c r="Y211" t="str">
        <v>Furniture</v>
      </c>
      <c r="Z211" t="str">
        <v>Online</v>
      </c>
      <c r="AA211" t="str">
        <v>Credit Card</v>
      </c>
      <c r="AB211" t="str">
        <v>Pending</v>
      </c>
      <c r="AC211">
        <v>8</v>
      </c>
      <c r="AD211">
        <v>353.25</v>
      </c>
      <c r="AE211">
        <v>45445</v>
      </c>
      <c r="AF211">
        <v>0.2</v>
      </c>
      <c r="AG211" t="str">
        <v>Follow up needed</v>
      </c>
      <c r="AH211" t="str">
        <v>High Value</v>
      </c>
      <c r="AI211">
        <v>2826</v>
      </c>
      <c r="AJ211" t="str">
        <v>ORD-1015</v>
      </c>
      <c r="AK211">
        <v>1015</v>
      </c>
      <c r="AL211" t="str">
        <v>Jun-2024</v>
      </c>
      <c r="AM211">
        <v>45473</v>
      </c>
      <c r="AN211" t="str">
        <v>Grace</v>
      </c>
      <c r="AO211">
        <v>0.2</v>
      </c>
    </row>
    <row r="212" spans="8:41" x14ac:dyDescent="0.25">
      <c r="H212" t="str">
        <v>ORD-1127</v>
      </c>
      <c r="I212" t="str">
        <v>05/04/2024</v>
      </c>
      <c r="J212" t="str">
        <v>Michael Raza</v>
      </c>
      <c r="K212" t="str">
        <v>North</v>
      </c>
      <c r="L212" t="str">
        <v>Lahore</v>
      </c>
      <c r="M212" t="str">
        <v>furniture</v>
      </c>
      <c r="N212" t="str">
        <v>Sofa Set</v>
      </c>
      <c r="O212" t="str">
        <v>ONLINE</v>
      </c>
      <c r="P212" t="str">
        <v xml:space="preserve"> 9 </v>
      </c>
      <c r="Q212">
        <v>282.13</v>
      </c>
      <c r="R212">
        <v>0</v>
      </c>
      <c r="S212" t="str">
        <v>debit card</v>
      </c>
      <c r="T212" t="str">
        <v>PENDING</v>
      </c>
      <c r="U212" t="str">
        <v>B. Fernandes</v>
      </c>
      <c r="V212" t="str">
        <v xml:space="preserve">  </v>
      </c>
      <c r="W212" t="str">
        <v>Michael Raza</v>
      </c>
      <c r="X212" t="str">
        <v>North</v>
      </c>
      <c r="Y212" t="str">
        <v>Furniture</v>
      </c>
      <c r="Z212" t="str">
        <v>Online</v>
      </c>
      <c r="AA212" t="str">
        <v>Debit Card</v>
      </c>
      <c r="AB212" t="str">
        <v>Pending</v>
      </c>
      <c r="AC212">
        <v>9</v>
      </c>
      <c r="AD212">
        <v>282.13</v>
      </c>
      <c r="AE212">
        <v>45416</v>
      </c>
      <c r="AF212">
        <v>0</v>
      </c>
      <c r="AG212" t="str">
        <v/>
      </c>
      <c r="AH212" t="str">
        <v>High Value</v>
      </c>
      <c r="AI212">
        <v>2539.17</v>
      </c>
      <c r="AJ212" t="str">
        <v>ORD-1127</v>
      </c>
      <c r="AK212">
        <v>1127</v>
      </c>
      <c r="AL212" t="str">
        <v>May-2024</v>
      </c>
      <c r="AM212">
        <v>45443</v>
      </c>
      <c r="AN212" t="str">
        <v>Michael</v>
      </c>
      <c r="AO212">
        <v>0</v>
      </c>
    </row>
    <row r="213" spans="8:41" x14ac:dyDescent="0.25">
      <c r="H213" t="str">
        <v>ORD-1162</v>
      </c>
      <c r="I213" t="str">
        <v>October 19, 2024</v>
      </c>
      <c r="J213" t="str">
        <v xml:space="preserve"> Tom Malik</v>
      </c>
      <c r="K213" t="str">
        <v>west</v>
      </c>
      <c r="L213" t="str">
        <v>Quetta</v>
      </c>
      <c r="M213" t="str">
        <v>furniture</v>
      </c>
      <c r="N213" t="str">
        <v>Filing Cabinet</v>
      </c>
      <c r="O213" t="str">
        <v xml:space="preserve">In-store </v>
      </c>
      <c r="P213">
        <v>12</v>
      </c>
      <c r="Q213">
        <v>272.36</v>
      </c>
      <c r="R213">
        <v>0</v>
      </c>
      <c r="S213" t="str">
        <v>credit card</v>
      </c>
      <c r="T213" t="str">
        <v>Completed</v>
      </c>
      <c r="U213" t="str">
        <v>D. Iqbal</v>
      </c>
      <c r="V213" t="str">
        <v>Damaged on arrival - replaced</v>
      </c>
      <c r="W213" t="str">
        <v>Tom Malik</v>
      </c>
      <c r="X213" t="str">
        <v>West</v>
      </c>
      <c r="Y213" t="str">
        <v>Furniture</v>
      </c>
      <c r="Z213" t="str">
        <v>In-Store</v>
      </c>
      <c r="AA213" t="str">
        <v>Credit Card</v>
      </c>
      <c r="AB213" t="str">
        <v>Completed</v>
      </c>
      <c r="AC213">
        <v>12</v>
      </c>
      <c r="AD213">
        <v>272.36</v>
      </c>
      <c r="AE213">
        <v>45584</v>
      </c>
      <c r="AF213">
        <v>0</v>
      </c>
      <c r="AG213" t="str">
        <v>Damaged on arrival - replaced</v>
      </c>
      <c r="AH213" t="str">
        <v>High Value</v>
      </c>
      <c r="AI213">
        <v>3268.32</v>
      </c>
      <c r="AJ213" t="str">
        <v>ORD-1162</v>
      </c>
      <c r="AK213">
        <v>1162</v>
      </c>
      <c r="AL213" t="str">
        <v>Oct-2024</v>
      </c>
      <c r="AM213">
        <v>45596</v>
      </c>
      <c r="AN213" t="str">
        <v>Tom</v>
      </c>
      <c r="AO213">
        <v>0</v>
      </c>
    </row>
    <row r="214" spans="8:41" x14ac:dyDescent="0.25">
      <c r="H214" t="str">
        <v>ORD-1086</v>
      </c>
      <c r="I214" t="str">
        <v>05/20/2024</v>
      </c>
      <c r="J214" t="str">
        <v>UMAR BROWN</v>
      </c>
      <c r="K214" t="str">
        <v>North</v>
      </c>
      <c r="L214" t="str">
        <v>Faisalabad</v>
      </c>
      <c r="M214" t="str">
        <v>furniture</v>
      </c>
      <c r="N214" t="str">
        <v>Bookshelf</v>
      </c>
      <c r="O214" t="str">
        <v xml:space="preserve">Online </v>
      </c>
      <c r="P214">
        <v>6</v>
      </c>
      <c r="Q214">
        <v>261.85000000000002</v>
      </c>
      <c r="R214">
        <v>0</v>
      </c>
      <c r="S214" t="str">
        <v xml:space="preserve">Credit card </v>
      </c>
      <c r="T214" t="str">
        <v>PENDING</v>
      </c>
      <c r="U214" t="str">
        <v>E. Tanaka</v>
      </c>
      <c r="V214" t="str">
        <v xml:space="preserve">Leave at front desk  </v>
      </c>
      <c r="W214" t="str">
        <v>Umar Brown</v>
      </c>
      <c r="X214" t="str">
        <v>North</v>
      </c>
      <c r="Y214" t="str">
        <v>Furniture</v>
      </c>
      <c r="Z214" t="str">
        <v>Online</v>
      </c>
      <c r="AA214" t="str">
        <v>Credit Card</v>
      </c>
      <c r="AB214" t="str">
        <v>Pending</v>
      </c>
      <c r="AC214">
        <v>6</v>
      </c>
      <c r="AD214">
        <v>261.85000000000002</v>
      </c>
      <c r="AE214">
        <v>45432</v>
      </c>
      <c r="AF214">
        <v>0</v>
      </c>
      <c r="AG214" t="str">
        <v>Leave at front desk</v>
      </c>
      <c r="AH214" t="str">
        <v>High Value</v>
      </c>
      <c r="AI214">
        <v>1571.1000000000001</v>
      </c>
      <c r="AJ214" t="str">
        <v>ORD-1086</v>
      </c>
      <c r="AK214">
        <v>1086</v>
      </c>
      <c r="AL214" t="str">
        <v>May-2024</v>
      </c>
      <c r="AM214">
        <v>45443</v>
      </c>
      <c r="AN214" t="str">
        <v>UMAR</v>
      </c>
      <c r="AO214">
        <v>0</v>
      </c>
    </row>
    <row r="215" spans="8:41" x14ac:dyDescent="0.25">
      <c r="H215" t="str">
        <v>ORD-1180</v>
      </c>
      <c r="I215" t="str">
        <v>2024-11-30</v>
      </c>
      <c r="J215" t="str">
        <v xml:space="preserve">Laura Ahmed </v>
      </c>
      <c r="K215" t="str">
        <v>south</v>
      </c>
      <c r="L215" t="str">
        <v>Karachi</v>
      </c>
      <c r="M215" t="str">
        <v>Furniture</v>
      </c>
      <c r="N215" t="str">
        <v>Bookshelf</v>
      </c>
      <c r="O215" t="str">
        <v>Online</v>
      </c>
      <c r="P215">
        <v>7</v>
      </c>
      <c r="Q215">
        <v>131.62</v>
      </c>
      <c r="R215">
        <v>0</v>
      </c>
      <c r="S215" t="str">
        <v>Credit Card</v>
      </c>
      <c r="T215" t="str">
        <v>PENDING</v>
      </c>
      <c r="U215" t="str">
        <v>A. Malik</v>
      </c>
      <c r="V215" t="str">
        <v>Gift wrap requested</v>
      </c>
      <c r="W215" t="str">
        <v>Laura Ahmed</v>
      </c>
      <c r="X215" t="str">
        <v>South</v>
      </c>
      <c r="Y215" t="str">
        <v>Furniture</v>
      </c>
      <c r="Z215" t="str">
        <v>Online</v>
      </c>
      <c r="AA215" t="str">
        <v>Credit Card</v>
      </c>
      <c r="AB215" t="str">
        <v>Pending</v>
      </c>
      <c r="AC215">
        <v>7</v>
      </c>
      <c r="AD215">
        <v>131.62</v>
      </c>
      <c r="AE215">
        <v>45626</v>
      </c>
      <c r="AF215">
        <v>0</v>
      </c>
      <c r="AG215" t="str">
        <v>Gift wrap requested</v>
      </c>
      <c r="AH215" t="str">
        <v>Standard</v>
      </c>
      <c r="AI215">
        <v>921.34</v>
      </c>
      <c r="AJ215" t="str">
        <v>ORD-1180</v>
      </c>
      <c r="AK215">
        <v>1180</v>
      </c>
      <c r="AL215" t="str">
        <v>Nov-2024</v>
      </c>
      <c r="AM215">
        <v>45626</v>
      </c>
      <c r="AN215" t="str">
        <v>Laura</v>
      </c>
      <c r="AO215">
        <v>0</v>
      </c>
    </row>
    <row r="216" spans="8:41" x14ac:dyDescent="0.25">
      <c r="H216" t="str">
        <v>ORD-1009</v>
      </c>
      <c r="I216" t="str">
        <v>08/12/2024</v>
      </c>
      <c r="J216" t="str">
        <v>Emily  Ahmed</v>
      </c>
      <c r="K216" t="str">
        <v>NORTH</v>
      </c>
      <c r="L216" t="str">
        <v>Islamabad</v>
      </c>
      <c r="M216" t="str">
        <v>furniture</v>
      </c>
      <c r="N216" t="str">
        <v>Office Chair</v>
      </c>
      <c r="O216" t="str">
        <v>online</v>
      </c>
      <c r="P216">
        <v>12</v>
      </c>
      <c r="Q216">
        <v>118.33</v>
      </c>
      <c r="R216">
        <v>0</v>
      </c>
      <c r="S216" t="str">
        <v>Cash</v>
      </c>
      <c r="T216" t="str">
        <v>Complete</v>
      </c>
      <c r="U216" t="str">
        <v>C. Osei</v>
      </c>
      <c r="V216" t="str">
        <v>VIP customer</v>
      </c>
      <c r="W216" t="str">
        <v>Emily Ahmed</v>
      </c>
      <c r="X216" t="str">
        <v>North</v>
      </c>
      <c r="Y216" t="str">
        <v>Furniture</v>
      </c>
      <c r="Z216" t="str">
        <v>Online</v>
      </c>
      <c r="AA216" t="str">
        <v>Cash</v>
      </c>
      <c r="AB216" t="str">
        <v>Completed</v>
      </c>
      <c r="AC216">
        <v>12</v>
      </c>
      <c r="AD216">
        <v>118.33</v>
      </c>
      <c r="AE216">
        <v>45516</v>
      </c>
      <c r="AF216">
        <v>0</v>
      </c>
      <c r="AG216" t="str">
        <v>VIP customer</v>
      </c>
      <c r="AH216" t="str">
        <v>High Value</v>
      </c>
      <c r="AI216">
        <v>1419.96</v>
      </c>
      <c r="AJ216" t="str">
        <v>ORD-1009</v>
      </c>
      <c r="AK216">
        <v>1009</v>
      </c>
      <c r="AL216" t="str">
        <v>Aug-2024</v>
      </c>
      <c r="AM216">
        <v>45535</v>
      </c>
      <c r="AN216" t="str">
        <v>Emily</v>
      </c>
      <c r="AO216">
        <v>0</v>
      </c>
    </row>
    <row r="217" spans="8:41" x14ac:dyDescent="0.25">
      <c r="H217" t="str">
        <v>ORD-1217</v>
      </c>
      <c r="I217" t="str">
        <v>2024-12-22</v>
      </c>
      <c r="J217" t="str">
        <v>GRACE FAROOQ</v>
      </c>
      <c r="K217" t="str">
        <v>EAST</v>
      </c>
      <c r="L217" t="str">
        <v>Sialkot</v>
      </c>
      <c r="M217" t="str">
        <v>groceries</v>
      </c>
      <c r="N217" t="str">
        <v>Basmati Rice 5kg</v>
      </c>
      <c r="O217" t="str">
        <v xml:space="preserve">Online </v>
      </c>
      <c r="P217">
        <v>8</v>
      </c>
      <c r="Q217" t="str">
        <v>$474.88</v>
      </c>
      <c r="R217">
        <v>0.1</v>
      </c>
      <c r="S217" t="str">
        <v>bank transfer</v>
      </c>
      <c r="T217" t="str">
        <v>Pending</v>
      </c>
      <c r="U217" t="str">
        <v>E. Tanaka</v>
      </c>
      <c r="V217" t="str">
        <v xml:space="preserve">Follow up needed	</v>
      </c>
      <c r="W217" t="str">
        <v>Grace Farooq</v>
      </c>
      <c r="X217" t="str">
        <v>East</v>
      </c>
      <c r="Y217" t="str">
        <v>Groceries</v>
      </c>
      <c r="Z217" t="str">
        <v>Online</v>
      </c>
      <c r="AA217" t="str">
        <v>Bank Transfer</v>
      </c>
      <c r="AB217" t="str">
        <v>Pending</v>
      </c>
      <c r="AC217">
        <v>8</v>
      </c>
      <c r="AD217">
        <v>474.88</v>
      </c>
      <c r="AE217">
        <v>45648</v>
      </c>
      <c r="AF217">
        <v>0.1</v>
      </c>
      <c r="AG217" t="str">
        <v>Follow up needed</v>
      </c>
      <c r="AH217" t="str">
        <v>High Value</v>
      </c>
      <c r="AI217">
        <v>3799.04</v>
      </c>
      <c r="AJ217" t="str">
        <v>ORD-1217</v>
      </c>
      <c r="AK217">
        <v>1217</v>
      </c>
      <c r="AL217" t="str">
        <v>Dec-2024</v>
      </c>
      <c r="AM217">
        <v>45657</v>
      </c>
      <c r="AN217" t="str">
        <v>GRACE</v>
      </c>
      <c r="AO217">
        <v>0.1</v>
      </c>
    </row>
    <row r="218" spans="8:41" x14ac:dyDescent="0.25">
      <c r="H218" t="str">
        <v>ORD-1143</v>
      </c>
      <c r="I218" t="str">
        <v>24/03/2024</v>
      </c>
      <c r="J218" t="str">
        <v xml:space="preserve">Bilal Hussain </v>
      </c>
      <c r="K218" t="str">
        <v>South</v>
      </c>
      <c r="L218" t="str">
        <v>Karachi</v>
      </c>
      <c r="M218" t="str">
        <v>Groceries</v>
      </c>
      <c r="N218" t="str">
        <v>Almonds 500g</v>
      </c>
      <c r="O218" t="str">
        <v>Online</v>
      </c>
      <c r="P218">
        <v>5</v>
      </c>
      <c r="Q218" t="str">
        <v>$330.74</v>
      </c>
      <c r="R218">
        <v>0</v>
      </c>
      <c r="S218" t="str">
        <v>CREDIT CARD</v>
      </c>
      <c r="T218" t="str">
        <v>Refunded</v>
      </c>
      <c r="U218" t="str">
        <v>A. Malik</v>
      </c>
      <c r="V218">
        <v>0</v>
      </c>
      <c r="W218" t="str">
        <v>Bilal Hussain</v>
      </c>
      <c r="X218" t="str">
        <v>South</v>
      </c>
      <c r="Y218" t="str">
        <v>Groceries</v>
      </c>
      <c r="Z218" t="str">
        <v>Online</v>
      </c>
      <c r="AA218" t="str">
        <v>Credit Card</v>
      </c>
      <c r="AB218" t="str">
        <v>Refunded</v>
      </c>
      <c r="AC218">
        <v>5</v>
      </c>
      <c r="AD218">
        <v>330.74</v>
      </c>
      <c r="AE218">
        <v>45375</v>
      </c>
      <c r="AF218">
        <v>0</v>
      </c>
      <c r="AG218" t="str">
        <v/>
      </c>
      <c r="AH218" t="str">
        <v>High Value</v>
      </c>
      <c r="AI218">
        <v>1653.7</v>
      </c>
      <c r="AJ218" t="str">
        <v>ORD-1143</v>
      </c>
      <c r="AK218">
        <v>1143</v>
      </c>
      <c r="AL218" t="str">
        <v>Mar-2024</v>
      </c>
      <c r="AM218">
        <v>45382</v>
      </c>
      <c r="AN218" t="str">
        <v>Bilal</v>
      </c>
      <c r="AO218">
        <v>0</v>
      </c>
    </row>
    <row r="219" spans="8:41" x14ac:dyDescent="0.25">
      <c r="H219" t="str">
        <v>ORD-1060</v>
      </c>
      <c r="I219" t="str">
        <v>28-Feb-24</v>
      </c>
      <c r="J219" t="str">
        <v xml:space="preserve">Grace Taylor </v>
      </c>
      <c r="K219" t="str">
        <v>Nort</v>
      </c>
      <c r="L219" t="str">
        <v>Lahore</v>
      </c>
      <c r="M219" t="str">
        <v>Groceries</v>
      </c>
      <c r="N219" t="str">
        <v>Green Tea Pack</v>
      </c>
      <c r="O219" t="str">
        <v>In-Store</v>
      </c>
      <c r="P219" t="str">
        <v xml:space="preserve"> 6 </v>
      </c>
      <c r="Q219" t="str">
        <v>$256.17</v>
      </c>
      <c r="R219">
        <v>0</v>
      </c>
      <c r="S219" t="str">
        <v>Debit Card</v>
      </c>
      <c r="T219" t="str">
        <v>Pending</v>
      </c>
      <c r="U219" t="str">
        <v>C. Osei</v>
      </c>
      <c r="V219" t="str">
        <v>VIP customer</v>
      </c>
      <c r="W219" t="str">
        <v>Grace Taylor</v>
      </c>
      <c r="X219" t="str">
        <v>North</v>
      </c>
      <c r="Y219" t="str">
        <v>Groceries</v>
      </c>
      <c r="Z219" t="str">
        <v>In-Store</v>
      </c>
      <c r="AA219" t="str">
        <v>Debit Card</v>
      </c>
      <c r="AB219" t="str">
        <v>Pending</v>
      </c>
      <c r="AC219">
        <v>6</v>
      </c>
      <c r="AD219">
        <v>256.17</v>
      </c>
      <c r="AE219">
        <v>45350</v>
      </c>
      <c r="AF219">
        <v>0</v>
      </c>
      <c r="AG219" t="str">
        <v>VIP customer</v>
      </c>
      <c r="AH219" t="str">
        <v>High Value</v>
      </c>
      <c r="AI219">
        <v>1537.02</v>
      </c>
      <c r="AJ219" t="str">
        <v>ORD-1060</v>
      </c>
      <c r="AK219">
        <v>1060</v>
      </c>
      <c r="AL219" t="str">
        <v>Feb-2024</v>
      </c>
      <c r="AM219">
        <v>45351</v>
      </c>
      <c r="AN219" t="str">
        <v>Grace</v>
      </c>
      <c r="AO219">
        <v>0</v>
      </c>
    </row>
    <row r="220" spans="8:41" x14ac:dyDescent="0.25">
      <c r="H220" t="str">
        <v>ORD-1153</v>
      </c>
      <c r="I220" t="str">
        <v>12/09/2024</v>
      </c>
      <c r="J220" t="str">
        <v xml:space="preserve"> Sarah Malik</v>
      </c>
      <c r="K220" t="str">
        <v xml:space="preserve">West </v>
      </c>
      <c r="L220">
        <v>0</v>
      </c>
      <c r="M220" t="str">
        <v>groceries</v>
      </c>
      <c r="N220" t="str">
        <v>Green Tea Pack</v>
      </c>
      <c r="O220" t="str">
        <v xml:space="preserve">Online </v>
      </c>
      <c r="P220">
        <v>3</v>
      </c>
      <c r="Q220" t="str">
        <v>$225.78</v>
      </c>
      <c r="R220" t="str">
        <v>20%</v>
      </c>
      <c r="S220" t="str">
        <v xml:space="preserve">Credit card </v>
      </c>
      <c r="T220" t="str">
        <v>PENDING</v>
      </c>
      <c r="U220" t="str">
        <v>C. Osei</v>
      </c>
      <c r="V220" t="str">
        <v>Bulk order - business account</v>
      </c>
      <c r="W220" t="str">
        <v>Sarah Malik</v>
      </c>
      <c r="X220" t="str">
        <v>West</v>
      </c>
      <c r="Y220" t="str">
        <v>Groceries</v>
      </c>
      <c r="Z220" t="str">
        <v>Online</v>
      </c>
      <c r="AA220" t="str">
        <v>Credit Card</v>
      </c>
      <c r="AB220" t="str">
        <v>Pending</v>
      </c>
      <c r="AC220">
        <v>3</v>
      </c>
      <c r="AD220">
        <v>225.78</v>
      </c>
      <c r="AE220">
        <v>45635</v>
      </c>
      <c r="AF220" t="str">
        <v>20%</v>
      </c>
      <c r="AG220" t="str">
        <v>Bulk order - business account</v>
      </c>
      <c r="AH220" t="str">
        <v>Standard</v>
      </c>
      <c r="AI220">
        <v>677.34</v>
      </c>
      <c r="AJ220" t="str">
        <v>ORD-1153</v>
      </c>
      <c r="AK220">
        <v>1153</v>
      </c>
      <c r="AL220" t="str">
        <v>Dec-2024</v>
      </c>
      <c r="AM220">
        <v>45657</v>
      </c>
      <c r="AN220" t="str">
        <v>Sarah</v>
      </c>
      <c r="AO220">
        <v>0.2</v>
      </c>
    </row>
    <row r="221" spans="8:41" x14ac:dyDescent="0.25">
      <c r="H221" t="str">
        <v>ORD-1027</v>
      </c>
      <c r="I221" t="str">
        <v>July 20, 2024</v>
      </c>
      <c r="J221" t="str">
        <v>MARIA ANDERSON</v>
      </c>
      <c r="K221" t="str">
        <v xml:space="preserve">South </v>
      </c>
      <c r="L221" t="str">
        <v>Karachi</v>
      </c>
      <c r="M221" t="str">
        <v>Groceries</v>
      </c>
      <c r="N221" t="str">
        <v>Almonds 500g</v>
      </c>
      <c r="O221" t="str">
        <v>in-store</v>
      </c>
      <c r="P221">
        <v>11</v>
      </c>
      <c r="Q221" t="str">
        <v>$205.14</v>
      </c>
      <c r="R221">
        <v>0.05</v>
      </c>
      <c r="S221" t="str">
        <v>cash</v>
      </c>
      <c r="T221" t="str">
        <v>Pending</v>
      </c>
      <c r="U221" t="str">
        <v>A. Malik</v>
      </c>
      <c r="V221" t="str">
        <v>Gift wrap requested</v>
      </c>
      <c r="W221" t="str">
        <v>Maria Anderson</v>
      </c>
      <c r="X221" t="str">
        <v>South</v>
      </c>
      <c r="Y221" t="str">
        <v>Groceries</v>
      </c>
      <c r="Z221" t="str">
        <v>In-Store</v>
      </c>
      <c r="AA221" t="str">
        <v>Cash</v>
      </c>
      <c r="AB221" t="str">
        <v>Pending</v>
      </c>
      <c r="AC221">
        <v>11</v>
      </c>
      <c r="AD221">
        <v>205.14</v>
      </c>
      <c r="AE221">
        <v>45493</v>
      </c>
      <c r="AF221">
        <v>0.05</v>
      </c>
      <c r="AG221" t="str">
        <v>Gift wrap requested</v>
      </c>
      <c r="AH221" t="str">
        <v>High Value</v>
      </c>
      <c r="AI221">
        <v>2256.54</v>
      </c>
      <c r="AJ221" t="str">
        <v>ORD-1027</v>
      </c>
      <c r="AK221">
        <v>1027</v>
      </c>
      <c r="AL221" t="str">
        <v>Jul-2024</v>
      </c>
      <c r="AM221">
        <v>45504</v>
      </c>
      <c r="AN221" t="str">
        <v>MARIA</v>
      </c>
      <c r="AO221">
        <v>0.05</v>
      </c>
    </row>
    <row r="222" spans="8:41" x14ac:dyDescent="0.25">
      <c r="H222" t="str">
        <v>ORD-1027</v>
      </c>
      <c r="I222" t="str">
        <v>July 20, 2024</v>
      </c>
      <c r="J222" t="str">
        <v>MARIA ANDERSON</v>
      </c>
      <c r="K222" t="str">
        <v xml:space="preserve">South </v>
      </c>
      <c r="L222" t="str">
        <v>Karachi</v>
      </c>
      <c r="M222" t="str">
        <v>Groceries</v>
      </c>
      <c r="N222" t="str">
        <v>Almonds 500g</v>
      </c>
      <c r="O222" t="str">
        <v>in-store</v>
      </c>
      <c r="P222">
        <v>11</v>
      </c>
      <c r="Q222" t="str">
        <v>$205.14</v>
      </c>
      <c r="R222">
        <v>0.05</v>
      </c>
      <c r="S222" t="str">
        <v>cash</v>
      </c>
      <c r="T222" t="str">
        <v>Pending</v>
      </c>
      <c r="U222" t="str">
        <v>A. Malik</v>
      </c>
      <c r="V222" t="str">
        <v>Gift wrap requested</v>
      </c>
      <c r="W222" t="str">
        <v>Maria Anderson</v>
      </c>
      <c r="X222" t="str">
        <v>South</v>
      </c>
      <c r="Y222" t="str">
        <v>Groceries</v>
      </c>
      <c r="Z222" t="str">
        <v>In-Store</v>
      </c>
      <c r="AA222" t="str">
        <v>Cash</v>
      </c>
      <c r="AB222" t="str">
        <v>Pending</v>
      </c>
      <c r="AC222">
        <v>11</v>
      </c>
      <c r="AD222">
        <v>205.14</v>
      </c>
      <c r="AE222">
        <v>45493</v>
      </c>
      <c r="AF222">
        <v>0.05</v>
      </c>
      <c r="AG222" t="str">
        <v>Gift wrap requested</v>
      </c>
      <c r="AH222" t="str">
        <v>High Value</v>
      </c>
      <c r="AI222">
        <v>2256.54</v>
      </c>
      <c r="AJ222" t="str">
        <v>ORD-1027</v>
      </c>
      <c r="AK222">
        <v>1027</v>
      </c>
      <c r="AL222" t="str">
        <v>Jul-2024</v>
      </c>
      <c r="AM222">
        <v>45504</v>
      </c>
      <c r="AN222" t="str">
        <v>MARIA</v>
      </c>
      <c r="AO222">
        <v>0.05</v>
      </c>
    </row>
    <row r="223" spans="8:41" x14ac:dyDescent="0.25">
      <c r="H223" t="str">
        <v>ORD-1033</v>
      </c>
      <c r="I223" t="str">
        <v>August 30, 2024</v>
      </c>
      <c r="J223" t="str">
        <v xml:space="preserve"> Grace Smith</v>
      </c>
      <c r="K223" t="str">
        <v>South</v>
      </c>
      <c r="L223" t="str">
        <v>Karachi</v>
      </c>
      <c r="M223" t="str">
        <v>groceries</v>
      </c>
      <c r="N223" t="str">
        <v>Almonds 500g</v>
      </c>
      <c r="O223" t="str">
        <v>instore</v>
      </c>
      <c r="P223">
        <v>8</v>
      </c>
      <c r="Q223" t="str">
        <v xml:space="preserve"> 51.06 </v>
      </c>
      <c r="R223" t="str">
        <v>10%</v>
      </c>
      <c r="S223" t="str">
        <v xml:space="preserve">Cash </v>
      </c>
      <c r="T223" t="str">
        <v>pending</v>
      </c>
      <c r="U223" t="str">
        <v>C. Osei</v>
      </c>
      <c r="V223" t="str">
        <v>Bulk order - business account</v>
      </c>
      <c r="W223" t="str">
        <v>Grace Smith</v>
      </c>
      <c r="X223" t="str">
        <v>South</v>
      </c>
      <c r="Y223" t="str">
        <v>Groceries</v>
      </c>
      <c r="Z223" t="str">
        <v>In-Store</v>
      </c>
      <c r="AA223" t="str">
        <v>Cash</v>
      </c>
      <c r="AB223" t="str">
        <v>Pending</v>
      </c>
      <c r="AC223">
        <v>8</v>
      </c>
      <c r="AD223">
        <v>51.06</v>
      </c>
      <c r="AE223">
        <v>45534</v>
      </c>
      <c r="AF223" t="str">
        <v>10%</v>
      </c>
      <c r="AG223" t="str">
        <v>Bulk order - business account</v>
      </c>
      <c r="AH223" t="str">
        <v>Standard</v>
      </c>
      <c r="AI223">
        <v>408.48</v>
      </c>
      <c r="AJ223" t="str">
        <v>ORD-1033</v>
      </c>
      <c r="AK223">
        <v>1033</v>
      </c>
      <c r="AL223" t="str">
        <v>Aug-2024</v>
      </c>
      <c r="AM223">
        <v>45535</v>
      </c>
      <c r="AN223" t="str">
        <v>Grace</v>
      </c>
      <c r="AO223">
        <v>0.1</v>
      </c>
    </row>
    <row r="224" spans="8:41" x14ac:dyDescent="0.25">
      <c r="H224" t="str">
        <v>ORD-1175</v>
      </c>
      <c r="I224" t="str">
        <v>03-Aug-24</v>
      </c>
      <c r="J224" t="str">
        <v xml:space="preserve"> Yusuf Sheikh</v>
      </c>
      <c r="K224" t="str">
        <v>east</v>
      </c>
      <c r="L224" t="str">
        <v>Multan</v>
      </c>
      <c r="M224" t="str">
        <v>groceries</v>
      </c>
      <c r="N224" t="str">
        <v>Green Tea Pack</v>
      </c>
      <c r="O224" t="str">
        <v xml:space="preserve">In-store </v>
      </c>
      <c r="P224">
        <v>3</v>
      </c>
      <c r="Q224">
        <v>450.3</v>
      </c>
      <c r="R224">
        <v>0</v>
      </c>
      <c r="S224" t="str">
        <v xml:space="preserve">Credit card </v>
      </c>
      <c r="T224" t="str">
        <v>Refunded</v>
      </c>
      <c r="U224" t="str">
        <v>C. Osei</v>
      </c>
      <c r="V224">
        <v>0</v>
      </c>
      <c r="W224" t="str">
        <v>Yusuf Sheikh</v>
      </c>
      <c r="X224" t="str">
        <v>East</v>
      </c>
      <c r="Y224" t="str">
        <v>Groceries</v>
      </c>
      <c r="Z224" t="str">
        <v>In-Store</v>
      </c>
      <c r="AA224" t="str">
        <v>Credit Card</v>
      </c>
      <c r="AB224" t="str">
        <v>Refunded</v>
      </c>
      <c r="AC224">
        <v>3</v>
      </c>
      <c r="AD224">
        <v>450.3</v>
      </c>
      <c r="AE224">
        <v>45507</v>
      </c>
      <c r="AF224">
        <v>0</v>
      </c>
      <c r="AG224" t="str">
        <v/>
      </c>
      <c r="AH224" t="str">
        <v>High Value</v>
      </c>
      <c r="AI224">
        <v>1350.9</v>
      </c>
      <c r="AJ224" t="str">
        <v>ORD-1175</v>
      </c>
      <c r="AK224">
        <v>1175</v>
      </c>
      <c r="AL224" t="str">
        <v>Aug-2024</v>
      </c>
      <c r="AM224">
        <v>45535</v>
      </c>
      <c r="AN224" t="str">
        <v>Yusuf</v>
      </c>
      <c r="AO224">
        <v>0</v>
      </c>
    </row>
    <row r="225" spans="8:41" x14ac:dyDescent="0.25">
      <c r="H225" t="str">
        <v>ORD-1164</v>
      </c>
      <c r="I225" t="str">
        <v>13-Feb-24</v>
      </c>
      <c r="J225" t="str">
        <v>MICHAEL FAROOQ</v>
      </c>
      <c r="K225" t="str">
        <v>SOUTH</v>
      </c>
      <c r="L225" t="str">
        <v>Hyderabad</v>
      </c>
      <c r="M225" t="str">
        <v>Groceries</v>
      </c>
      <c r="N225" t="str">
        <v>Green Tea Pack</v>
      </c>
      <c r="O225" t="str">
        <v>instore</v>
      </c>
      <c r="P225">
        <v>8</v>
      </c>
      <c r="Q225">
        <v>419.35</v>
      </c>
      <c r="R225">
        <v>0</v>
      </c>
      <c r="S225" t="str">
        <v>Bank Transfer</v>
      </c>
      <c r="T225" t="str">
        <v>PENDING</v>
      </c>
      <c r="U225" t="str">
        <v>A. Malik</v>
      </c>
      <c r="V225" t="str">
        <v>Bulk order - business account</v>
      </c>
      <c r="W225" t="str">
        <v>Michael Farooq</v>
      </c>
      <c r="X225" t="str">
        <v>South</v>
      </c>
      <c r="Y225" t="str">
        <v>Groceries</v>
      </c>
      <c r="Z225" t="str">
        <v>In-Store</v>
      </c>
      <c r="AA225" t="str">
        <v>Bank Transfer</v>
      </c>
      <c r="AB225" t="str">
        <v>Pending</v>
      </c>
      <c r="AC225">
        <v>8</v>
      </c>
      <c r="AD225">
        <v>419.35</v>
      </c>
      <c r="AE225">
        <v>45335</v>
      </c>
      <c r="AF225">
        <v>0</v>
      </c>
      <c r="AG225" t="str">
        <v>Bulk order - business account</v>
      </c>
      <c r="AH225" t="str">
        <v>High Value</v>
      </c>
      <c r="AI225">
        <v>3354.8</v>
      </c>
      <c r="AJ225" t="str">
        <v>ORD-1164</v>
      </c>
      <c r="AK225">
        <v>1164</v>
      </c>
      <c r="AL225" t="str">
        <v>Feb-2024</v>
      </c>
      <c r="AM225">
        <v>45351</v>
      </c>
      <c r="AN225" t="str">
        <v>MICHAEL</v>
      </c>
      <c r="AO225">
        <v>0</v>
      </c>
    </row>
    <row r="226" spans="8:41" x14ac:dyDescent="0.25">
      <c r="H226" t="str">
        <v>ORD-1092</v>
      </c>
      <c r="I226" t="str">
        <v>09-Nov-24</v>
      </c>
      <c r="J226" t="str">
        <v>chen sheikh</v>
      </c>
      <c r="K226" t="str">
        <v>east</v>
      </c>
      <c r="L226" t="str">
        <v>Multan</v>
      </c>
      <c r="M226" t="str">
        <v>Groceries</v>
      </c>
      <c r="N226" t="str">
        <v>Basmati Rice 5kg</v>
      </c>
      <c r="O226" t="str">
        <v>Online</v>
      </c>
      <c r="P226">
        <v>3</v>
      </c>
      <c r="Q226">
        <v>402.96</v>
      </c>
      <c r="R226">
        <v>0</v>
      </c>
      <c r="S226" t="str">
        <v>Cash</v>
      </c>
      <c r="T226" t="str">
        <v>COMPLETED</v>
      </c>
      <c r="U226" t="str">
        <v>C. Osei</v>
      </c>
      <c r="V226" t="str">
        <v xml:space="preserve">Follow up needed	</v>
      </c>
      <c r="W226" t="str">
        <v>Chen Sheikh</v>
      </c>
      <c r="X226" t="str">
        <v>East</v>
      </c>
      <c r="Y226" t="str">
        <v>Groceries</v>
      </c>
      <c r="Z226" t="str">
        <v>Online</v>
      </c>
      <c r="AA226" t="str">
        <v>Cash</v>
      </c>
      <c r="AB226" t="str">
        <v>Completed</v>
      </c>
      <c r="AC226">
        <v>3</v>
      </c>
      <c r="AD226">
        <v>402.96</v>
      </c>
      <c r="AE226">
        <v>45605</v>
      </c>
      <c r="AF226">
        <v>0</v>
      </c>
      <c r="AG226" t="str">
        <v>Follow up needed</v>
      </c>
      <c r="AH226" t="str">
        <v>High Value</v>
      </c>
      <c r="AI226">
        <v>1208.8799999999999</v>
      </c>
      <c r="AJ226" t="str">
        <v>ORD-1092</v>
      </c>
      <c r="AK226">
        <v>1092</v>
      </c>
      <c r="AL226" t="str">
        <v>Nov-2024</v>
      </c>
      <c r="AM226">
        <v>45626</v>
      </c>
      <c r="AN226" t="str">
        <v>chen</v>
      </c>
      <c r="AO226">
        <v>0</v>
      </c>
    </row>
    <row r="227" spans="8:41" x14ac:dyDescent="0.25">
      <c r="H227" t="str">
        <v>ORD-1073</v>
      </c>
      <c r="I227" t="str">
        <v>11-Mar-24</v>
      </c>
      <c r="J227" t="str">
        <v>daniel qureshi</v>
      </c>
      <c r="K227" t="str">
        <v>west</v>
      </c>
      <c r="L227" t="str">
        <v>Quetta</v>
      </c>
      <c r="M227" t="str">
        <v>groceries</v>
      </c>
      <c r="N227" t="str">
        <v>Green Tea Pack</v>
      </c>
      <c r="O227" t="str">
        <v>instore</v>
      </c>
      <c r="P227">
        <v>8</v>
      </c>
      <c r="Q227">
        <v>390.17</v>
      </c>
      <c r="R227">
        <v>0.05</v>
      </c>
      <c r="S227" t="str">
        <v xml:space="preserve">Credit card </v>
      </c>
      <c r="T227" t="str">
        <v>refunded</v>
      </c>
      <c r="U227" t="str">
        <v>E. Tanaka</v>
      </c>
      <c r="V227" t="str">
        <v>Gift wrap requested</v>
      </c>
      <c r="W227" t="str">
        <v>Daniel Qureshi</v>
      </c>
      <c r="X227" t="str">
        <v>West</v>
      </c>
      <c r="Y227" t="str">
        <v>Groceries</v>
      </c>
      <c r="Z227" t="str">
        <v>In-Store</v>
      </c>
      <c r="AA227" t="str">
        <v>Credit Card</v>
      </c>
      <c r="AB227" t="str">
        <v>Refunded</v>
      </c>
      <c r="AC227">
        <v>8</v>
      </c>
      <c r="AD227">
        <v>390.17</v>
      </c>
      <c r="AE227">
        <v>45362</v>
      </c>
      <c r="AF227">
        <v>0.05</v>
      </c>
      <c r="AG227" t="str">
        <v>Gift wrap requested</v>
      </c>
      <c r="AH227" t="str">
        <v>High Value</v>
      </c>
      <c r="AI227">
        <v>3121.36</v>
      </c>
      <c r="AJ227" t="str">
        <v>ORD-1073</v>
      </c>
      <c r="AK227">
        <v>1073</v>
      </c>
      <c r="AL227" t="str">
        <v>Mar-2024</v>
      </c>
      <c r="AM227">
        <v>45382</v>
      </c>
      <c r="AN227" t="str">
        <v>daniel</v>
      </c>
      <c r="AO227">
        <v>0.05</v>
      </c>
    </row>
    <row r="228" spans="8:41" x14ac:dyDescent="0.25">
      <c r="H228" t="str">
        <v>ORD-1104</v>
      </c>
      <c r="I228" t="str">
        <v>04-Aug-24</v>
      </c>
      <c r="J228" t="str">
        <v>MICHAEL CLARK</v>
      </c>
      <c r="K228" t="str">
        <v>Nort</v>
      </c>
      <c r="L228" t="str">
        <v>Islamabad</v>
      </c>
      <c r="M228" t="str">
        <v>Groceries</v>
      </c>
      <c r="N228" t="str">
        <v>Honey Jar</v>
      </c>
      <c r="O228" t="str">
        <v>instore</v>
      </c>
      <c r="P228">
        <v>11</v>
      </c>
      <c r="Q228">
        <v>363.02</v>
      </c>
      <c r="R228">
        <v>0.05</v>
      </c>
      <c r="S228" t="str">
        <v>cash</v>
      </c>
      <c r="T228" t="str">
        <v>completed</v>
      </c>
      <c r="U228" t="str">
        <v>A. Malik</v>
      </c>
      <c r="V228" t="str">
        <v xml:space="preserve">  Customer called twice </v>
      </c>
      <c r="W228" t="str">
        <v>Michael Clark</v>
      </c>
      <c r="X228" t="str">
        <v>North</v>
      </c>
      <c r="Y228" t="str">
        <v>Groceries</v>
      </c>
      <c r="Z228" t="str">
        <v>In-Store</v>
      </c>
      <c r="AA228" t="str">
        <v>Cash</v>
      </c>
      <c r="AB228" t="str">
        <v>Completed</v>
      </c>
      <c r="AC228">
        <v>11</v>
      </c>
      <c r="AD228">
        <v>363.02</v>
      </c>
      <c r="AE228">
        <v>45508</v>
      </c>
      <c r="AF228">
        <v>0.05</v>
      </c>
      <c r="AG228" t="str">
        <v>Customer called twice</v>
      </c>
      <c r="AH228" t="str">
        <v>High Value</v>
      </c>
      <c r="AI228">
        <v>3993.22</v>
      </c>
      <c r="AJ228" t="str">
        <v>ORD-1104</v>
      </c>
      <c r="AK228">
        <v>1104</v>
      </c>
      <c r="AL228" t="str">
        <v>Aug-2024</v>
      </c>
      <c r="AM228">
        <v>45535</v>
      </c>
      <c r="AN228" t="str">
        <v>MICHAEL</v>
      </c>
      <c r="AO228">
        <v>0.05</v>
      </c>
    </row>
    <row r="229" spans="8:41" x14ac:dyDescent="0.25">
      <c r="H229" t="str">
        <v>ORD-1052</v>
      </c>
      <c r="I229" t="str">
        <v>2024-08-29</v>
      </c>
      <c r="J229" t="str">
        <v>Daniel  Johnson</v>
      </c>
      <c r="K229" t="str">
        <v xml:space="preserve">South </v>
      </c>
      <c r="L229" t="str">
        <v>Hyderabad</v>
      </c>
      <c r="M229" t="str">
        <v>Groceries</v>
      </c>
      <c r="N229" t="str">
        <v>Green Tea Pack</v>
      </c>
      <c r="O229" t="str">
        <v xml:space="preserve">In-store </v>
      </c>
      <c r="P229">
        <v>2</v>
      </c>
      <c r="Q229">
        <v>338.05</v>
      </c>
      <c r="R229" t="str">
        <v>10%</v>
      </c>
      <c r="S229" t="str">
        <v>credit card</v>
      </c>
      <c r="T229" t="str">
        <v>PENDING</v>
      </c>
      <c r="U229" t="str">
        <v>B. Fernandes</v>
      </c>
      <c r="V229" t="str">
        <v>Bulk order - business account</v>
      </c>
      <c r="W229" t="str">
        <v>Daniel Johnson</v>
      </c>
      <c r="X229" t="str">
        <v>South</v>
      </c>
      <c r="Y229" t="str">
        <v>Groceries</v>
      </c>
      <c r="Z229" t="str">
        <v>In-Store</v>
      </c>
      <c r="AA229" t="str">
        <v>Credit Card</v>
      </c>
      <c r="AB229" t="str">
        <v>Pending</v>
      </c>
      <c r="AC229">
        <v>2</v>
      </c>
      <c r="AD229">
        <v>338.05</v>
      </c>
      <c r="AE229">
        <v>45533</v>
      </c>
      <c r="AF229" t="str">
        <v>10%</v>
      </c>
      <c r="AG229" t="str">
        <v>Bulk order - business account</v>
      </c>
      <c r="AH229" t="str">
        <v>Standard</v>
      </c>
      <c r="AI229">
        <v>676.1</v>
      </c>
      <c r="AJ229" t="str">
        <v>ORD-1052</v>
      </c>
      <c r="AK229">
        <v>1052</v>
      </c>
      <c r="AL229" t="str">
        <v>Aug-2024</v>
      </c>
      <c r="AM229">
        <v>45535</v>
      </c>
      <c r="AN229" t="str">
        <v>Daniel</v>
      </c>
      <c r="AO229">
        <v>0.1</v>
      </c>
    </row>
    <row r="230" spans="8:41" x14ac:dyDescent="0.25">
      <c r="H230" t="str">
        <v>ORD-1011</v>
      </c>
      <c r="I230" t="str">
        <v>26/03/2024</v>
      </c>
      <c r="J230" t="str">
        <v xml:space="preserve"> Ahmed Garcia</v>
      </c>
      <c r="K230" t="str">
        <v>west</v>
      </c>
      <c r="L230" t="str">
        <v>Peshawar</v>
      </c>
      <c r="M230" t="str">
        <v>groceries</v>
      </c>
      <c r="N230" t="str">
        <v>Basmati Rice 5kg</v>
      </c>
      <c r="O230" t="str">
        <v>instore</v>
      </c>
      <c r="P230" t="str">
        <v xml:space="preserve"> 9 </v>
      </c>
      <c r="Q230">
        <v>327.81</v>
      </c>
      <c r="R230">
        <v>0</v>
      </c>
      <c r="S230" t="str">
        <v>credit card</v>
      </c>
      <c r="T230" t="str">
        <v>refunded</v>
      </c>
      <c r="U230" t="str">
        <v>B. Fernandes</v>
      </c>
      <c r="V230" t="str">
        <v>Damaged on arrival - replaced</v>
      </c>
      <c r="W230" t="str">
        <v>Ahmed Garcia</v>
      </c>
      <c r="X230" t="str">
        <v>West</v>
      </c>
      <c r="Y230" t="str">
        <v>Groceries</v>
      </c>
      <c r="Z230" t="str">
        <v>In-Store</v>
      </c>
      <c r="AA230" t="str">
        <v>Credit Card</v>
      </c>
      <c r="AB230" t="str">
        <v>Refunded</v>
      </c>
      <c r="AC230">
        <v>9</v>
      </c>
      <c r="AD230">
        <v>327.81</v>
      </c>
      <c r="AE230">
        <v>45377</v>
      </c>
      <c r="AF230">
        <v>0</v>
      </c>
      <c r="AG230" t="str">
        <v>Damaged on arrival - replaced</v>
      </c>
      <c r="AH230" t="str">
        <v>High Value</v>
      </c>
      <c r="AI230">
        <v>2950.29</v>
      </c>
      <c r="AJ230" t="str">
        <v>ORD-1011</v>
      </c>
      <c r="AK230">
        <v>1011</v>
      </c>
      <c r="AL230" t="str">
        <v>Mar-2024</v>
      </c>
      <c r="AM230">
        <v>45382</v>
      </c>
      <c r="AN230" t="str">
        <v>Ahmed</v>
      </c>
      <c r="AO230">
        <v>0</v>
      </c>
    </row>
    <row r="231" spans="8:41" x14ac:dyDescent="0.25">
      <c r="H231" t="str">
        <v>ORD-1085</v>
      </c>
      <c r="I231" t="str">
        <v>November 23, 2024</v>
      </c>
      <c r="J231" t="str">
        <v>Daniel  Farooq</v>
      </c>
      <c r="K231" t="str">
        <v>North</v>
      </c>
      <c r="L231" t="str">
        <v>Lahore</v>
      </c>
      <c r="M231" t="str">
        <v>GROCERIES</v>
      </c>
      <c r="N231" t="str">
        <v>Almonds 500g</v>
      </c>
      <c r="O231" t="str">
        <v>online</v>
      </c>
      <c r="P231">
        <v>3</v>
      </c>
      <c r="Q231">
        <v>322.95999999999998</v>
      </c>
      <c r="R231" t="str">
        <v>10%</v>
      </c>
      <c r="S231" t="str">
        <v>CREDIT CARD</v>
      </c>
      <c r="T231" t="str">
        <v>refunded</v>
      </c>
      <c r="U231" t="str">
        <v>E. Tanaka</v>
      </c>
      <c r="V231" t="str">
        <v xml:space="preserve">Follow up needed	</v>
      </c>
      <c r="W231" t="str">
        <v>Daniel Farooq</v>
      </c>
      <c r="X231" t="str">
        <v>North</v>
      </c>
      <c r="Y231" t="str">
        <v>Groceries</v>
      </c>
      <c r="Z231" t="str">
        <v>Online</v>
      </c>
      <c r="AA231" t="str">
        <v>Credit Card</v>
      </c>
      <c r="AB231" t="str">
        <v>Refunded</v>
      </c>
      <c r="AC231">
        <v>3</v>
      </c>
      <c r="AD231">
        <v>322.95999999999998</v>
      </c>
      <c r="AE231">
        <v>45619</v>
      </c>
      <c r="AF231" t="str">
        <v>10%</v>
      </c>
      <c r="AG231" t="str">
        <v>Follow up needed</v>
      </c>
      <c r="AH231" t="str">
        <v>Standard</v>
      </c>
      <c r="AI231">
        <v>968.87999999999988</v>
      </c>
      <c r="AJ231" t="str">
        <v>ORD-1085</v>
      </c>
      <c r="AK231">
        <v>1085</v>
      </c>
      <c r="AL231" t="str">
        <v>Nov-2024</v>
      </c>
      <c r="AM231">
        <v>45626</v>
      </c>
      <c r="AN231" t="str">
        <v>Daniel</v>
      </c>
      <c r="AO231">
        <v>0.1</v>
      </c>
    </row>
    <row r="232" spans="8:41" x14ac:dyDescent="0.25">
      <c r="H232" t="str">
        <v>ORD-1106</v>
      </c>
      <c r="I232" t="str">
        <v>August 02, 2024</v>
      </c>
      <c r="J232" t="str">
        <v>Chen  Clark</v>
      </c>
      <c r="K232" t="str">
        <v>South</v>
      </c>
      <c r="L232" t="str">
        <v>Karachi</v>
      </c>
      <c r="M232" t="str">
        <v>GROCERIES</v>
      </c>
      <c r="N232" t="str">
        <v>Honey Jar</v>
      </c>
      <c r="O232" t="str">
        <v>In Store</v>
      </c>
      <c r="P232">
        <v>4</v>
      </c>
      <c r="Q232">
        <v>176.35</v>
      </c>
      <c r="R232">
        <v>0</v>
      </c>
      <c r="S232" t="str">
        <v>Credit Card</v>
      </c>
      <c r="T232" t="str">
        <v>refunded</v>
      </c>
      <c r="U232">
        <v>0</v>
      </c>
      <c r="V232" t="str">
        <v>Gift wrap requested</v>
      </c>
      <c r="W232" t="str">
        <v>Chen Clark</v>
      </c>
      <c r="X232" t="str">
        <v>South</v>
      </c>
      <c r="Y232" t="str">
        <v>Groceries</v>
      </c>
      <c r="Z232" t="str">
        <v>In-Store</v>
      </c>
      <c r="AA232" t="str">
        <v>Credit Card</v>
      </c>
      <c r="AB232" t="str">
        <v>Refunded</v>
      </c>
      <c r="AC232">
        <v>4</v>
      </c>
      <c r="AD232">
        <v>176.35</v>
      </c>
      <c r="AE232">
        <v>45506</v>
      </c>
      <c r="AF232">
        <v>0</v>
      </c>
      <c r="AG232" t="str">
        <v>Gift wrap requested</v>
      </c>
      <c r="AH232" t="str">
        <v>Standard</v>
      </c>
      <c r="AI232">
        <v>705.4</v>
      </c>
      <c r="AJ232" t="str">
        <v>ORD-1106</v>
      </c>
      <c r="AK232">
        <v>1106</v>
      </c>
      <c r="AL232" t="str">
        <v>Aug-2024</v>
      </c>
      <c r="AM232">
        <v>45535</v>
      </c>
      <c r="AN232" t="str">
        <v>Chen</v>
      </c>
      <c r="AO232">
        <v>0</v>
      </c>
    </row>
    <row r="233" spans="8:41" x14ac:dyDescent="0.25">
      <c r="H233" t="str">
        <v>ORD-1210</v>
      </c>
      <c r="I233" t="str">
        <v>03/25/2024</v>
      </c>
      <c r="J233" t="str">
        <v>NOAH MALIK</v>
      </c>
      <c r="K233" t="str">
        <v>WEST</v>
      </c>
      <c r="L233" t="str">
        <v>Quetta</v>
      </c>
      <c r="M233" t="str">
        <v>groceries</v>
      </c>
      <c r="N233" t="str">
        <v>Honey Jar</v>
      </c>
      <c r="O233" t="str">
        <v>In Store</v>
      </c>
      <c r="P233">
        <v>6</v>
      </c>
      <c r="Q233">
        <v>175.79</v>
      </c>
      <c r="R233">
        <v>0</v>
      </c>
      <c r="S233" t="str">
        <v>Cash</v>
      </c>
      <c r="T233" t="str">
        <v>COMPLETED</v>
      </c>
      <c r="U233" t="str">
        <v>D. Iqbal</v>
      </c>
      <c r="V233" t="str">
        <v xml:space="preserve">  Customer called twice </v>
      </c>
      <c r="W233" t="str">
        <v>Noah Malik</v>
      </c>
      <c r="X233" t="str">
        <v>West</v>
      </c>
      <c r="Y233" t="str">
        <v>Groceries</v>
      </c>
      <c r="Z233" t="str">
        <v>In-Store</v>
      </c>
      <c r="AA233" t="str">
        <v>Cash</v>
      </c>
      <c r="AB233" t="str">
        <v>Completed</v>
      </c>
      <c r="AC233">
        <v>6</v>
      </c>
      <c r="AD233">
        <v>175.79</v>
      </c>
      <c r="AE233">
        <v>45376</v>
      </c>
      <c r="AF233">
        <v>0</v>
      </c>
      <c r="AG233" t="str">
        <v>Customer called twice</v>
      </c>
      <c r="AH233" t="str">
        <v>High Value</v>
      </c>
      <c r="AI233">
        <v>1054.74</v>
      </c>
      <c r="AJ233" t="str">
        <v>ORD-1210</v>
      </c>
      <c r="AK233">
        <v>1210</v>
      </c>
      <c r="AL233" t="str">
        <v>Mar-2024</v>
      </c>
      <c r="AM233">
        <v>45382</v>
      </c>
      <c r="AN233" t="str">
        <v>NOAH</v>
      </c>
      <c r="AO233">
        <v>0</v>
      </c>
    </row>
    <row r="234" spans="8:41" x14ac:dyDescent="0.25">
      <c r="H234" t="str">
        <v>ORD-1122</v>
      </c>
      <c r="I234" t="str">
        <v>20/11/2024</v>
      </c>
      <c r="J234" t="str">
        <v>MARIA SMITH</v>
      </c>
      <c r="K234" t="str">
        <v xml:space="preserve"> East</v>
      </c>
      <c r="L234" t="str">
        <v>Sialkot</v>
      </c>
      <c r="M234" t="str">
        <v>groceries</v>
      </c>
      <c r="N234" t="str">
        <v>Green Tea Pack</v>
      </c>
      <c r="O234" t="str">
        <v>in-store</v>
      </c>
      <c r="P234">
        <v>10</v>
      </c>
      <c r="Q234">
        <v>104.42</v>
      </c>
      <c r="R234">
        <v>0.1</v>
      </c>
      <c r="S234" t="str">
        <v>CC</v>
      </c>
      <c r="T234" t="str">
        <v>Refunded</v>
      </c>
      <c r="U234">
        <v>0</v>
      </c>
      <c r="V234" t="str">
        <v>VIP customer</v>
      </c>
      <c r="W234" t="str">
        <v>Maria Smith</v>
      </c>
      <c r="X234" t="str">
        <v>East</v>
      </c>
      <c r="Y234" t="str">
        <v>Groceries</v>
      </c>
      <c r="Z234" t="str">
        <v>In-Store</v>
      </c>
      <c r="AA234" t="str">
        <v>Credit Card</v>
      </c>
      <c r="AB234" t="str">
        <v>Refunded</v>
      </c>
      <c r="AC234">
        <v>10</v>
      </c>
      <c r="AD234">
        <v>104.42</v>
      </c>
      <c r="AE234">
        <v>45616</v>
      </c>
      <c r="AF234">
        <v>0.1</v>
      </c>
      <c r="AG234" t="str">
        <v>VIP customer</v>
      </c>
      <c r="AH234" t="str">
        <v>High Value</v>
      </c>
      <c r="AI234">
        <v>1044.2</v>
      </c>
      <c r="AJ234" t="str">
        <v>ORD-1122</v>
      </c>
      <c r="AK234">
        <v>1122</v>
      </c>
      <c r="AL234" t="str">
        <v>Nov-2024</v>
      </c>
      <c r="AM234">
        <v>45626</v>
      </c>
      <c r="AN234" t="str">
        <v>MARIA</v>
      </c>
      <c r="AO234">
        <v>0.1</v>
      </c>
    </row>
    <row r="235" spans="8:41" x14ac:dyDescent="0.25">
      <c r="H235" t="str">
        <v>ORD-1122</v>
      </c>
      <c r="I235" t="str">
        <v>20/11/2024</v>
      </c>
      <c r="J235" t="str">
        <v>MARIA SMITH</v>
      </c>
      <c r="K235" t="str">
        <v xml:space="preserve"> East</v>
      </c>
      <c r="L235" t="str">
        <v>Sialkot</v>
      </c>
      <c r="M235" t="str">
        <v>groceries</v>
      </c>
      <c r="N235" t="str">
        <v>Green Tea Pack</v>
      </c>
      <c r="O235" t="str">
        <v>in-store</v>
      </c>
      <c r="P235">
        <v>10</v>
      </c>
      <c r="Q235">
        <v>104.42</v>
      </c>
      <c r="R235">
        <v>0.1</v>
      </c>
      <c r="S235" t="str">
        <v>CC</v>
      </c>
      <c r="T235" t="str">
        <v>Refunded</v>
      </c>
      <c r="U235">
        <v>0</v>
      </c>
      <c r="V235" t="str">
        <v>VIP customer</v>
      </c>
      <c r="W235" t="str">
        <v>Maria Smith</v>
      </c>
      <c r="X235" t="str">
        <v>East</v>
      </c>
      <c r="Y235" t="str">
        <v>Groceries</v>
      </c>
      <c r="Z235" t="str">
        <v>In-Store</v>
      </c>
      <c r="AA235" t="str">
        <v>Credit Card</v>
      </c>
      <c r="AB235" t="str">
        <v>Refunded</v>
      </c>
      <c r="AC235">
        <v>10</v>
      </c>
      <c r="AD235">
        <v>104.42</v>
      </c>
      <c r="AE235">
        <v>45616</v>
      </c>
      <c r="AF235">
        <v>0.1</v>
      </c>
      <c r="AG235" t="str">
        <v>VIP customer</v>
      </c>
      <c r="AH235" t="str">
        <v>High Value</v>
      </c>
      <c r="AI235">
        <v>1044.2</v>
      </c>
      <c r="AJ235" t="str">
        <v>ORD-1122</v>
      </c>
      <c r="AK235">
        <v>1122</v>
      </c>
      <c r="AL235" t="str">
        <v>Nov-2024</v>
      </c>
      <c r="AM235">
        <v>45626</v>
      </c>
      <c r="AN235" t="str">
        <v>MARIA</v>
      </c>
      <c r="AO235">
        <v>0.1</v>
      </c>
    </row>
    <row r="236" spans="8:41" x14ac:dyDescent="0.25">
      <c r="H236" t="str">
        <v>ORD-1190</v>
      </c>
      <c r="I236" t="str">
        <v>2024-06-22</v>
      </c>
      <c r="J236" t="str">
        <v xml:space="preserve"> Fatima Raza</v>
      </c>
      <c r="K236" t="str">
        <v>East</v>
      </c>
      <c r="L236" t="str">
        <v>Multan</v>
      </c>
      <c r="M236" t="str">
        <v>groceries</v>
      </c>
      <c r="N236" t="str">
        <v>Almonds 500g</v>
      </c>
      <c r="O236" t="str">
        <v>online</v>
      </c>
      <c r="P236">
        <v>5</v>
      </c>
      <c r="Q236">
        <v>97.83</v>
      </c>
      <c r="R236">
        <v>0.15</v>
      </c>
      <c r="S236" t="str">
        <v>bank transfer</v>
      </c>
      <c r="T236" t="str">
        <v>Complete</v>
      </c>
      <c r="U236">
        <v>0</v>
      </c>
      <c r="V236" t="str">
        <v xml:space="preserve">  </v>
      </c>
      <c r="W236" t="str">
        <v>Fatima Raza</v>
      </c>
      <c r="X236" t="str">
        <v>East</v>
      </c>
      <c r="Y236" t="str">
        <v>Groceries</v>
      </c>
      <c r="Z236" t="str">
        <v>Online</v>
      </c>
      <c r="AA236" t="str">
        <v>Bank Transfer</v>
      </c>
      <c r="AB236" t="str">
        <v>Completed</v>
      </c>
      <c r="AC236">
        <v>5</v>
      </c>
      <c r="AD236">
        <v>97.83</v>
      </c>
      <c r="AE236">
        <v>45465</v>
      </c>
      <c r="AF236">
        <v>0.15</v>
      </c>
      <c r="AG236" t="str">
        <v/>
      </c>
      <c r="AH236" t="str">
        <v>Standard</v>
      </c>
      <c r="AI236">
        <v>489.15</v>
      </c>
      <c r="AJ236" t="str">
        <v>ORD-1190</v>
      </c>
      <c r="AK236">
        <v>1190</v>
      </c>
      <c r="AL236" t="str">
        <v>Jun-2024</v>
      </c>
      <c r="AM236">
        <v>45473</v>
      </c>
      <c r="AN236" t="str">
        <v>Fatima</v>
      </c>
      <c r="AO236">
        <v>0.15</v>
      </c>
    </row>
    <row r="237" spans="8:41" x14ac:dyDescent="0.25">
      <c r="H237" t="str">
        <v>ORD-1206</v>
      </c>
      <c r="I237" t="str">
        <v>2024-11-16</v>
      </c>
      <c r="J237" t="str">
        <v>bilal hussain</v>
      </c>
      <c r="K237" t="str">
        <v>east</v>
      </c>
      <c r="L237" t="str">
        <v>Sialkot</v>
      </c>
      <c r="M237" t="str">
        <v>GROCERIES</v>
      </c>
      <c r="N237" t="str">
        <v>Green Tea Pack</v>
      </c>
      <c r="O237" t="str">
        <v>In-Store</v>
      </c>
      <c r="P237">
        <v>8</v>
      </c>
      <c r="Q237">
        <v>92.01</v>
      </c>
      <c r="R237">
        <v>0.05</v>
      </c>
      <c r="S237" t="str">
        <v>Cash</v>
      </c>
      <c r="T237" t="str">
        <v>Complete</v>
      </c>
      <c r="U237" t="str">
        <v>C. Osei</v>
      </c>
      <c r="V237" t="str">
        <v xml:space="preserve">  Customer called twice </v>
      </c>
      <c r="W237" t="str">
        <v>Bilal Hussain</v>
      </c>
      <c r="X237" t="str">
        <v>East</v>
      </c>
      <c r="Y237" t="str">
        <v>Groceries</v>
      </c>
      <c r="Z237" t="str">
        <v>In-Store</v>
      </c>
      <c r="AA237" t="str">
        <v>Cash</v>
      </c>
      <c r="AB237" t="str">
        <v>Completed</v>
      </c>
      <c r="AC237">
        <v>8</v>
      </c>
      <c r="AD237">
        <v>92.01</v>
      </c>
      <c r="AE237">
        <v>45612</v>
      </c>
      <c r="AF237">
        <v>0.05</v>
      </c>
      <c r="AG237" t="str">
        <v>Customer called twice</v>
      </c>
      <c r="AH237" t="str">
        <v>Standard</v>
      </c>
      <c r="AI237">
        <v>736.08</v>
      </c>
      <c r="AJ237" t="str">
        <v>ORD-1206</v>
      </c>
      <c r="AK237">
        <v>1206</v>
      </c>
      <c r="AL237" t="str">
        <v>Nov-2024</v>
      </c>
      <c r="AM237">
        <v>45626</v>
      </c>
      <c r="AN237" t="str">
        <v>bilal</v>
      </c>
      <c r="AO237">
        <v>0.05</v>
      </c>
    </row>
    <row r="238" spans="8:41" x14ac:dyDescent="0.25">
      <c r="H238" t="str">
        <v>ORD-1129</v>
      </c>
      <c r="I238" t="str">
        <v>17/07/2024</v>
      </c>
      <c r="J238" t="str">
        <v xml:space="preserve"> Tom Taylor</v>
      </c>
      <c r="K238" t="str">
        <v xml:space="preserve">West </v>
      </c>
      <c r="L238" t="str">
        <v>Quetta</v>
      </c>
      <c r="M238" t="str">
        <v>groceries</v>
      </c>
      <c r="N238" t="str">
        <v>Green Tea Pack</v>
      </c>
      <c r="O238" t="str">
        <v>online</v>
      </c>
      <c r="P238" t="str">
        <v xml:space="preserve"> 11 </v>
      </c>
      <c r="Q238">
        <v>63.34</v>
      </c>
      <c r="R238">
        <v>0</v>
      </c>
      <c r="S238" t="str">
        <v>Bank Transfer</v>
      </c>
      <c r="T238" t="str">
        <v>COMPLETED</v>
      </c>
      <c r="U238" t="str">
        <v>E. Tanaka</v>
      </c>
      <c r="V238" t="str">
        <v xml:space="preserve">Follow up needed	</v>
      </c>
      <c r="W238" t="str">
        <v>Tom Taylor</v>
      </c>
      <c r="X238" t="str">
        <v>West</v>
      </c>
      <c r="Y238" t="str">
        <v>Groceries</v>
      </c>
      <c r="Z238" t="str">
        <v>Online</v>
      </c>
      <c r="AA238" t="str">
        <v>Bank Transfer</v>
      </c>
      <c r="AB238" t="str">
        <v>Completed</v>
      </c>
      <c r="AC238">
        <v>11</v>
      </c>
      <c r="AD238">
        <v>63.34</v>
      </c>
      <c r="AE238">
        <v>45490</v>
      </c>
      <c r="AF238">
        <v>0</v>
      </c>
      <c r="AG238" t="str">
        <v>Follow up needed</v>
      </c>
      <c r="AH238" t="str">
        <v>Standard</v>
      </c>
      <c r="AI238">
        <v>696.74</v>
      </c>
      <c r="AJ238" t="str">
        <v>ORD-1129</v>
      </c>
      <c r="AK238">
        <v>1129</v>
      </c>
      <c r="AL238" t="str">
        <v>Jul-2024</v>
      </c>
      <c r="AM238">
        <v>45504</v>
      </c>
      <c r="AN238" t="str">
        <v>Tom</v>
      </c>
      <c r="AO238">
        <v>0</v>
      </c>
    </row>
    <row r="239" spans="8:41" x14ac:dyDescent="0.25">
      <c r="H239" t="str">
        <v>ORD-1229</v>
      </c>
      <c r="I239" t="str">
        <v>06/24/2024</v>
      </c>
      <c r="J239" t="str">
        <v>priya raza</v>
      </c>
      <c r="K239" t="str">
        <v xml:space="preserve"> East</v>
      </c>
      <c r="L239" t="str">
        <v>Sialkot</v>
      </c>
      <c r="M239" t="str">
        <v>Grocery</v>
      </c>
      <c r="N239" t="str">
        <v>Almonds 500g</v>
      </c>
      <c r="O239" t="str">
        <v>ONLINE</v>
      </c>
      <c r="P239">
        <v>3</v>
      </c>
      <c r="Q239">
        <v>464.64</v>
      </c>
      <c r="R239" t="str">
        <v>15%</v>
      </c>
      <c r="S239" t="str">
        <v>credit card</v>
      </c>
      <c r="T239" t="str">
        <v>completed</v>
      </c>
      <c r="U239" t="str">
        <v>B. Fernandes</v>
      </c>
      <c r="V239">
        <v>0</v>
      </c>
      <c r="W239" t="str">
        <v>Priya Raza</v>
      </c>
      <c r="X239" t="str">
        <v>East</v>
      </c>
      <c r="Y239" t="str">
        <v>Groceries</v>
      </c>
      <c r="Z239" t="str">
        <v>Online</v>
      </c>
      <c r="AA239" t="str">
        <v>Credit Card</v>
      </c>
      <c r="AB239" t="str">
        <v>Completed</v>
      </c>
      <c r="AC239">
        <v>3</v>
      </c>
      <c r="AD239">
        <v>464.64</v>
      </c>
      <c r="AE239">
        <v>45467</v>
      </c>
      <c r="AF239" t="str">
        <v>15%</v>
      </c>
      <c r="AG239" t="str">
        <v/>
      </c>
      <c r="AH239" t="str">
        <v>High Value</v>
      </c>
      <c r="AI239">
        <v>1393.92</v>
      </c>
      <c r="AJ239" t="str">
        <v>ORD-1229</v>
      </c>
      <c r="AK239">
        <v>1229</v>
      </c>
      <c r="AL239" t="str">
        <v>Jun-2024</v>
      </c>
      <c r="AM239">
        <v>45473</v>
      </c>
      <c r="AN239" t="str">
        <v>priya</v>
      </c>
      <c r="AO239">
        <v>0.15</v>
      </c>
    </row>
    <row r="240" spans="8:41" x14ac:dyDescent="0.25">
      <c r="H240" t="str">
        <v>ORD-1012</v>
      </c>
      <c r="I240" t="str">
        <v>2024-04-21</v>
      </c>
      <c r="J240" t="str">
        <v>AISHA GARCIA</v>
      </c>
      <c r="K240" t="str">
        <v>north</v>
      </c>
      <c r="L240">
        <v>0</v>
      </c>
      <c r="M240" t="str">
        <v>Grocery</v>
      </c>
      <c r="N240" t="str">
        <v>Almonds 500g</v>
      </c>
      <c r="O240" t="str">
        <v>In-Store</v>
      </c>
      <c r="P240">
        <v>7</v>
      </c>
      <c r="Q240">
        <v>366.6</v>
      </c>
      <c r="R240" t="str">
        <v>15%</v>
      </c>
      <c r="S240" t="str">
        <v>CREDIT CARD</v>
      </c>
      <c r="T240" t="str">
        <v>Complete</v>
      </c>
      <c r="U240" t="str">
        <v>C. Osei</v>
      </c>
      <c r="V240" t="str">
        <v>Bulk order - business account</v>
      </c>
      <c r="W240" t="str">
        <v>Aisha Garcia</v>
      </c>
      <c r="X240" t="str">
        <v>North</v>
      </c>
      <c r="Y240" t="str">
        <v>Groceries</v>
      </c>
      <c r="Z240" t="str">
        <v>In-Store</v>
      </c>
      <c r="AA240" t="str">
        <v>Credit Card</v>
      </c>
      <c r="AB240" t="str">
        <v>Completed</v>
      </c>
      <c r="AC240">
        <v>7</v>
      </c>
      <c r="AD240">
        <v>366.6</v>
      </c>
      <c r="AE240">
        <v>45403</v>
      </c>
      <c r="AF240" t="str">
        <v>15%</v>
      </c>
      <c r="AG240" t="str">
        <v>Bulk order - business account</v>
      </c>
      <c r="AH240" t="str">
        <v>High Value</v>
      </c>
      <c r="AI240">
        <v>2566.2000000000003</v>
      </c>
      <c r="AJ240" t="str">
        <v>ORD-1012</v>
      </c>
      <c r="AK240">
        <v>1012</v>
      </c>
      <c r="AL240" t="str">
        <v>Apr-2024</v>
      </c>
      <c r="AM240">
        <v>45412</v>
      </c>
      <c r="AN240" t="str">
        <v>AISHA</v>
      </c>
      <c r="AO240">
        <v>0.15</v>
      </c>
    </row>
    <row r="241" spans="8:41" x14ac:dyDescent="0.25">
      <c r="H241" t="str">
        <v>ORD-1155</v>
      </c>
      <c r="I241" t="str">
        <v>17-Jul-24</v>
      </c>
      <c r="J241" t="str">
        <v>Robert  Qureshi</v>
      </c>
      <c r="K241" t="str">
        <v>NORTH</v>
      </c>
      <c r="L241" t="str">
        <v>Islamabad</v>
      </c>
      <c r="M241" t="str">
        <v>Grocery</v>
      </c>
      <c r="N241" t="str">
        <v>Honey Jar</v>
      </c>
      <c r="O241" t="str">
        <v xml:space="preserve">Online </v>
      </c>
      <c r="P241" t="str">
        <v xml:space="preserve"> 3 </v>
      </c>
      <c r="Q241">
        <v>330.15</v>
      </c>
      <c r="R241">
        <v>0</v>
      </c>
      <c r="S241" t="str">
        <v>bank transfer</v>
      </c>
      <c r="T241" t="str">
        <v>Complete</v>
      </c>
      <c r="U241" t="str">
        <v>E. Tanaka</v>
      </c>
      <c r="V241" t="str">
        <v xml:space="preserve">Follow up needed	</v>
      </c>
      <c r="W241" t="str">
        <v>Robert Qureshi</v>
      </c>
      <c r="X241" t="str">
        <v>North</v>
      </c>
      <c r="Y241" t="str">
        <v>Groceries</v>
      </c>
      <c r="Z241" t="str">
        <v>Online</v>
      </c>
      <c r="AA241" t="str">
        <v>Bank Transfer</v>
      </c>
      <c r="AB241" t="str">
        <v>Completed</v>
      </c>
      <c r="AC241">
        <v>3</v>
      </c>
      <c r="AD241">
        <v>330.15</v>
      </c>
      <c r="AE241">
        <v>45490</v>
      </c>
      <c r="AF241">
        <v>0</v>
      </c>
      <c r="AG241" t="str">
        <v>Follow up needed</v>
      </c>
      <c r="AH241" t="str">
        <v>Standard</v>
      </c>
      <c r="AI241">
        <v>990.44999999999993</v>
      </c>
      <c r="AJ241" t="str">
        <v>ORD-1155</v>
      </c>
      <c r="AK241">
        <v>1155</v>
      </c>
      <c r="AL241" t="str">
        <v>Jul-2024</v>
      </c>
      <c r="AM241">
        <v>45504</v>
      </c>
      <c r="AN241" t="str">
        <v>Robert</v>
      </c>
      <c r="AO241">
        <v>0</v>
      </c>
    </row>
    <row r="242" spans="8:41" x14ac:dyDescent="0.25">
      <c r="H242" t="str">
        <v>ORD-1130</v>
      </c>
      <c r="I242" t="str">
        <v>October 14, 2024</v>
      </c>
      <c r="J242" t="str">
        <v>NOAH ANDERSON</v>
      </c>
      <c r="K242" t="str">
        <v xml:space="preserve">South </v>
      </c>
      <c r="L242" t="str">
        <v>Karachi</v>
      </c>
      <c r="M242" t="str">
        <v>Grocery</v>
      </c>
      <c r="N242" t="str">
        <v>Olive Oil 1L</v>
      </c>
      <c r="O242" t="str">
        <v>ONLINE</v>
      </c>
      <c r="P242">
        <v>6</v>
      </c>
      <c r="Q242">
        <v>311.61</v>
      </c>
      <c r="R242">
        <v>0.15</v>
      </c>
      <c r="S242" t="str">
        <v>CREDIT CARD</v>
      </c>
      <c r="T242" t="str">
        <v>Complete</v>
      </c>
      <c r="U242" t="str">
        <v>D. Iqbal</v>
      </c>
      <c r="V242" t="str">
        <v>Damaged on arrival - replaced</v>
      </c>
      <c r="W242" t="str">
        <v>Noah Anderson</v>
      </c>
      <c r="X242" t="str">
        <v>South</v>
      </c>
      <c r="Y242" t="str">
        <v>Groceries</v>
      </c>
      <c r="Z242" t="str">
        <v>Online</v>
      </c>
      <c r="AA242" t="str">
        <v>Credit Card</v>
      </c>
      <c r="AB242" t="str">
        <v>Completed</v>
      </c>
      <c r="AC242">
        <v>6</v>
      </c>
      <c r="AD242">
        <v>311.61</v>
      </c>
      <c r="AE242">
        <v>45579</v>
      </c>
      <c r="AF242">
        <v>0.15</v>
      </c>
      <c r="AG242" t="str">
        <v>Damaged on arrival - replaced</v>
      </c>
      <c r="AH242" t="str">
        <v>High Value</v>
      </c>
      <c r="AI242">
        <v>1869.66</v>
      </c>
      <c r="AJ242" t="str">
        <v>ORD-1130</v>
      </c>
      <c r="AK242">
        <v>1130</v>
      </c>
      <c r="AL242" t="str">
        <v>Oct-2024</v>
      </c>
      <c r="AM242">
        <v>45596</v>
      </c>
      <c r="AN242" t="str">
        <v>NOAH</v>
      </c>
      <c r="AO242">
        <v>0.15</v>
      </c>
    </row>
    <row r="243" spans="8:41" x14ac:dyDescent="0.25">
      <c r="H243" t="str">
        <v>ORD-1205</v>
      </c>
      <c r="I243" t="str">
        <v>06/09/2024</v>
      </c>
      <c r="J243" t="str">
        <v>Hina Ahmed</v>
      </c>
      <c r="K243" t="str">
        <v>East</v>
      </c>
      <c r="L243" t="str">
        <v>Multan</v>
      </c>
      <c r="M243" t="str">
        <v>Grocery</v>
      </c>
      <c r="N243" t="str">
        <v>Honey Jar</v>
      </c>
      <c r="O243" t="str">
        <v>In-Store</v>
      </c>
      <c r="P243">
        <v>12</v>
      </c>
      <c r="Q243">
        <v>284.95</v>
      </c>
      <c r="R243">
        <v>0</v>
      </c>
      <c r="S243" t="str">
        <v>debit card</v>
      </c>
      <c r="T243" t="str">
        <v>COMPLETED</v>
      </c>
      <c r="U243" t="str">
        <v>A. Malik</v>
      </c>
      <c r="V243" t="str">
        <v>VIP customer</v>
      </c>
      <c r="W243" t="str">
        <v>Hina Ahmed</v>
      </c>
      <c r="X243" t="str">
        <v>East</v>
      </c>
      <c r="Y243" t="str">
        <v>Groceries</v>
      </c>
      <c r="Z243" t="str">
        <v>In-Store</v>
      </c>
      <c r="AA243" t="str">
        <v>Debit Card</v>
      </c>
      <c r="AB243" t="str">
        <v>Completed</v>
      </c>
      <c r="AC243">
        <v>12</v>
      </c>
      <c r="AD243">
        <v>284.95</v>
      </c>
      <c r="AE243">
        <v>45452</v>
      </c>
      <c r="AF243">
        <v>0</v>
      </c>
      <c r="AG243" t="str">
        <v>VIP customer</v>
      </c>
      <c r="AH243" t="str">
        <v>High Value</v>
      </c>
      <c r="AI243">
        <v>3419.3999999999996</v>
      </c>
      <c r="AJ243" t="str">
        <v>ORD-1205</v>
      </c>
      <c r="AK243">
        <v>1205</v>
      </c>
      <c r="AL243" t="str">
        <v>Jun-2024</v>
      </c>
      <c r="AM243">
        <v>45473</v>
      </c>
      <c r="AN243" t="str">
        <v>Hina</v>
      </c>
      <c r="AO243">
        <v>0</v>
      </c>
    </row>
    <row r="244" spans="8:41" x14ac:dyDescent="0.25">
      <c r="H244" t="str">
        <v>ORD-1121</v>
      </c>
      <c r="I244" t="str">
        <v>2024-08-22</v>
      </c>
      <c r="J244" t="str">
        <v>david wilson</v>
      </c>
      <c r="K244" t="str">
        <v xml:space="preserve"> East</v>
      </c>
      <c r="L244" t="str">
        <v>Multan</v>
      </c>
      <c r="M244" t="str">
        <v>Grocery</v>
      </c>
      <c r="N244" t="str">
        <v>Almonds 500g</v>
      </c>
      <c r="O244" t="str">
        <v>In-Store</v>
      </c>
      <c r="P244">
        <v>8</v>
      </c>
      <c r="Q244">
        <v>183.76</v>
      </c>
      <c r="R244">
        <v>0.15</v>
      </c>
      <c r="S244" t="str">
        <v>cash</v>
      </c>
      <c r="T244" t="str">
        <v>pending</v>
      </c>
      <c r="U244" t="str">
        <v>B. Fernandes</v>
      </c>
      <c r="V244" t="str">
        <v xml:space="preserve">Follow up needed	</v>
      </c>
      <c r="W244" t="str">
        <v>David Wilson</v>
      </c>
      <c r="X244" t="str">
        <v>East</v>
      </c>
      <c r="Y244" t="str">
        <v>Groceries</v>
      </c>
      <c r="Z244" t="str">
        <v>In-Store</v>
      </c>
      <c r="AA244" t="str">
        <v>Cash</v>
      </c>
      <c r="AB244" t="str">
        <v>Pending</v>
      </c>
      <c r="AC244">
        <v>8</v>
      </c>
      <c r="AD244">
        <v>183.76</v>
      </c>
      <c r="AE244">
        <v>45526</v>
      </c>
      <c r="AF244">
        <v>0.15</v>
      </c>
      <c r="AG244" t="str">
        <v>Follow up needed</v>
      </c>
      <c r="AH244" t="str">
        <v>High Value</v>
      </c>
      <c r="AI244">
        <v>1470.08</v>
      </c>
      <c r="AJ244" t="str">
        <v>ORD-1121</v>
      </c>
      <c r="AK244">
        <v>1121</v>
      </c>
      <c r="AL244" t="str">
        <v>Aug-2024</v>
      </c>
      <c r="AM244">
        <v>45535</v>
      </c>
      <c r="AN244" t="str">
        <v>david</v>
      </c>
      <c r="AO244">
        <v>0.15</v>
      </c>
    </row>
    <row r="245" spans="8:41" x14ac:dyDescent="0.25">
      <c r="H245" t="str">
        <v>ORD-1100</v>
      </c>
      <c r="I245" t="str">
        <v>August 06, 2024</v>
      </c>
      <c r="J245" t="str">
        <v>LIAM CLARK</v>
      </c>
      <c r="K245" t="str">
        <v>east</v>
      </c>
      <c r="L245" t="str">
        <v>Multan</v>
      </c>
      <c r="M245" t="str">
        <v>Grocery</v>
      </c>
      <c r="N245" t="str">
        <v>Olive Oil 1L</v>
      </c>
      <c r="O245" t="str">
        <v>Online</v>
      </c>
      <c r="P245">
        <v>12</v>
      </c>
      <c r="Q245">
        <v>151.04</v>
      </c>
      <c r="R245">
        <v>0</v>
      </c>
      <c r="S245" t="str">
        <v>cash</v>
      </c>
      <c r="T245" t="str">
        <v>PENDING</v>
      </c>
      <c r="U245" t="str">
        <v>D. Iqbal</v>
      </c>
      <c r="V245">
        <v>0</v>
      </c>
      <c r="W245" t="str">
        <v>Liam Clark</v>
      </c>
      <c r="X245" t="str">
        <v>East</v>
      </c>
      <c r="Y245" t="str">
        <v>Groceries</v>
      </c>
      <c r="Z245" t="str">
        <v>Online</v>
      </c>
      <c r="AA245" t="str">
        <v>Cash</v>
      </c>
      <c r="AB245" t="str">
        <v>Pending</v>
      </c>
      <c r="AC245">
        <v>12</v>
      </c>
      <c r="AD245">
        <v>151.04</v>
      </c>
      <c r="AE245">
        <v>45510</v>
      </c>
      <c r="AF245">
        <v>0</v>
      </c>
      <c r="AG245" t="str">
        <v/>
      </c>
      <c r="AH245" t="str">
        <v>High Value</v>
      </c>
      <c r="AI245">
        <v>1812.48</v>
      </c>
      <c r="AJ245" t="str">
        <v>ORD-1100</v>
      </c>
      <c r="AK245">
        <v>1100</v>
      </c>
      <c r="AL245" t="str">
        <v>Aug-2024</v>
      </c>
      <c r="AM245">
        <v>45535</v>
      </c>
      <c r="AN245" t="str">
        <v>LIAM</v>
      </c>
      <c r="AO245">
        <v>0</v>
      </c>
    </row>
    <row r="246" spans="8:41" x14ac:dyDescent="0.25">
      <c r="H246" t="str">
        <v>ORD-1037</v>
      </c>
      <c r="I246" t="str">
        <v>05/02/2024</v>
      </c>
      <c r="J246" t="str">
        <v>UMAR CLARK</v>
      </c>
      <c r="K246" t="str">
        <v xml:space="preserve">West </v>
      </c>
      <c r="L246" t="str">
        <v>Peshawar</v>
      </c>
      <c r="M246" t="str">
        <v>Grocery</v>
      </c>
      <c r="N246" t="str">
        <v>Honey Jar</v>
      </c>
      <c r="O246" t="str">
        <v>Online</v>
      </c>
      <c r="P246">
        <v>10</v>
      </c>
      <c r="Q246">
        <v>54.12</v>
      </c>
      <c r="R246" t="str">
        <v>10%</v>
      </c>
      <c r="S246" t="str">
        <v xml:space="preserve">Cash </v>
      </c>
      <c r="T246" t="str">
        <v>completed</v>
      </c>
      <c r="U246" t="str">
        <v>B. Fernandes</v>
      </c>
      <c r="V246" t="str">
        <v>Bulk order - business account</v>
      </c>
      <c r="W246" t="str">
        <v>Umar Clark</v>
      </c>
      <c r="X246" t="str">
        <v>West</v>
      </c>
      <c r="Y246" t="str">
        <v>Groceries</v>
      </c>
      <c r="Z246" t="str">
        <v>Online</v>
      </c>
      <c r="AA246" t="str">
        <v>Cash</v>
      </c>
      <c r="AB246" t="str">
        <v>Completed</v>
      </c>
      <c r="AC246">
        <v>10</v>
      </c>
      <c r="AD246">
        <v>54.12</v>
      </c>
      <c r="AE246">
        <v>45414</v>
      </c>
      <c r="AF246" t="str">
        <v>10%</v>
      </c>
      <c r="AG246" t="str">
        <v>Bulk order - business account</v>
      </c>
      <c r="AH246" t="str">
        <v>Standard</v>
      </c>
      <c r="AI246">
        <v>541.19999999999993</v>
      </c>
      <c r="AJ246" t="str">
        <v>ORD-1037</v>
      </c>
      <c r="AK246">
        <v>1037</v>
      </c>
      <c r="AL246" t="str">
        <v>May-2024</v>
      </c>
      <c r="AM246">
        <v>45443</v>
      </c>
      <c r="AN246" t="str">
        <v>UMAR</v>
      </c>
      <c r="AO246">
        <v>0.1</v>
      </c>
    </row>
    <row r="247" spans="8:41" x14ac:dyDescent="0.25">
      <c r="H247" t="str">
        <v>ORD-1058</v>
      </c>
      <c r="I247" t="str">
        <v>08/19/2024</v>
      </c>
      <c r="J247" t="str">
        <v>sofia johnson</v>
      </c>
      <c r="K247" t="str">
        <v>South</v>
      </c>
      <c r="L247" t="str">
        <v>Karachi</v>
      </c>
      <c r="M247" t="str">
        <v>Stationary</v>
      </c>
      <c r="N247" t="str">
        <v>Desk Organizer</v>
      </c>
      <c r="O247" t="str">
        <v xml:space="preserve">In-store </v>
      </c>
      <c r="P247">
        <v>5</v>
      </c>
      <c r="Q247" t="str">
        <v>$304.69</v>
      </c>
      <c r="R247">
        <v>0.2</v>
      </c>
      <c r="S247" t="str">
        <v>Bank Transfer</v>
      </c>
      <c r="T247" t="str">
        <v>Complete</v>
      </c>
      <c r="U247" t="str">
        <v>D. Iqbal</v>
      </c>
      <c r="V247" t="str">
        <v xml:space="preserve">  </v>
      </c>
      <c r="W247" t="str">
        <v>Sofia Johnson</v>
      </c>
      <c r="X247" t="str">
        <v>South</v>
      </c>
      <c r="Y247" t="str">
        <v>Stationery</v>
      </c>
      <c r="Z247" t="str">
        <v>In-Store</v>
      </c>
      <c r="AA247" t="str">
        <v>Bank Transfer</v>
      </c>
      <c r="AB247" t="str">
        <v>Completed</v>
      </c>
      <c r="AC247">
        <v>5</v>
      </c>
      <c r="AD247">
        <v>304.69</v>
      </c>
      <c r="AE247">
        <v>45523</v>
      </c>
      <c r="AF247">
        <v>0.2</v>
      </c>
      <c r="AG247" t="str">
        <v/>
      </c>
      <c r="AH247" t="str">
        <v>High Value</v>
      </c>
      <c r="AI247">
        <v>1523.45</v>
      </c>
      <c r="AJ247" t="str">
        <v>ORD-1058</v>
      </c>
      <c r="AK247">
        <v>1058</v>
      </c>
      <c r="AL247" t="str">
        <v>Aug-2024</v>
      </c>
      <c r="AM247">
        <v>45535</v>
      </c>
      <c r="AN247" t="str">
        <v>sofia</v>
      </c>
      <c r="AO247">
        <v>0.2</v>
      </c>
    </row>
    <row r="248" spans="8:41" x14ac:dyDescent="0.25">
      <c r="H248" t="str">
        <v>ORD-1097</v>
      </c>
      <c r="I248" t="str">
        <v>2024-04-29</v>
      </c>
      <c r="J248" t="str">
        <v xml:space="preserve">Yusuf Lee </v>
      </c>
      <c r="K248" t="str">
        <v xml:space="preserve"> East</v>
      </c>
      <c r="L248" t="str">
        <v>Multan</v>
      </c>
      <c r="M248" t="str">
        <v>Stationary</v>
      </c>
      <c r="N248" t="str">
        <v>Highlighter Set</v>
      </c>
      <c r="O248" t="str">
        <v>In-Store</v>
      </c>
      <c r="P248" t="str">
        <v xml:space="preserve"> 3 </v>
      </c>
      <c r="Q248" t="str">
        <v xml:space="preserve"> 371.74 </v>
      </c>
      <c r="R248">
        <v>0</v>
      </c>
      <c r="S248" t="str">
        <v>Cash</v>
      </c>
      <c r="T248" t="str">
        <v>Complete</v>
      </c>
      <c r="U248">
        <v>0</v>
      </c>
      <c r="V248" t="str">
        <v xml:space="preserve">  Customer called twice </v>
      </c>
      <c r="W248" t="str">
        <v>Yusuf Lee</v>
      </c>
      <c r="X248" t="str">
        <v>East</v>
      </c>
      <c r="Y248" t="str">
        <v>Stationery</v>
      </c>
      <c r="Z248" t="str">
        <v>In-Store</v>
      </c>
      <c r="AA248" t="str">
        <v>Cash</v>
      </c>
      <c r="AB248" t="str">
        <v>Completed</v>
      </c>
      <c r="AC248">
        <v>3</v>
      </c>
      <c r="AD248">
        <v>371.74</v>
      </c>
      <c r="AE248">
        <v>45411</v>
      </c>
      <c r="AF248">
        <v>0</v>
      </c>
      <c r="AG248" t="str">
        <v>Customer called twice</v>
      </c>
      <c r="AH248" t="str">
        <v>High Value</v>
      </c>
      <c r="AI248">
        <v>1115.22</v>
      </c>
      <c r="AJ248" t="str">
        <v>ORD-1097</v>
      </c>
      <c r="AK248">
        <v>1097</v>
      </c>
      <c r="AL248" t="str">
        <v>Apr-2024</v>
      </c>
      <c r="AM248">
        <v>45412</v>
      </c>
      <c r="AN248" t="str">
        <v>Yusuf</v>
      </c>
      <c r="AO248">
        <v>0</v>
      </c>
    </row>
    <row r="249" spans="8:41" x14ac:dyDescent="0.25">
      <c r="H249" t="str">
        <v>ORD-1087</v>
      </c>
      <c r="I249" t="str">
        <v>August 01, 2024</v>
      </c>
      <c r="J249" t="str">
        <v>Zara Farooq</v>
      </c>
      <c r="K249" t="str">
        <v xml:space="preserve"> South</v>
      </c>
      <c r="L249" t="str">
        <v>Karachi</v>
      </c>
      <c r="M249" t="str">
        <v>Stationary</v>
      </c>
      <c r="N249" t="str">
        <v>Highlighter Set</v>
      </c>
      <c r="O249" t="str">
        <v>Online</v>
      </c>
      <c r="P249" t="str">
        <v xml:space="preserve"> 1 </v>
      </c>
      <c r="Q249">
        <v>474.53</v>
      </c>
      <c r="R249">
        <v>0</v>
      </c>
      <c r="S249" t="str">
        <v xml:space="preserve">Credit card </v>
      </c>
      <c r="T249" t="str">
        <v>refunded</v>
      </c>
      <c r="U249" t="str">
        <v>E. Tanaka</v>
      </c>
      <c r="V249" t="str">
        <v>Gift wrap requested</v>
      </c>
      <c r="W249" t="str">
        <v>Zara Farooq</v>
      </c>
      <c r="X249" t="str">
        <v>South</v>
      </c>
      <c r="Y249" t="str">
        <v>Stationery</v>
      </c>
      <c r="Z249" t="str">
        <v>Online</v>
      </c>
      <c r="AA249" t="str">
        <v>Credit Card</v>
      </c>
      <c r="AB249" t="str">
        <v>Refunded</v>
      </c>
      <c r="AC249">
        <v>1</v>
      </c>
      <c r="AD249">
        <v>474.53</v>
      </c>
      <c r="AE249">
        <v>45505</v>
      </c>
      <c r="AF249">
        <v>0</v>
      </c>
      <c r="AG249" t="str">
        <v>Gift wrap requested</v>
      </c>
      <c r="AH249" t="str">
        <v>Standard</v>
      </c>
      <c r="AI249">
        <v>474.53</v>
      </c>
      <c r="AJ249" t="str">
        <v>ORD-1087</v>
      </c>
      <c r="AK249">
        <v>1087</v>
      </c>
      <c r="AL249" t="str">
        <v>Aug-2024</v>
      </c>
      <c r="AM249">
        <v>45535</v>
      </c>
      <c r="AN249" t="str">
        <v>Zara</v>
      </c>
      <c r="AO249">
        <v>0</v>
      </c>
    </row>
    <row r="250" spans="8:41" x14ac:dyDescent="0.25">
      <c r="H250" t="str">
        <v>ORD-1039</v>
      </c>
      <c r="I250" t="str">
        <v>21/01/2024</v>
      </c>
      <c r="J250" t="str">
        <v>Kate Brown</v>
      </c>
      <c r="K250" t="str">
        <v>north</v>
      </c>
      <c r="L250" t="str">
        <v>Lahore</v>
      </c>
      <c r="M250" t="str">
        <v>Stationary</v>
      </c>
      <c r="N250" t="str">
        <v>Desk Organizer</v>
      </c>
      <c r="O250" t="str">
        <v>online</v>
      </c>
      <c r="P250">
        <v>8</v>
      </c>
      <c r="Q250">
        <v>351.37</v>
      </c>
      <c r="R250">
        <v>0.15</v>
      </c>
      <c r="S250" t="str">
        <v>Debit card</v>
      </c>
      <c r="T250" t="str">
        <v>completed</v>
      </c>
      <c r="U250" t="str">
        <v>E. Tanaka</v>
      </c>
      <c r="V250">
        <v>0</v>
      </c>
      <c r="W250" t="str">
        <v>Kate Brown</v>
      </c>
      <c r="X250" t="str">
        <v>North</v>
      </c>
      <c r="Y250" t="str">
        <v>Stationery</v>
      </c>
      <c r="Z250" t="str">
        <v>Online</v>
      </c>
      <c r="AA250" t="str">
        <v>Debit Card</v>
      </c>
      <c r="AB250" t="str">
        <v>Completed</v>
      </c>
      <c r="AC250">
        <v>8</v>
      </c>
      <c r="AD250">
        <v>351.37</v>
      </c>
      <c r="AE250">
        <v>45312</v>
      </c>
      <c r="AF250">
        <v>0.15</v>
      </c>
      <c r="AG250" t="str">
        <v/>
      </c>
      <c r="AH250" t="str">
        <v>High Value</v>
      </c>
      <c r="AI250">
        <v>2810.96</v>
      </c>
      <c r="AJ250" t="str">
        <v>ORD-1039</v>
      </c>
      <c r="AK250">
        <v>1039</v>
      </c>
      <c r="AL250" t="str">
        <v>Jan-2024</v>
      </c>
      <c r="AM250">
        <v>45322</v>
      </c>
      <c r="AN250" t="str">
        <v>Kate</v>
      </c>
      <c r="AO250">
        <v>0.15</v>
      </c>
    </row>
    <row r="251" spans="8:41" x14ac:dyDescent="0.25">
      <c r="H251" t="str">
        <v>ORD-1216</v>
      </c>
      <c r="I251" t="str">
        <v>09/04/2024</v>
      </c>
      <c r="J251" t="str">
        <v>BILAL TAYLOR</v>
      </c>
      <c r="K251" t="str">
        <v>East</v>
      </c>
      <c r="L251" t="str">
        <v>Multan</v>
      </c>
      <c r="M251" t="str">
        <v>Stationary</v>
      </c>
      <c r="N251" t="str">
        <v>Sticky Notes</v>
      </c>
      <c r="O251" t="str">
        <v xml:space="preserve">In-store </v>
      </c>
      <c r="P251">
        <v>7</v>
      </c>
      <c r="Q251">
        <v>307.88</v>
      </c>
      <c r="R251">
        <v>0.05</v>
      </c>
      <c r="S251" t="str">
        <v>debit card</v>
      </c>
      <c r="T251" t="str">
        <v>Pending</v>
      </c>
      <c r="U251" t="str">
        <v>E. Tanaka</v>
      </c>
      <c r="V251">
        <v>0</v>
      </c>
      <c r="W251" t="str">
        <v>Bilal Taylor</v>
      </c>
      <c r="X251" t="str">
        <v>East</v>
      </c>
      <c r="Y251" t="str">
        <v>Stationery</v>
      </c>
      <c r="Z251" t="str">
        <v>In-Store</v>
      </c>
      <c r="AA251" t="str">
        <v>Debit Card</v>
      </c>
      <c r="AB251" t="str">
        <v>Pending</v>
      </c>
      <c r="AC251">
        <v>7</v>
      </c>
      <c r="AD251">
        <v>307.88</v>
      </c>
      <c r="AE251">
        <v>45539</v>
      </c>
      <c r="AF251">
        <v>0.05</v>
      </c>
      <c r="AG251" t="str">
        <v/>
      </c>
      <c r="AH251" t="str">
        <v>High Value</v>
      </c>
      <c r="AI251">
        <v>2155.16</v>
      </c>
      <c r="AJ251" t="str">
        <v>ORD-1216</v>
      </c>
      <c r="AK251">
        <v>1216</v>
      </c>
      <c r="AL251" t="str">
        <v>Sep-2024</v>
      </c>
      <c r="AM251">
        <v>45565</v>
      </c>
      <c r="AN251" t="str">
        <v>BILAL</v>
      </c>
      <c r="AO251">
        <v>0.05</v>
      </c>
    </row>
    <row r="252" spans="8:41" x14ac:dyDescent="0.25">
      <c r="H252" t="str">
        <v>ORD-1044</v>
      </c>
      <c r="I252" t="str">
        <v>25-Jun-24</v>
      </c>
      <c r="J252" t="str">
        <v>Sana Brown</v>
      </c>
      <c r="K252" t="str">
        <v xml:space="preserve"> East</v>
      </c>
      <c r="L252" t="str">
        <v>Sialkot</v>
      </c>
      <c r="M252" t="str">
        <v>Stationary</v>
      </c>
      <c r="N252" t="str">
        <v>Notebook Pack</v>
      </c>
      <c r="O252" t="str">
        <v>In-Store</v>
      </c>
      <c r="P252">
        <v>12</v>
      </c>
      <c r="Q252">
        <v>295.52999999999997</v>
      </c>
      <c r="R252">
        <v>0.05</v>
      </c>
      <c r="S252" t="str">
        <v>Debit card</v>
      </c>
      <c r="T252" t="str">
        <v>Pending</v>
      </c>
      <c r="U252" t="str">
        <v>D. Iqbal</v>
      </c>
      <c r="V252" t="str">
        <v>Bulk order - business account</v>
      </c>
      <c r="W252" t="str">
        <v>Sana Brown</v>
      </c>
      <c r="X252" t="str">
        <v>East</v>
      </c>
      <c r="Y252" t="str">
        <v>Stationery</v>
      </c>
      <c r="Z252" t="str">
        <v>In-Store</v>
      </c>
      <c r="AA252" t="str">
        <v>Debit Card</v>
      </c>
      <c r="AB252" t="str">
        <v>Pending</v>
      </c>
      <c r="AC252">
        <v>12</v>
      </c>
      <c r="AD252">
        <v>295.52999999999997</v>
      </c>
      <c r="AE252">
        <v>45468</v>
      </c>
      <c r="AF252">
        <v>0.05</v>
      </c>
      <c r="AG252" t="str">
        <v>Bulk order - business account</v>
      </c>
      <c r="AH252" t="str">
        <v>High Value</v>
      </c>
      <c r="AI252">
        <v>3546.3599999999997</v>
      </c>
      <c r="AJ252" t="str">
        <v>ORD-1044</v>
      </c>
      <c r="AK252">
        <v>1044</v>
      </c>
      <c r="AL252" t="str">
        <v>Jun-2024</v>
      </c>
      <c r="AM252">
        <v>45473</v>
      </c>
      <c r="AN252" t="str">
        <v>Sana</v>
      </c>
      <c r="AO252">
        <v>0.05</v>
      </c>
    </row>
    <row r="253" spans="8:41" x14ac:dyDescent="0.25">
      <c r="H253" t="str">
        <v>ORD-1022</v>
      </c>
      <c r="I253" t="str">
        <v>September 20, 2024</v>
      </c>
      <c r="J253" t="str">
        <v>CHEN FAROOQ</v>
      </c>
      <c r="K253" t="str">
        <v>EAST</v>
      </c>
      <c r="L253" t="str">
        <v>Multan</v>
      </c>
      <c r="M253" t="str">
        <v>Stationary</v>
      </c>
      <c r="N253" t="str">
        <v>Desk Organizer</v>
      </c>
      <c r="O253" t="str">
        <v>instore</v>
      </c>
      <c r="P253">
        <v>8</v>
      </c>
      <c r="Q253">
        <v>258.02999999999997</v>
      </c>
      <c r="R253">
        <v>0.05</v>
      </c>
      <c r="S253" t="str">
        <v xml:space="preserve">Cash </v>
      </c>
      <c r="T253" t="str">
        <v>completed</v>
      </c>
      <c r="U253" t="str">
        <v>C. Osei</v>
      </c>
      <c r="V253">
        <v>0</v>
      </c>
      <c r="W253" t="str">
        <v>Chen Farooq</v>
      </c>
      <c r="X253" t="str">
        <v>East</v>
      </c>
      <c r="Y253" t="str">
        <v>Stationery</v>
      </c>
      <c r="Z253" t="str">
        <v>In-Store</v>
      </c>
      <c r="AA253" t="str">
        <v>Cash</v>
      </c>
      <c r="AB253" t="str">
        <v>Completed</v>
      </c>
      <c r="AC253">
        <v>8</v>
      </c>
      <c r="AD253">
        <v>258.02999999999997</v>
      </c>
      <c r="AE253">
        <v>45555</v>
      </c>
      <c r="AF253">
        <v>0.05</v>
      </c>
      <c r="AG253" t="str">
        <v/>
      </c>
      <c r="AH253" t="str">
        <v>High Value</v>
      </c>
      <c r="AI253">
        <v>2064.2399999999998</v>
      </c>
      <c r="AJ253" t="str">
        <v>ORD-1022</v>
      </c>
      <c r="AK253">
        <v>1022</v>
      </c>
      <c r="AL253" t="str">
        <v>Sep-2024</v>
      </c>
      <c r="AM253">
        <v>45565</v>
      </c>
      <c r="AN253" t="str">
        <v>CHEN</v>
      </c>
      <c r="AO253">
        <v>0.05</v>
      </c>
    </row>
    <row r="254" spans="8:41" x14ac:dyDescent="0.25">
      <c r="H254" t="str">
        <v>ORD-1022</v>
      </c>
      <c r="I254" t="str">
        <v>September 20, 2024</v>
      </c>
      <c r="J254" t="str">
        <v>Chen Farooq</v>
      </c>
      <c r="K254" t="str">
        <v>EAST</v>
      </c>
      <c r="L254" t="str">
        <v>Multan</v>
      </c>
      <c r="M254" t="str">
        <v>Stationary</v>
      </c>
      <c r="N254" t="str">
        <v>Desk Organizer</v>
      </c>
      <c r="O254" t="str">
        <v>instore</v>
      </c>
      <c r="P254">
        <v>8</v>
      </c>
      <c r="Q254">
        <v>258.02999999999997</v>
      </c>
      <c r="R254">
        <v>0.05</v>
      </c>
      <c r="S254" t="str">
        <v xml:space="preserve">Cash </v>
      </c>
      <c r="T254" t="str">
        <v>completed</v>
      </c>
      <c r="U254" t="str">
        <v>C. Osei</v>
      </c>
      <c r="V254">
        <v>0</v>
      </c>
      <c r="W254" t="str">
        <v>Chen Farooq</v>
      </c>
      <c r="X254" t="str">
        <v>East</v>
      </c>
      <c r="Y254" t="str">
        <v>Stationery</v>
      </c>
      <c r="Z254" t="str">
        <v>In-Store</v>
      </c>
      <c r="AA254" t="str">
        <v>Cash</v>
      </c>
      <c r="AB254" t="str">
        <v>Completed</v>
      </c>
      <c r="AC254">
        <v>8</v>
      </c>
      <c r="AD254">
        <v>258.02999999999997</v>
      </c>
      <c r="AE254">
        <v>45555</v>
      </c>
      <c r="AF254">
        <v>0.05</v>
      </c>
      <c r="AG254" t="str">
        <v/>
      </c>
      <c r="AH254" t="str">
        <v>High Value</v>
      </c>
      <c r="AI254">
        <v>2064.2399999999998</v>
      </c>
      <c r="AJ254" t="str">
        <v>ORD-1022</v>
      </c>
      <c r="AK254">
        <v>1022</v>
      </c>
      <c r="AL254" t="str">
        <v>Sep-2024</v>
      </c>
      <c r="AM254">
        <v>45565</v>
      </c>
      <c r="AN254" t="str">
        <v>Chen</v>
      </c>
      <c r="AO254">
        <v>0.05</v>
      </c>
    </row>
    <row r="255" spans="8:41" x14ac:dyDescent="0.25">
      <c r="H255" t="str">
        <v>ORD-1005</v>
      </c>
      <c r="I255" t="str">
        <v>03/19/2024</v>
      </c>
      <c r="J255" t="str">
        <v>Sofia  Lee</v>
      </c>
      <c r="K255" t="str">
        <v>east</v>
      </c>
      <c r="L255" t="str">
        <v>Multan</v>
      </c>
      <c r="M255" t="str">
        <v>Stationary</v>
      </c>
      <c r="N255" t="str">
        <v>Highlighter Set</v>
      </c>
      <c r="O255" t="str">
        <v>In Store</v>
      </c>
      <c r="P255">
        <v>10</v>
      </c>
      <c r="Q255">
        <v>113.56</v>
      </c>
      <c r="R255">
        <v>0</v>
      </c>
      <c r="S255" t="str">
        <v>bank transfer</v>
      </c>
      <c r="T255" t="str">
        <v>Completed</v>
      </c>
      <c r="U255" t="str">
        <v>A. Malik</v>
      </c>
      <c r="V255" t="str">
        <v xml:space="preserve">  </v>
      </c>
      <c r="W255" t="str">
        <v>Sofia Lee</v>
      </c>
      <c r="X255" t="str">
        <v>East</v>
      </c>
      <c r="Y255" t="str">
        <v>Stationery</v>
      </c>
      <c r="Z255" t="str">
        <v>In-Store</v>
      </c>
      <c r="AA255" t="str">
        <v>Bank Transfer</v>
      </c>
      <c r="AB255" t="str">
        <v>Completed</v>
      </c>
      <c r="AC255">
        <v>10</v>
      </c>
      <c r="AD255">
        <v>113.56</v>
      </c>
      <c r="AE255">
        <v>45370</v>
      </c>
      <c r="AF255">
        <v>0</v>
      </c>
      <c r="AG255" t="str">
        <v/>
      </c>
      <c r="AH255" t="str">
        <v>High Value</v>
      </c>
      <c r="AI255">
        <v>1135.5999999999999</v>
      </c>
      <c r="AJ255" t="str">
        <v>ORD-1005</v>
      </c>
      <c r="AK255">
        <v>1005</v>
      </c>
      <c r="AL255" t="str">
        <v>Mar-2024</v>
      </c>
      <c r="AM255">
        <v>45382</v>
      </c>
      <c r="AN255" t="str">
        <v>Sofia</v>
      </c>
      <c r="AO255">
        <v>0</v>
      </c>
    </row>
    <row r="256" spans="8:41" x14ac:dyDescent="0.25">
      <c r="H256" t="str">
        <v>ORD-1204</v>
      </c>
      <c r="I256" t="str">
        <v>18-Jun-24</v>
      </c>
      <c r="J256" t="str">
        <v>laura qureshi</v>
      </c>
      <c r="K256" t="str">
        <v>South</v>
      </c>
      <c r="L256" t="str">
        <v>Karachi</v>
      </c>
      <c r="M256" t="str">
        <v>Stationery</v>
      </c>
      <c r="N256" t="str">
        <v>Highlighter Set</v>
      </c>
      <c r="O256" t="str">
        <v>instore</v>
      </c>
      <c r="P256">
        <v>11</v>
      </c>
      <c r="Q256" t="str">
        <v>$148.87</v>
      </c>
      <c r="R256">
        <v>0</v>
      </c>
      <c r="S256" t="str">
        <v>Bank Transfer</v>
      </c>
      <c r="T256" t="str">
        <v>pending</v>
      </c>
      <c r="U256" t="str">
        <v>D. Iqbal</v>
      </c>
      <c r="V256" t="str">
        <v xml:space="preserve">Follow up needed	</v>
      </c>
      <c r="W256" t="str">
        <v>Laura Qureshi</v>
      </c>
      <c r="X256" t="str">
        <v>South</v>
      </c>
      <c r="Y256" t="str">
        <v>Stationery</v>
      </c>
      <c r="Z256" t="str">
        <v>In-Store</v>
      </c>
      <c r="AA256" t="str">
        <v>Bank Transfer</v>
      </c>
      <c r="AB256" t="str">
        <v>Pending</v>
      </c>
      <c r="AC256">
        <v>11</v>
      </c>
      <c r="AD256">
        <v>148.87</v>
      </c>
      <c r="AE256">
        <v>45461</v>
      </c>
      <c r="AF256">
        <v>0</v>
      </c>
      <c r="AG256" t="str">
        <v>Follow up needed</v>
      </c>
      <c r="AH256" t="str">
        <v>High Value</v>
      </c>
      <c r="AI256">
        <v>1637.5700000000002</v>
      </c>
      <c r="AJ256" t="str">
        <v>ORD-1204</v>
      </c>
      <c r="AK256">
        <v>1204</v>
      </c>
      <c r="AL256" t="str">
        <v>Jun-2024</v>
      </c>
      <c r="AM256">
        <v>45473</v>
      </c>
      <c r="AN256" t="str">
        <v>laura</v>
      </c>
      <c r="AO256">
        <v>0</v>
      </c>
    </row>
    <row r="257" spans="8:41" x14ac:dyDescent="0.25">
      <c r="H257" t="str">
        <v>ORD-1055</v>
      </c>
      <c r="I257" t="str">
        <v>29-Apr-24</v>
      </c>
      <c r="J257" t="str">
        <v>Chen  Wilson</v>
      </c>
      <c r="K257" t="str">
        <v>Nort</v>
      </c>
      <c r="L257" t="str">
        <v>Islamabad</v>
      </c>
      <c r="M257" t="str">
        <v>Stationery</v>
      </c>
      <c r="N257" t="str">
        <v>Notebook Pack</v>
      </c>
      <c r="O257" t="str">
        <v>in-store</v>
      </c>
      <c r="P257">
        <v>4</v>
      </c>
      <c r="Q257" t="str">
        <v xml:space="preserve"> 394.55 </v>
      </c>
      <c r="R257">
        <v>0.2</v>
      </c>
      <c r="S257" t="str">
        <v xml:space="preserve">Credit card </v>
      </c>
      <c r="T257" t="str">
        <v>pending</v>
      </c>
      <c r="U257" t="str">
        <v>B. Fernandes</v>
      </c>
      <c r="V257" t="str">
        <v xml:space="preserve">Follow up needed	</v>
      </c>
      <c r="W257" t="str">
        <v>Chen Wilson</v>
      </c>
      <c r="X257" t="str">
        <v>North</v>
      </c>
      <c r="Y257" t="str">
        <v>Stationery</v>
      </c>
      <c r="Z257" t="str">
        <v>In-Store</v>
      </c>
      <c r="AA257" t="str">
        <v>Credit Card</v>
      </c>
      <c r="AB257" t="str">
        <v>Pending</v>
      </c>
      <c r="AC257">
        <v>4</v>
      </c>
      <c r="AD257">
        <v>394.55</v>
      </c>
      <c r="AE257">
        <v>45411</v>
      </c>
      <c r="AF257">
        <v>0.2</v>
      </c>
      <c r="AG257" t="str">
        <v>Follow up needed</v>
      </c>
      <c r="AH257" t="str">
        <v>High Value</v>
      </c>
      <c r="AI257">
        <v>1578.2</v>
      </c>
      <c r="AJ257" t="str">
        <v>ORD-1055</v>
      </c>
      <c r="AK257">
        <v>1055</v>
      </c>
      <c r="AL257" t="str">
        <v>Apr-2024</v>
      </c>
      <c r="AM257">
        <v>45412</v>
      </c>
      <c r="AN257" t="str">
        <v>Chen</v>
      </c>
      <c r="AO257">
        <v>0.2</v>
      </c>
    </row>
    <row r="258" spans="8:41" x14ac:dyDescent="0.25">
      <c r="H258" t="str">
        <v>ORD-1159</v>
      </c>
      <c r="I258" t="str">
        <v>09-Dec-24</v>
      </c>
      <c r="J258" t="str">
        <v xml:space="preserve">Priya Smith </v>
      </c>
      <c r="K258" t="str">
        <v>West</v>
      </c>
      <c r="L258" t="str">
        <v>Quetta</v>
      </c>
      <c r="M258" t="str">
        <v>stationery</v>
      </c>
      <c r="N258" t="str">
        <v>Highlighter Set</v>
      </c>
      <c r="O258" t="str">
        <v>online</v>
      </c>
      <c r="P258" t="str">
        <v xml:space="preserve"> 8 </v>
      </c>
      <c r="Q258" t="str">
        <v xml:space="preserve"> 373.94 </v>
      </c>
      <c r="R258">
        <v>0.05</v>
      </c>
      <c r="S258" t="str">
        <v xml:space="preserve">Cash </v>
      </c>
      <c r="T258" t="str">
        <v>completed</v>
      </c>
      <c r="U258">
        <v>0</v>
      </c>
      <c r="V258" t="str">
        <v>Damaged on arrival - replaced</v>
      </c>
      <c r="W258" t="str">
        <v>Priya Smith</v>
      </c>
      <c r="X258" t="str">
        <v>West</v>
      </c>
      <c r="Y258" t="str">
        <v>Stationery</v>
      </c>
      <c r="Z258" t="str">
        <v>Online</v>
      </c>
      <c r="AA258" t="str">
        <v>Cash</v>
      </c>
      <c r="AB258" t="str">
        <v>Completed</v>
      </c>
      <c r="AC258">
        <v>8</v>
      </c>
      <c r="AD258">
        <v>373.94</v>
      </c>
      <c r="AE258">
        <v>45635</v>
      </c>
      <c r="AF258">
        <v>0.05</v>
      </c>
      <c r="AG258" t="str">
        <v>Damaged on arrival - replaced</v>
      </c>
      <c r="AH258" t="str">
        <v>High Value</v>
      </c>
      <c r="AI258">
        <v>2991.52</v>
      </c>
      <c r="AJ258" t="str">
        <v>ORD-1159</v>
      </c>
      <c r="AK258">
        <v>1159</v>
      </c>
      <c r="AL258" t="str">
        <v>Dec-2024</v>
      </c>
      <c r="AM258">
        <v>45657</v>
      </c>
      <c r="AN258" t="str">
        <v>Priya</v>
      </c>
      <c r="AO258">
        <v>0.05</v>
      </c>
    </row>
    <row r="259" spans="8:41" x14ac:dyDescent="0.25">
      <c r="H259" t="str">
        <v>ORD-1083</v>
      </c>
      <c r="I259" t="str">
        <v>07/02/2024</v>
      </c>
      <c r="J259" t="str">
        <v>Tom  Wilson</v>
      </c>
      <c r="K259" t="str">
        <v>North</v>
      </c>
      <c r="L259" t="str">
        <v>Faisalabad</v>
      </c>
      <c r="M259" t="str">
        <v>STATIONERY</v>
      </c>
      <c r="N259" t="str">
        <v>Highlighter Set</v>
      </c>
      <c r="O259" t="str">
        <v>online</v>
      </c>
      <c r="P259">
        <v>5</v>
      </c>
      <c r="Q259" t="str">
        <v xml:space="preserve"> 353.50 </v>
      </c>
      <c r="R259" t="str">
        <v>15%</v>
      </c>
      <c r="S259" t="str">
        <v xml:space="preserve">Credit card </v>
      </c>
      <c r="T259" t="str">
        <v>completed</v>
      </c>
      <c r="U259" t="str">
        <v>B. Fernandes</v>
      </c>
      <c r="V259" t="str">
        <v xml:space="preserve">Follow up needed	</v>
      </c>
      <c r="W259" t="str">
        <v>Tom Wilson</v>
      </c>
      <c r="X259" t="str">
        <v>North</v>
      </c>
      <c r="Y259" t="str">
        <v>Stationery</v>
      </c>
      <c r="Z259" t="str">
        <v>Online</v>
      </c>
      <c r="AA259" t="str">
        <v>Credit Card</v>
      </c>
      <c r="AB259" t="str">
        <v>Completed</v>
      </c>
      <c r="AC259">
        <v>5</v>
      </c>
      <c r="AD259">
        <v>353.5</v>
      </c>
      <c r="AE259">
        <v>45475</v>
      </c>
      <c r="AF259" t="str">
        <v>15%</v>
      </c>
      <c r="AG259" t="str">
        <v>Follow up needed</v>
      </c>
      <c r="AH259" t="str">
        <v>High Value</v>
      </c>
      <c r="AI259">
        <v>1767.5</v>
      </c>
      <c r="AJ259" t="str">
        <v>ORD-1083</v>
      </c>
      <c r="AK259">
        <v>1083</v>
      </c>
      <c r="AL259" t="str">
        <v>Jul-2024</v>
      </c>
      <c r="AM259">
        <v>45504</v>
      </c>
      <c r="AN259" t="str">
        <v>Tom</v>
      </c>
      <c r="AO259">
        <v>0.15</v>
      </c>
    </row>
    <row r="260" spans="8:41" x14ac:dyDescent="0.25">
      <c r="H260" t="str">
        <v>ORD-1207</v>
      </c>
      <c r="I260" t="str">
        <v>05/28/2024</v>
      </c>
      <c r="J260" t="str">
        <v xml:space="preserve"> Sofia Smith</v>
      </c>
      <c r="K260" t="str">
        <v xml:space="preserve"> North</v>
      </c>
      <c r="L260" t="str">
        <v>Faisalabad</v>
      </c>
      <c r="M260" t="str">
        <v>stationery</v>
      </c>
      <c r="N260" t="str">
        <v>Notebook Pack</v>
      </c>
      <c r="O260" t="str">
        <v xml:space="preserve">In-store </v>
      </c>
      <c r="P260">
        <v>5</v>
      </c>
      <c r="Q260">
        <v>499.37</v>
      </c>
      <c r="R260">
        <v>0.1</v>
      </c>
      <c r="S260" t="str">
        <v>debit card</v>
      </c>
      <c r="T260" t="str">
        <v>Complete</v>
      </c>
      <c r="U260" t="str">
        <v>E. Tanaka</v>
      </c>
      <c r="V260" t="str">
        <v>Damaged on arrival - replaced</v>
      </c>
      <c r="W260" t="str">
        <v>Sofia Smith</v>
      </c>
      <c r="X260" t="str">
        <v>North</v>
      </c>
      <c r="Y260" t="str">
        <v>Stationery</v>
      </c>
      <c r="Z260" t="str">
        <v>In-Store</v>
      </c>
      <c r="AA260" t="str">
        <v>Debit Card</v>
      </c>
      <c r="AB260" t="str">
        <v>Completed</v>
      </c>
      <c r="AC260">
        <v>5</v>
      </c>
      <c r="AD260">
        <v>499.37</v>
      </c>
      <c r="AE260">
        <v>45440</v>
      </c>
      <c r="AF260">
        <v>0.1</v>
      </c>
      <c r="AG260" t="str">
        <v>Damaged on arrival - replaced</v>
      </c>
      <c r="AH260" t="str">
        <v>High Value</v>
      </c>
      <c r="AI260">
        <v>2496.85</v>
      </c>
      <c r="AJ260" t="str">
        <v>ORD-1207</v>
      </c>
      <c r="AK260">
        <v>1207</v>
      </c>
      <c r="AL260" t="str">
        <v>May-2024</v>
      </c>
      <c r="AM260">
        <v>45443</v>
      </c>
      <c r="AN260" t="str">
        <v>Sofia</v>
      </c>
      <c r="AO260">
        <v>0.1</v>
      </c>
    </row>
    <row r="261" spans="8:41" x14ac:dyDescent="0.25">
      <c r="H261" t="str">
        <v>ORD-1070</v>
      </c>
      <c r="I261" t="str">
        <v>13-Feb-24</v>
      </c>
      <c r="J261" t="str">
        <v>Nida Taylor</v>
      </c>
      <c r="K261" t="str">
        <v>East</v>
      </c>
      <c r="L261" t="str">
        <v>Sialkot</v>
      </c>
      <c r="M261" t="str">
        <v>stationery</v>
      </c>
      <c r="N261" t="str">
        <v>Sticky Notes</v>
      </c>
      <c r="O261" t="str">
        <v>online</v>
      </c>
      <c r="P261">
        <v>10</v>
      </c>
      <c r="Q261">
        <v>458.79</v>
      </c>
      <c r="R261" t="str">
        <v>15%</v>
      </c>
      <c r="S261" t="str">
        <v>CREDIT CARD</v>
      </c>
      <c r="T261" t="str">
        <v>pending</v>
      </c>
      <c r="U261">
        <v>0</v>
      </c>
      <c r="V261" t="str">
        <v>Bulk order - business account</v>
      </c>
      <c r="W261" t="str">
        <v>Nida Taylor</v>
      </c>
      <c r="X261" t="str">
        <v>East</v>
      </c>
      <c r="Y261" t="str">
        <v>Stationery</v>
      </c>
      <c r="Z261" t="str">
        <v>Online</v>
      </c>
      <c r="AA261" t="str">
        <v>Credit Card</v>
      </c>
      <c r="AB261" t="str">
        <v>Pending</v>
      </c>
      <c r="AC261">
        <v>10</v>
      </c>
      <c r="AD261">
        <v>458.79</v>
      </c>
      <c r="AE261">
        <v>45335</v>
      </c>
      <c r="AF261" t="str">
        <v>15%</v>
      </c>
      <c r="AG261" t="str">
        <v>Bulk order - business account</v>
      </c>
      <c r="AH261" t="str">
        <v>High Value</v>
      </c>
      <c r="AI261">
        <v>4587.9000000000005</v>
      </c>
      <c r="AJ261" t="str">
        <v>ORD-1070</v>
      </c>
      <c r="AK261">
        <v>1070</v>
      </c>
      <c r="AL261" t="str">
        <v>Feb-2024</v>
      </c>
      <c r="AM261">
        <v>45351</v>
      </c>
      <c r="AN261" t="str">
        <v>Nida</v>
      </c>
      <c r="AO261">
        <v>0.15</v>
      </c>
    </row>
    <row r="262" spans="8:41" x14ac:dyDescent="0.25">
      <c r="H262" t="str">
        <v>ORD-1030</v>
      </c>
      <c r="I262" t="str">
        <v>2024-10-16</v>
      </c>
      <c r="J262" t="str">
        <v>umar malik</v>
      </c>
      <c r="K262" t="str">
        <v xml:space="preserve"> North</v>
      </c>
      <c r="L262" t="str">
        <v>Islamabad</v>
      </c>
      <c r="M262" t="str">
        <v>STATIONERY</v>
      </c>
      <c r="N262" t="str">
        <v>Desk Organizer</v>
      </c>
      <c r="O262" t="str">
        <v xml:space="preserve">Online </v>
      </c>
      <c r="P262">
        <v>2</v>
      </c>
      <c r="Q262">
        <v>416.13</v>
      </c>
      <c r="R262" t="str">
        <v>10%</v>
      </c>
      <c r="S262" t="str">
        <v xml:space="preserve">Cash </v>
      </c>
      <c r="T262" t="str">
        <v>pending</v>
      </c>
      <c r="U262" t="str">
        <v>A. Malik</v>
      </c>
      <c r="V262">
        <v>0</v>
      </c>
      <c r="W262" t="str">
        <v>Umar Malik</v>
      </c>
      <c r="X262" t="str">
        <v>North</v>
      </c>
      <c r="Y262" t="str">
        <v>Stationery</v>
      </c>
      <c r="Z262" t="str">
        <v>Online</v>
      </c>
      <c r="AA262" t="str">
        <v>Cash</v>
      </c>
      <c r="AB262" t="str">
        <v>Pending</v>
      </c>
      <c r="AC262">
        <v>2</v>
      </c>
      <c r="AD262">
        <v>416.13</v>
      </c>
      <c r="AE262">
        <v>45581</v>
      </c>
      <c r="AF262" t="str">
        <v>10%</v>
      </c>
      <c r="AG262" t="str">
        <v/>
      </c>
      <c r="AH262" t="str">
        <v>Standard</v>
      </c>
      <c r="AI262">
        <v>832.26</v>
      </c>
      <c r="AJ262" t="str">
        <v>ORD-1030</v>
      </c>
      <c r="AK262">
        <v>1030</v>
      </c>
      <c r="AL262" t="str">
        <v>Oct-2024</v>
      </c>
      <c r="AM262">
        <v>45596</v>
      </c>
      <c r="AN262" t="str">
        <v>umar</v>
      </c>
      <c r="AO262">
        <v>0.1</v>
      </c>
    </row>
    <row r="263" spans="8:41" x14ac:dyDescent="0.25">
      <c r="H263" t="str">
        <v>ORD-1004</v>
      </c>
      <c r="I263" t="str">
        <v>18/04/2024</v>
      </c>
      <c r="J263" t="str">
        <v xml:space="preserve"> Zara Malik</v>
      </c>
      <c r="K263" t="str">
        <v>south</v>
      </c>
      <c r="L263" t="str">
        <v>Hyderabad</v>
      </c>
      <c r="M263" t="str">
        <v>stationery</v>
      </c>
      <c r="N263" t="str">
        <v>Sticky Notes</v>
      </c>
      <c r="O263" t="str">
        <v>Online</v>
      </c>
      <c r="P263">
        <v>4</v>
      </c>
      <c r="Q263">
        <v>403.5</v>
      </c>
      <c r="R263">
        <v>0</v>
      </c>
      <c r="S263" t="str">
        <v>cash</v>
      </c>
      <c r="T263" t="str">
        <v>Refunded</v>
      </c>
      <c r="U263" t="str">
        <v>C. Osei</v>
      </c>
      <c r="V263" t="str">
        <v xml:space="preserve">  </v>
      </c>
      <c r="W263" t="str">
        <v>Zara Malik</v>
      </c>
      <c r="X263" t="str">
        <v>South</v>
      </c>
      <c r="Y263" t="str">
        <v>Stationery</v>
      </c>
      <c r="Z263" t="str">
        <v>Online</v>
      </c>
      <c r="AA263" t="str">
        <v>Cash</v>
      </c>
      <c r="AB263" t="str">
        <v>Refunded</v>
      </c>
      <c r="AC263">
        <v>4</v>
      </c>
      <c r="AD263">
        <v>403.5</v>
      </c>
      <c r="AE263">
        <v>45400</v>
      </c>
      <c r="AF263">
        <v>0</v>
      </c>
      <c r="AG263" t="str">
        <v/>
      </c>
      <c r="AH263" t="str">
        <v>High Value</v>
      </c>
      <c r="AI263">
        <v>1614</v>
      </c>
      <c r="AJ263" t="str">
        <v>ORD-1004</v>
      </c>
      <c r="AK263">
        <v>1004</v>
      </c>
      <c r="AL263" t="str">
        <v>Apr-2024</v>
      </c>
      <c r="AM263">
        <v>45412</v>
      </c>
      <c r="AN263" t="str">
        <v>Zara</v>
      </c>
      <c r="AO263">
        <v>0</v>
      </c>
    </row>
    <row r="264" spans="8:41" x14ac:dyDescent="0.25">
      <c r="H264" t="str">
        <v>ORD-1098</v>
      </c>
      <c r="I264" t="str">
        <v>November 29, 2024</v>
      </c>
      <c r="J264" t="str">
        <v xml:space="preserve">Olivia Taylor </v>
      </c>
      <c r="K264" t="str">
        <v>West</v>
      </c>
      <c r="L264">
        <v>0</v>
      </c>
      <c r="M264" t="str">
        <v>stationery</v>
      </c>
      <c r="N264" t="str">
        <v>Desk Organizer</v>
      </c>
      <c r="O264" t="str">
        <v>instore</v>
      </c>
      <c r="P264">
        <v>8</v>
      </c>
      <c r="Q264">
        <v>379.18</v>
      </c>
      <c r="R264">
        <v>0</v>
      </c>
      <c r="S264" t="str">
        <v>Credit Card</v>
      </c>
      <c r="T264" t="str">
        <v>refunded</v>
      </c>
      <c r="U264" t="str">
        <v>A. Malik</v>
      </c>
      <c r="V264" t="str">
        <v>VIP customer</v>
      </c>
      <c r="W264" t="str">
        <v>Olivia Taylor</v>
      </c>
      <c r="X264" t="str">
        <v>West</v>
      </c>
      <c r="Y264" t="str">
        <v>Stationery</v>
      </c>
      <c r="Z264" t="str">
        <v>In-Store</v>
      </c>
      <c r="AA264" t="str">
        <v>Credit Card</v>
      </c>
      <c r="AB264" t="str">
        <v>Refunded</v>
      </c>
      <c r="AC264">
        <v>8</v>
      </c>
      <c r="AD264">
        <v>379.18</v>
      </c>
      <c r="AE264">
        <v>45625</v>
      </c>
      <c r="AF264">
        <v>0</v>
      </c>
      <c r="AG264" t="str">
        <v>VIP customer</v>
      </c>
      <c r="AH264" t="str">
        <v>High Value</v>
      </c>
      <c r="AI264">
        <v>3033.44</v>
      </c>
      <c r="AJ264" t="str">
        <v>ORD-1098</v>
      </c>
      <c r="AK264">
        <v>1098</v>
      </c>
      <c r="AL264" t="str">
        <v>Nov-2024</v>
      </c>
      <c r="AM264">
        <v>45626</v>
      </c>
      <c r="AN264" t="str">
        <v>Olivia</v>
      </c>
      <c r="AO264">
        <v>0</v>
      </c>
    </row>
    <row r="265" spans="8:41" x14ac:dyDescent="0.25">
      <c r="H265" t="str">
        <v>ORD-1203</v>
      </c>
      <c r="I265" t="str">
        <v>03/13/2024</v>
      </c>
      <c r="J265" t="str">
        <v>Hina Sheikh</v>
      </c>
      <c r="K265" t="str">
        <v>South</v>
      </c>
      <c r="L265">
        <v>0</v>
      </c>
      <c r="M265" t="str">
        <v>STATIONERY</v>
      </c>
      <c r="N265" t="str">
        <v>Highlighter Set</v>
      </c>
      <c r="O265" t="str">
        <v xml:space="preserve">In-store </v>
      </c>
      <c r="P265">
        <v>2</v>
      </c>
      <c r="Q265">
        <v>375.41</v>
      </c>
      <c r="R265">
        <v>0</v>
      </c>
      <c r="S265" t="str">
        <v>debit card</v>
      </c>
      <c r="T265" t="str">
        <v>PENDING</v>
      </c>
      <c r="U265" t="str">
        <v>E. Tanaka</v>
      </c>
      <c r="V265" t="str">
        <v xml:space="preserve">Follow up needed	</v>
      </c>
      <c r="W265" t="str">
        <v>Hina Sheikh</v>
      </c>
      <c r="X265" t="str">
        <v>South</v>
      </c>
      <c r="Y265" t="str">
        <v>Stationery</v>
      </c>
      <c r="Z265" t="str">
        <v>In-Store</v>
      </c>
      <c r="AA265" t="str">
        <v>Debit Card</v>
      </c>
      <c r="AB265" t="str">
        <v>Pending</v>
      </c>
      <c r="AC265">
        <v>2</v>
      </c>
      <c r="AD265">
        <v>375.41</v>
      </c>
      <c r="AE265">
        <v>45364</v>
      </c>
      <c r="AF265">
        <v>0</v>
      </c>
      <c r="AG265" t="str">
        <v>Follow up needed</v>
      </c>
      <c r="AH265" t="str">
        <v>Standard</v>
      </c>
      <c r="AI265">
        <v>750.82</v>
      </c>
      <c r="AJ265" t="str">
        <v>ORD-1203</v>
      </c>
      <c r="AK265">
        <v>1203</v>
      </c>
      <c r="AL265" t="str">
        <v>Mar-2024</v>
      </c>
      <c r="AM265">
        <v>45382</v>
      </c>
      <c r="AN265" t="str">
        <v>Hina</v>
      </c>
      <c r="AO265">
        <v>0</v>
      </c>
    </row>
    <row r="266" spans="8:41" x14ac:dyDescent="0.25">
      <c r="H266" t="str">
        <v>ORD-1176</v>
      </c>
      <c r="I266" t="str">
        <v>July 28, 2024</v>
      </c>
      <c r="J266" t="str">
        <v>james lewis</v>
      </c>
      <c r="K266" t="str">
        <v>West</v>
      </c>
      <c r="L266" t="str">
        <v>Peshawar</v>
      </c>
      <c r="M266" t="str">
        <v>Stationery</v>
      </c>
      <c r="N266" t="str">
        <v>Desk Organizer</v>
      </c>
      <c r="O266" t="str">
        <v xml:space="preserve">Online </v>
      </c>
      <c r="P266" t="str">
        <v xml:space="preserve"> 9 </v>
      </c>
      <c r="Q266">
        <v>341.95</v>
      </c>
      <c r="R266">
        <v>0.05</v>
      </c>
      <c r="S266" t="str">
        <v>CREDIT CARD</v>
      </c>
      <c r="T266" t="str">
        <v>Complete</v>
      </c>
      <c r="U266" t="str">
        <v>C. Osei</v>
      </c>
      <c r="V266" t="str">
        <v>Damaged on arrival - replaced</v>
      </c>
      <c r="W266" t="str">
        <v>James Lewis</v>
      </c>
      <c r="X266" t="str">
        <v>West</v>
      </c>
      <c r="Y266" t="str">
        <v>Stationery</v>
      </c>
      <c r="Z266" t="str">
        <v>Online</v>
      </c>
      <c r="AA266" t="str">
        <v>Credit Card</v>
      </c>
      <c r="AB266" t="str">
        <v>Completed</v>
      </c>
      <c r="AC266">
        <v>9</v>
      </c>
      <c r="AD266">
        <v>341.95</v>
      </c>
      <c r="AE266">
        <v>45501</v>
      </c>
      <c r="AF266">
        <v>0.05</v>
      </c>
      <c r="AG266" t="str">
        <v>Damaged on arrival - replaced</v>
      </c>
      <c r="AH266" t="str">
        <v>High Value</v>
      </c>
      <c r="AI266">
        <v>3077.5499999999997</v>
      </c>
      <c r="AJ266" t="str">
        <v>ORD-1176</v>
      </c>
      <c r="AK266">
        <v>1176</v>
      </c>
      <c r="AL266" t="str">
        <v>Jul-2024</v>
      </c>
      <c r="AM266">
        <v>45504</v>
      </c>
      <c r="AN266" t="str">
        <v>james</v>
      </c>
      <c r="AO266">
        <v>0.05</v>
      </c>
    </row>
    <row r="267" spans="8:41" x14ac:dyDescent="0.25">
      <c r="H267" t="str">
        <v>ORD-1113</v>
      </c>
      <c r="I267" t="str">
        <v>01/05/2024</v>
      </c>
      <c r="J267" t="str">
        <v>Priya  Sheikh</v>
      </c>
      <c r="K267" t="str">
        <v xml:space="preserve"> South</v>
      </c>
      <c r="L267" t="str">
        <v>Hyderabad</v>
      </c>
      <c r="M267" t="str">
        <v>Stationery</v>
      </c>
      <c r="N267" t="str">
        <v>Highlighter Set</v>
      </c>
      <c r="O267" t="str">
        <v>Online</v>
      </c>
      <c r="P267">
        <v>2</v>
      </c>
      <c r="Q267">
        <v>335.77</v>
      </c>
      <c r="R267">
        <v>0.05</v>
      </c>
      <c r="S267" t="str">
        <v>credit card</v>
      </c>
      <c r="T267" t="str">
        <v>Refunded</v>
      </c>
      <c r="U267" t="str">
        <v>B. Fernandes</v>
      </c>
      <c r="V267" t="str">
        <v>Bulk order - business account</v>
      </c>
      <c r="W267" t="str">
        <v>Priya Sheikh</v>
      </c>
      <c r="X267" t="str">
        <v>South</v>
      </c>
      <c r="Y267" t="str">
        <v>Stationery</v>
      </c>
      <c r="Z267" t="str">
        <v>Online</v>
      </c>
      <c r="AA267" t="str">
        <v>Credit Card</v>
      </c>
      <c r="AB267" t="str">
        <v>Refunded</v>
      </c>
      <c r="AC267">
        <v>2</v>
      </c>
      <c r="AD267">
        <v>335.77</v>
      </c>
      <c r="AE267">
        <v>45296</v>
      </c>
      <c r="AF267">
        <v>0.05</v>
      </c>
      <c r="AG267" t="str">
        <v>Bulk order - business account</v>
      </c>
      <c r="AH267" t="str">
        <v>Standard</v>
      </c>
      <c r="AI267">
        <v>671.54</v>
      </c>
      <c r="AJ267" t="str">
        <v>ORD-1113</v>
      </c>
      <c r="AK267">
        <v>1113</v>
      </c>
      <c r="AL267" t="str">
        <v>Jan-2024</v>
      </c>
      <c r="AM267">
        <v>45322</v>
      </c>
      <c r="AN267" t="str">
        <v>Priya</v>
      </c>
      <c r="AO267">
        <v>0.05</v>
      </c>
    </row>
    <row r="268" spans="8:41" x14ac:dyDescent="0.25">
      <c r="H268" t="str">
        <v>ORD-1208</v>
      </c>
      <c r="I268" t="str">
        <v>2024-07-02</v>
      </c>
      <c r="J268" t="str">
        <v>Kevin Clark</v>
      </c>
      <c r="K268" t="str">
        <v>WEST</v>
      </c>
      <c r="L268" t="str">
        <v>Quetta</v>
      </c>
      <c r="M268" t="str">
        <v>stationery</v>
      </c>
      <c r="N268" t="str">
        <v>Highlighter Set</v>
      </c>
      <c r="O268" t="str">
        <v>ONLINE</v>
      </c>
      <c r="P268" t="str">
        <v xml:space="preserve"> 8 </v>
      </c>
      <c r="Q268">
        <v>285.35000000000002</v>
      </c>
      <c r="R268">
        <v>0.05</v>
      </c>
      <c r="S268" t="str">
        <v>Bank Transfer</v>
      </c>
      <c r="T268" t="str">
        <v>Refunded</v>
      </c>
      <c r="U268" t="str">
        <v>D. Iqbal</v>
      </c>
      <c r="V268" t="str">
        <v>VIP customer</v>
      </c>
      <c r="W268" t="str">
        <v>Kevin Clark</v>
      </c>
      <c r="X268" t="str">
        <v>West</v>
      </c>
      <c r="Y268" t="str">
        <v>Stationery</v>
      </c>
      <c r="Z268" t="str">
        <v>Online</v>
      </c>
      <c r="AA268" t="str">
        <v>Bank Transfer</v>
      </c>
      <c r="AB268" t="str">
        <v>Refunded</v>
      </c>
      <c r="AC268">
        <v>8</v>
      </c>
      <c r="AD268">
        <v>285.35000000000002</v>
      </c>
      <c r="AE268">
        <v>45475</v>
      </c>
      <c r="AF268">
        <v>0.05</v>
      </c>
      <c r="AG268" t="str">
        <v>VIP customer</v>
      </c>
      <c r="AH268" t="str">
        <v>High Value</v>
      </c>
      <c r="AI268">
        <v>2282.8000000000002</v>
      </c>
      <c r="AJ268" t="str">
        <v>ORD-1208</v>
      </c>
      <c r="AK268">
        <v>1208</v>
      </c>
      <c r="AL268" t="str">
        <v>Jul-2024</v>
      </c>
      <c r="AM268">
        <v>45504</v>
      </c>
      <c r="AN268" t="str">
        <v>Kevin</v>
      </c>
      <c r="AO268">
        <v>0.05</v>
      </c>
    </row>
    <row r="269" spans="8:41" x14ac:dyDescent="0.25">
      <c r="H269" t="str">
        <v>ORD-1110</v>
      </c>
      <c r="I269" t="str">
        <v>2024-04-07</v>
      </c>
      <c r="J269" t="str">
        <v xml:space="preserve">Michael Farooq </v>
      </c>
      <c r="K269" t="str">
        <v>South</v>
      </c>
      <c r="L269" t="str">
        <v>Hyderabad</v>
      </c>
      <c r="M269" t="str">
        <v>Stationery</v>
      </c>
      <c r="N269" t="str">
        <v>Notebook Pack</v>
      </c>
      <c r="O269" t="str">
        <v xml:space="preserve">Online </v>
      </c>
      <c r="P269">
        <v>10</v>
      </c>
      <c r="Q269">
        <v>281.63</v>
      </c>
      <c r="R269">
        <v>0.1</v>
      </c>
      <c r="S269" t="str">
        <v>CC</v>
      </c>
      <c r="T269" t="str">
        <v>Completed</v>
      </c>
      <c r="U269" t="str">
        <v>B. Fernandes</v>
      </c>
      <c r="V269" t="str">
        <v>Damaged on arrival - replaced</v>
      </c>
      <c r="W269" t="str">
        <v>Michael Farooq</v>
      </c>
      <c r="X269" t="str">
        <v>South</v>
      </c>
      <c r="Y269" t="str">
        <v>Stationery</v>
      </c>
      <c r="Z269" t="str">
        <v>Online</v>
      </c>
      <c r="AA269" t="str">
        <v>Credit Card</v>
      </c>
      <c r="AB269" t="str">
        <v>Completed</v>
      </c>
      <c r="AC269">
        <v>10</v>
      </c>
      <c r="AD269">
        <v>281.63</v>
      </c>
      <c r="AE269">
        <v>45389</v>
      </c>
      <c r="AF269">
        <v>0.1</v>
      </c>
      <c r="AG269" t="str">
        <v>Damaged on arrival - replaced</v>
      </c>
      <c r="AH269" t="str">
        <v>High Value</v>
      </c>
      <c r="AI269">
        <v>2816.3</v>
      </c>
      <c r="AJ269" t="str">
        <v>ORD-1110</v>
      </c>
      <c r="AK269">
        <v>1110</v>
      </c>
      <c r="AL269" t="str">
        <v>Apr-2024</v>
      </c>
      <c r="AM269">
        <v>45412</v>
      </c>
      <c r="AN269" t="str">
        <v>Michael</v>
      </c>
      <c r="AO269">
        <v>0.1</v>
      </c>
    </row>
    <row r="270" spans="8:41" x14ac:dyDescent="0.25">
      <c r="H270" t="str">
        <v>ORD-1182</v>
      </c>
      <c r="I270" t="str">
        <v>2024-01-07</v>
      </c>
      <c r="J270" t="str">
        <v>EMILY ALI</v>
      </c>
      <c r="K270" t="str">
        <v xml:space="preserve"> South</v>
      </c>
      <c r="L270" t="str">
        <v>Karachi</v>
      </c>
      <c r="M270" t="str">
        <v>stationery</v>
      </c>
      <c r="N270" t="str">
        <v>Sticky Notes</v>
      </c>
      <c r="O270" t="str">
        <v>In Store</v>
      </c>
      <c r="P270" t="str">
        <v xml:space="preserve"> 5 </v>
      </c>
      <c r="Q270">
        <v>276.33</v>
      </c>
      <c r="R270" t="str">
        <v>15%</v>
      </c>
      <c r="S270" t="str">
        <v>Debit Card</v>
      </c>
      <c r="T270" t="str">
        <v>Complete</v>
      </c>
      <c r="U270" t="str">
        <v>A. Malik</v>
      </c>
      <c r="V270" t="str">
        <v xml:space="preserve">  Customer called twice </v>
      </c>
      <c r="W270" t="str">
        <v>Emily Ali</v>
      </c>
      <c r="X270" t="str">
        <v>South</v>
      </c>
      <c r="Y270" t="str">
        <v>Stationery</v>
      </c>
      <c r="Z270" t="str">
        <v>In-Store</v>
      </c>
      <c r="AA270" t="str">
        <v>Debit Card</v>
      </c>
      <c r="AB270" t="str">
        <v>Completed</v>
      </c>
      <c r="AC270">
        <v>5</v>
      </c>
      <c r="AD270">
        <v>276.33</v>
      </c>
      <c r="AE270">
        <v>45298</v>
      </c>
      <c r="AF270" t="str">
        <v>15%</v>
      </c>
      <c r="AG270" t="str">
        <v>Customer called twice</v>
      </c>
      <c r="AH270" t="str">
        <v>High Value</v>
      </c>
      <c r="AI270">
        <v>1381.6499999999999</v>
      </c>
      <c r="AJ270" t="str">
        <v>ORD-1182</v>
      </c>
      <c r="AK270">
        <v>1182</v>
      </c>
      <c r="AL270" t="str">
        <v>Jan-2024</v>
      </c>
      <c r="AM270">
        <v>45322</v>
      </c>
      <c r="AN270" t="str">
        <v>EMILY</v>
      </c>
      <c r="AO270">
        <v>0.15</v>
      </c>
    </row>
    <row r="271" spans="8:41" x14ac:dyDescent="0.25">
      <c r="H271" t="str">
        <v>ORD-1114</v>
      </c>
      <c r="I271" t="str">
        <v>February 19, 2024</v>
      </c>
      <c r="J271" t="str">
        <v>Daniel Sheikh</v>
      </c>
      <c r="K271" t="str">
        <v xml:space="preserve">West </v>
      </c>
      <c r="L271">
        <v>0</v>
      </c>
      <c r="M271" t="str">
        <v>STATIONERY</v>
      </c>
      <c r="N271" t="str">
        <v>Notebook Pack</v>
      </c>
      <c r="O271" t="str">
        <v>Online</v>
      </c>
      <c r="P271">
        <v>9</v>
      </c>
      <c r="Q271">
        <v>270.19</v>
      </c>
      <c r="R271">
        <v>0.15</v>
      </c>
      <c r="S271" t="str">
        <v>bank transfer</v>
      </c>
      <c r="T271" t="str">
        <v>COMPLETED</v>
      </c>
      <c r="U271" t="str">
        <v>A. Malik</v>
      </c>
      <c r="V271" t="str">
        <v xml:space="preserve">Follow up needed	</v>
      </c>
      <c r="W271" t="str">
        <v>Daniel Sheikh</v>
      </c>
      <c r="X271" t="str">
        <v>West</v>
      </c>
      <c r="Y271" t="str">
        <v>Stationery</v>
      </c>
      <c r="Z271" t="str">
        <v>Online</v>
      </c>
      <c r="AA271" t="str">
        <v>Bank Transfer</v>
      </c>
      <c r="AB271" t="str">
        <v>Completed</v>
      </c>
      <c r="AC271">
        <v>9</v>
      </c>
      <c r="AD271">
        <v>270.19</v>
      </c>
      <c r="AE271">
        <v>45341</v>
      </c>
      <c r="AF271">
        <v>0.15</v>
      </c>
      <c r="AG271" t="str">
        <v>Follow up needed</v>
      </c>
      <c r="AH271" t="str">
        <v>High Value</v>
      </c>
      <c r="AI271">
        <v>2431.71</v>
      </c>
      <c r="AJ271" t="str">
        <v>ORD-1114</v>
      </c>
      <c r="AK271">
        <v>1114</v>
      </c>
      <c r="AL271" t="str">
        <v>Feb-2024</v>
      </c>
      <c r="AM271">
        <v>45351</v>
      </c>
      <c r="AN271" t="str">
        <v>Daniel</v>
      </c>
      <c r="AO271">
        <v>0.15</v>
      </c>
    </row>
    <row r="272" spans="8:41" x14ac:dyDescent="0.25">
      <c r="H272" t="str">
        <v>ORD-1020</v>
      </c>
      <c r="I272" t="str">
        <v>January 01, 2024</v>
      </c>
      <c r="J272" t="str">
        <v>john ali</v>
      </c>
      <c r="K272" t="str">
        <v xml:space="preserve"> South</v>
      </c>
      <c r="L272">
        <v>0</v>
      </c>
      <c r="M272" t="str">
        <v>STATIONERY</v>
      </c>
      <c r="N272" t="str">
        <v>Sticky Notes</v>
      </c>
      <c r="O272" t="str">
        <v>in-store</v>
      </c>
      <c r="P272">
        <v>7</v>
      </c>
      <c r="Q272">
        <v>258.14999999999998</v>
      </c>
      <c r="R272" t="str">
        <v>10%</v>
      </c>
      <c r="S272" t="str">
        <v>Credit Card</v>
      </c>
      <c r="T272" t="str">
        <v>Refunded</v>
      </c>
      <c r="U272" t="str">
        <v>D. Iqbal</v>
      </c>
      <c r="V272" t="str">
        <v>Bulk order - business account</v>
      </c>
      <c r="W272" t="str">
        <v>John Ali</v>
      </c>
      <c r="X272" t="str">
        <v>South</v>
      </c>
      <c r="Y272" t="str">
        <v>Stationery</v>
      </c>
      <c r="Z272" t="str">
        <v>In-Store</v>
      </c>
      <c r="AA272" t="str">
        <v>Credit Card</v>
      </c>
      <c r="AB272" t="str">
        <v>Refunded</v>
      </c>
      <c r="AC272">
        <v>7</v>
      </c>
      <c r="AD272">
        <v>258.14999999999998</v>
      </c>
      <c r="AE272">
        <v>45292</v>
      </c>
      <c r="AF272" t="str">
        <v>10%</v>
      </c>
      <c r="AG272" t="str">
        <v>Bulk order - business account</v>
      </c>
      <c r="AH272" t="str">
        <v>High Value</v>
      </c>
      <c r="AI272">
        <v>1807.0499999999997</v>
      </c>
      <c r="AJ272" t="str">
        <v>ORD-1020</v>
      </c>
      <c r="AK272">
        <v>1020</v>
      </c>
      <c r="AL272" t="str">
        <v>Jan-2024</v>
      </c>
      <c r="AM272">
        <v>45322</v>
      </c>
      <c r="AN272" t="str">
        <v>john</v>
      </c>
      <c r="AO272">
        <v>0.1</v>
      </c>
    </row>
    <row r="273" spans="8:41" x14ac:dyDescent="0.25">
      <c r="H273" t="str">
        <v>ORD-1141</v>
      </c>
      <c r="I273" t="str">
        <v>05/14/2024</v>
      </c>
      <c r="J273" t="str">
        <v>sofia smith</v>
      </c>
      <c r="K273" t="str">
        <v>east</v>
      </c>
      <c r="L273" t="str">
        <v>Sialkot</v>
      </c>
      <c r="M273" t="str">
        <v>STATIONERY</v>
      </c>
      <c r="N273" t="str">
        <v>Sticky Notes</v>
      </c>
      <c r="O273" t="str">
        <v xml:space="preserve">In-store </v>
      </c>
      <c r="P273" t="str">
        <v xml:space="preserve"> 11 </v>
      </c>
      <c r="Q273">
        <v>238.15</v>
      </c>
      <c r="R273">
        <v>0</v>
      </c>
      <c r="S273" t="str">
        <v>cash</v>
      </c>
      <c r="T273" t="str">
        <v>completed</v>
      </c>
      <c r="U273" t="str">
        <v>A. Malik</v>
      </c>
      <c r="V273" t="str">
        <v>Gift wrap requested</v>
      </c>
      <c r="W273" t="str">
        <v>Sofia Smith</v>
      </c>
      <c r="X273" t="str">
        <v>East</v>
      </c>
      <c r="Y273" t="str">
        <v>Stationery</v>
      </c>
      <c r="Z273" t="str">
        <v>In-Store</v>
      </c>
      <c r="AA273" t="str">
        <v>Cash</v>
      </c>
      <c r="AB273" t="str">
        <v>Completed</v>
      </c>
      <c r="AC273">
        <v>11</v>
      </c>
      <c r="AD273">
        <v>238.15</v>
      </c>
      <c r="AE273">
        <v>45426</v>
      </c>
      <c r="AF273">
        <v>0</v>
      </c>
      <c r="AG273" t="str">
        <v>Gift wrap requested</v>
      </c>
      <c r="AH273" t="str">
        <v>High Value</v>
      </c>
      <c r="AI273">
        <v>2619.65</v>
      </c>
      <c r="AJ273" t="str">
        <v>ORD-1141</v>
      </c>
      <c r="AK273">
        <v>1141</v>
      </c>
      <c r="AL273" t="str">
        <v>May-2024</v>
      </c>
      <c r="AM273">
        <v>45443</v>
      </c>
      <c r="AN273" t="str">
        <v>sofia</v>
      </c>
      <c r="AO273">
        <v>0</v>
      </c>
    </row>
    <row r="274" spans="8:41" x14ac:dyDescent="0.25">
      <c r="H274" t="str">
        <v>ORD-1141</v>
      </c>
      <c r="I274" t="str">
        <v>05/14/2024</v>
      </c>
      <c r="J274" t="str">
        <v>sofia smith</v>
      </c>
      <c r="K274" t="str">
        <v>east</v>
      </c>
      <c r="L274" t="str">
        <v>Sialkot</v>
      </c>
      <c r="M274" t="str">
        <v>STATIONERY</v>
      </c>
      <c r="N274" t="str">
        <v>Sticky Notes</v>
      </c>
      <c r="O274" t="str">
        <v xml:space="preserve">In-store </v>
      </c>
      <c r="P274" t="str">
        <v xml:space="preserve"> 11 </v>
      </c>
      <c r="Q274">
        <v>238.15</v>
      </c>
      <c r="R274">
        <v>0</v>
      </c>
      <c r="S274" t="str">
        <v>cash</v>
      </c>
      <c r="T274" t="str">
        <v>completed</v>
      </c>
      <c r="U274" t="str">
        <v>A. Malik</v>
      </c>
      <c r="V274" t="str">
        <v>Gift wrap requested</v>
      </c>
      <c r="W274" t="str">
        <v>Sofia Smith</v>
      </c>
      <c r="X274" t="str">
        <v>East</v>
      </c>
      <c r="Y274" t="str">
        <v>Stationery</v>
      </c>
      <c r="Z274" t="str">
        <v>In-Store</v>
      </c>
      <c r="AA274" t="str">
        <v>Cash</v>
      </c>
      <c r="AB274" t="str">
        <v>Completed</v>
      </c>
      <c r="AC274">
        <v>11</v>
      </c>
      <c r="AD274">
        <v>238.15</v>
      </c>
      <c r="AE274">
        <v>45426</v>
      </c>
      <c r="AF274">
        <v>0</v>
      </c>
      <c r="AG274" t="str">
        <v>Gift wrap requested</v>
      </c>
      <c r="AH274" t="str">
        <v>High Value</v>
      </c>
      <c r="AI274">
        <v>2619.65</v>
      </c>
      <c r="AJ274" t="str">
        <v>ORD-1141</v>
      </c>
      <c r="AK274">
        <v>1141</v>
      </c>
      <c r="AL274" t="str">
        <v>May-2024</v>
      </c>
      <c r="AM274">
        <v>45443</v>
      </c>
      <c r="AN274" t="str">
        <v>sofia</v>
      </c>
      <c r="AO274">
        <v>0</v>
      </c>
    </row>
    <row r="275" spans="8:41" x14ac:dyDescent="0.25">
      <c r="H275" t="str">
        <v>ORD-1169</v>
      </c>
      <c r="I275" t="str">
        <v>03-Feb-24</v>
      </c>
      <c r="J275" t="str">
        <v xml:space="preserve">David Raza </v>
      </c>
      <c r="K275" t="str">
        <v>WEST</v>
      </c>
      <c r="L275" t="str">
        <v>Peshawar</v>
      </c>
      <c r="M275" t="str">
        <v>Stationery</v>
      </c>
      <c r="N275" t="str">
        <v>Ballpoint Pens</v>
      </c>
      <c r="O275" t="str">
        <v>instore</v>
      </c>
      <c r="P275">
        <v>4</v>
      </c>
      <c r="Q275">
        <v>206.55</v>
      </c>
      <c r="R275">
        <v>0.1</v>
      </c>
      <c r="S275" t="str">
        <v>Credit Card</v>
      </c>
      <c r="T275" t="str">
        <v>Pending</v>
      </c>
      <c r="U275" t="str">
        <v>B. Fernandes</v>
      </c>
      <c r="V275" t="str">
        <v>Bulk order - business account</v>
      </c>
      <c r="W275" t="str">
        <v>David Raza</v>
      </c>
      <c r="X275" t="str">
        <v>West</v>
      </c>
      <c r="Y275" t="str">
        <v>Stationery</v>
      </c>
      <c r="Z275" t="str">
        <v>In-Store</v>
      </c>
      <c r="AA275" t="str">
        <v>Credit Card</v>
      </c>
      <c r="AB275" t="str">
        <v>Pending</v>
      </c>
      <c r="AC275">
        <v>4</v>
      </c>
      <c r="AD275">
        <v>206.55</v>
      </c>
      <c r="AE275">
        <v>45325</v>
      </c>
      <c r="AF275">
        <v>0.1</v>
      </c>
      <c r="AG275" t="str">
        <v>Bulk order - business account</v>
      </c>
      <c r="AH275" t="str">
        <v>Standard</v>
      </c>
      <c r="AI275">
        <v>826.2</v>
      </c>
      <c r="AJ275" t="str">
        <v>ORD-1169</v>
      </c>
      <c r="AK275">
        <v>1169</v>
      </c>
      <c r="AL275" t="str">
        <v>Feb-2024</v>
      </c>
      <c r="AM275">
        <v>45351</v>
      </c>
      <c r="AN275" t="str">
        <v>David</v>
      </c>
      <c r="AO275">
        <v>0.1</v>
      </c>
    </row>
    <row r="276" spans="8:41" x14ac:dyDescent="0.25">
      <c r="H276" t="str">
        <v>ORD-1201</v>
      </c>
      <c r="I276" t="str">
        <v>2024-11-12</v>
      </c>
      <c r="J276" t="str">
        <v>Sarah Johnson</v>
      </c>
      <c r="K276" t="str">
        <v>north</v>
      </c>
      <c r="L276" t="str">
        <v>Lahore</v>
      </c>
      <c r="M276" t="str">
        <v>stationery</v>
      </c>
      <c r="N276" t="str">
        <v>Sticky Notes</v>
      </c>
      <c r="O276" t="str">
        <v>In Store</v>
      </c>
      <c r="P276">
        <v>7</v>
      </c>
      <c r="Q276">
        <v>205.2</v>
      </c>
      <c r="R276">
        <v>0</v>
      </c>
      <c r="S276" t="str">
        <v>Cash</v>
      </c>
      <c r="T276" t="str">
        <v>Completed</v>
      </c>
      <c r="U276">
        <v>0</v>
      </c>
      <c r="V276" t="str">
        <v>Gift wrap requested</v>
      </c>
      <c r="W276" t="str">
        <v>Sarah Johnson</v>
      </c>
      <c r="X276" t="str">
        <v>North</v>
      </c>
      <c r="Y276" t="str">
        <v>Stationery</v>
      </c>
      <c r="Z276" t="str">
        <v>In-Store</v>
      </c>
      <c r="AA276" t="str">
        <v>Cash</v>
      </c>
      <c r="AB276" t="str">
        <v>Completed</v>
      </c>
      <c r="AC276">
        <v>7</v>
      </c>
      <c r="AD276">
        <v>205.2</v>
      </c>
      <c r="AE276">
        <v>45608</v>
      </c>
      <c r="AF276">
        <v>0</v>
      </c>
      <c r="AG276" t="str">
        <v>Gift wrap requested</v>
      </c>
      <c r="AH276" t="str">
        <v>High Value</v>
      </c>
      <c r="AI276">
        <v>1436.3999999999999</v>
      </c>
      <c r="AJ276" t="str">
        <v>ORD-1201</v>
      </c>
      <c r="AK276">
        <v>1201</v>
      </c>
      <c r="AL276" t="str">
        <v>Nov-2024</v>
      </c>
      <c r="AM276">
        <v>45626</v>
      </c>
      <c r="AN276" t="str">
        <v>Sarah</v>
      </c>
      <c r="AO276">
        <v>0</v>
      </c>
    </row>
    <row r="277" spans="8:41" x14ac:dyDescent="0.25">
      <c r="H277" t="str">
        <v>ORD-1165</v>
      </c>
      <c r="I277" t="str">
        <v>December 12, 2024</v>
      </c>
      <c r="J277" t="str">
        <v>Olivia  Lewis</v>
      </c>
      <c r="K277" t="str">
        <v>Nort</v>
      </c>
      <c r="L277" t="str">
        <v>Faisalabad</v>
      </c>
      <c r="M277" t="str">
        <v>STATIONERY</v>
      </c>
      <c r="N277" t="str">
        <v>Highlighter Set</v>
      </c>
      <c r="O277" t="str">
        <v xml:space="preserve">Online </v>
      </c>
      <c r="P277">
        <v>8</v>
      </c>
      <c r="Q277">
        <v>200.43</v>
      </c>
      <c r="R277">
        <v>0</v>
      </c>
      <c r="S277" t="str">
        <v>cash</v>
      </c>
      <c r="T277" t="str">
        <v>Pending</v>
      </c>
      <c r="U277" t="str">
        <v>E. Tanaka</v>
      </c>
      <c r="V277" t="str">
        <v xml:space="preserve">Follow up needed	</v>
      </c>
      <c r="W277" t="str">
        <v>Olivia Lewis</v>
      </c>
      <c r="X277" t="str">
        <v>North</v>
      </c>
      <c r="Y277" t="str">
        <v>Stationery</v>
      </c>
      <c r="Z277" t="str">
        <v>Online</v>
      </c>
      <c r="AA277" t="str">
        <v>Cash</v>
      </c>
      <c r="AB277" t="str">
        <v>Pending</v>
      </c>
      <c r="AC277">
        <v>8</v>
      </c>
      <c r="AD277">
        <v>200.43</v>
      </c>
      <c r="AE277">
        <v>45638</v>
      </c>
      <c r="AF277">
        <v>0</v>
      </c>
      <c r="AG277" t="str">
        <v>Follow up needed</v>
      </c>
      <c r="AH277" t="str">
        <v>High Value</v>
      </c>
      <c r="AI277">
        <v>1603.44</v>
      </c>
      <c r="AJ277" t="str">
        <v>ORD-1165</v>
      </c>
      <c r="AK277">
        <v>1165</v>
      </c>
      <c r="AL277" t="str">
        <v>Dec-2024</v>
      </c>
      <c r="AM277">
        <v>45657</v>
      </c>
      <c r="AN277" t="str">
        <v>Olivia</v>
      </c>
      <c r="AO277">
        <v>0</v>
      </c>
    </row>
    <row r="278" spans="8:41" x14ac:dyDescent="0.25">
      <c r="H278" t="str">
        <v>ORD-1026</v>
      </c>
      <c r="I278" t="str">
        <v>2024-09-01</v>
      </c>
      <c r="J278" t="str">
        <v xml:space="preserve">Bilal Brown </v>
      </c>
      <c r="K278" t="str">
        <v>South</v>
      </c>
      <c r="L278" t="str">
        <v>Hyderabad</v>
      </c>
      <c r="M278" t="str">
        <v>STATIONERY</v>
      </c>
      <c r="N278" t="str">
        <v>Desk Organizer</v>
      </c>
      <c r="O278" t="str">
        <v>Online</v>
      </c>
      <c r="P278">
        <v>4</v>
      </c>
      <c r="Q278">
        <v>197.79</v>
      </c>
      <c r="R278">
        <v>0</v>
      </c>
      <c r="S278" t="str">
        <v>bank transfer</v>
      </c>
      <c r="T278" t="str">
        <v>pending</v>
      </c>
      <c r="U278" t="str">
        <v>D. Iqbal</v>
      </c>
      <c r="V278">
        <v>0</v>
      </c>
      <c r="W278" t="str">
        <v>Bilal Brown</v>
      </c>
      <c r="X278" t="str">
        <v>South</v>
      </c>
      <c r="Y278" t="str">
        <v>Stationery</v>
      </c>
      <c r="Z278" t="str">
        <v>Online</v>
      </c>
      <c r="AA278" t="str">
        <v>Bank Transfer</v>
      </c>
      <c r="AB278" t="str">
        <v>Pending</v>
      </c>
      <c r="AC278">
        <v>4</v>
      </c>
      <c r="AD278">
        <v>197.79</v>
      </c>
      <c r="AE278">
        <v>45536</v>
      </c>
      <c r="AF278">
        <v>0</v>
      </c>
      <c r="AG278" t="str">
        <v/>
      </c>
      <c r="AH278" t="str">
        <v>Standard</v>
      </c>
      <c r="AI278">
        <v>791.16</v>
      </c>
      <c r="AJ278" t="str">
        <v>ORD-1026</v>
      </c>
      <c r="AK278">
        <v>1026</v>
      </c>
      <c r="AL278" t="str">
        <v>Sep-2024</v>
      </c>
      <c r="AM278">
        <v>45565</v>
      </c>
      <c r="AN278" t="str">
        <v>Bilal</v>
      </c>
      <c r="AO278">
        <v>0</v>
      </c>
    </row>
    <row r="279" spans="8:41" x14ac:dyDescent="0.25">
      <c r="H279" t="str">
        <v>ORD-1112</v>
      </c>
      <c r="I279" t="str">
        <v>24/11/2024</v>
      </c>
      <c r="J279" t="str">
        <v>Robert Hussain</v>
      </c>
      <c r="K279" t="str">
        <v>south</v>
      </c>
      <c r="L279" t="str">
        <v>Karachi</v>
      </c>
      <c r="M279" t="str">
        <v>STATIONERY</v>
      </c>
      <c r="N279" t="str">
        <v>Sticky Notes</v>
      </c>
      <c r="O279" t="str">
        <v>ONLINE</v>
      </c>
      <c r="P279">
        <v>4</v>
      </c>
      <c r="Q279">
        <v>193.02</v>
      </c>
      <c r="R279">
        <v>0.1</v>
      </c>
      <c r="S279" t="str">
        <v>CC</v>
      </c>
      <c r="T279" t="str">
        <v>refunded</v>
      </c>
      <c r="U279" t="str">
        <v>D. Iqbal</v>
      </c>
      <c r="V279" t="str">
        <v>Damaged on arrival - replaced</v>
      </c>
      <c r="W279" t="str">
        <v>Robert Hussain</v>
      </c>
      <c r="X279" t="str">
        <v>South</v>
      </c>
      <c r="Y279" t="str">
        <v>Stationery</v>
      </c>
      <c r="Z279" t="str">
        <v>Online</v>
      </c>
      <c r="AA279" t="str">
        <v>Credit Card</v>
      </c>
      <c r="AB279" t="str">
        <v>Refunded</v>
      </c>
      <c r="AC279">
        <v>4</v>
      </c>
      <c r="AD279">
        <v>193.02</v>
      </c>
      <c r="AE279">
        <v>45620</v>
      </c>
      <c r="AF279">
        <v>0.1</v>
      </c>
      <c r="AG279" t="str">
        <v>Damaged on arrival - replaced</v>
      </c>
      <c r="AH279" t="str">
        <v>Standard</v>
      </c>
      <c r="AI279">
        <v>772.08</v>
      </c>
      <c r="AJ279" t="str">
        <v>ORD-1112</v>
      </c>
      <c r="AK279">
        <v>1112</v>
      </c>
      <c r="AL279" t="str">
        <v>Nov-2024</v>
      </c>
      <c r="AM279">
        <v>45626</v>
      </c>
      <c r="AN279" t="str">
        <v>Robert</v>
      </c>
      <c r="AO279">
        <v>0.1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Sheet2</vt:lpstr>
      <vt:lpstr>Pivot_RevenueByCategory</vt:lpstr>
      <vt:lpstr>Pivot_RegionSummary</vt:lpstr>
      <vt:lpstr>Pivot_PaymentMethod</vt:lpstr>
      <vt:lpstr>Pivot_MonthlyTrend</vt:lpstr>
      <vt:lpstr>Sparklines_Practice</vt:lpstr>
      <vt:lpstr>Pivot_AvgDiscount</vt:lpstr>
      <vt:lpstr>Pivot_SalesRepCount</vt:lpstr>
      <vt:lpstr>Pivot_RegionCategory</vt:lpstr>
      <vt:lpstr>Sheet1</vt:lpstr>
      <vt:lpstr>Pivot_SalesRepRevenue</vt:lpstr>
      <vt:lpstr>Pivot_StatusCount</vt:lpstr>
      <vt:lpstr>Pivot_RevenueDiscount</vt:lpstr>
      <vt:lpstr>Category_Sparklines</vt:lpstr>
      <vt:lpstr>Orders_Raw</vt:lpstr>
      <vt:lpstr>Analysis</vt:lpstr>
      <vt:lpstr>Formulas_Practice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ptcl</cp:lastModifiedBy>
  <dcterms:created xsi:type="dcterms:W3CDTF">2026-08-08T08:41:35Z</dcterms:created>
  <dcterms:modified xsi:type="dcterms:W3CDTF">2026-09-09T21:46:07Z</dcterms:modified>
</cp:coreProperties>
</file>